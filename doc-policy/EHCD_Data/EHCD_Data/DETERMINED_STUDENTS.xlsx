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ma Azfar\Desktop\EHDC_DATA\EDUCATION\"/>
    </mc:Choice>
  </mc:AlternateContent>
  <xr:revisionPtr revIDLastSave="0" documentId="13_ncr:1_{A68E3E1E-CD41-42A9-AD5E-DE9071AF4997}" xr6:coauthVersionLast="47" xr6:coauthVersionMax="47" xr10:uidLastSave="{00000000-0000-0000-0000-000000000000}"/>
  <bookViews>
    <workbookView xWindow="-120" yWindow="-120" windowWidth="29040" windowHeight="16440" activeTab="3" xr2:uid="{9D2384E7-E5D8-450C-BCD6-DF0488A1669C}"/>
  </bookViews>
  <sheets>
    <sheet name="DIM_SECTOR" sheetId="12" r:id="rId1"/>
    <sheet name="DETERMINED_STUDENTS" sheetId="9" r:id="rId2"/>
    <sheet name="DETERMINED_STAFF" sheetId="8" r:id="rId3"/>
    <sheet name="DETERMINED_SCHOOLS" sheetId="7" r:id="rId4"/>
    <sheet name="STAFF_NATIONALITY" sheetId="6" r:id="rId5"/>
    <sheet name="STAFF_GENDER" sheetId="5" r:id="rId6"/>
    <sheet name="STUDENTS_NATIONALITY" sheetId="4" r:id="rId7"/>
    <sheet name="STUDENTS_TOTAL" sheetId="3" r:id="rId8"/>
    <sheet name="STUDENTS_DISABILITY" sheetId="2" r:id="rId9"/>
  </sheets>
  <definedNames>
    <definedName name="ExternalData_1" localSheetId="8" hidden="1">STUDENTS_DISABILITY!$A$1:$F$121</definedName>
    <definedName name="ExternalData_11" localSheetId="0" hidden="1">DIM_SECTOR!$A$1:$A$7</definedName>
    <definedName name="ExternalData_2" localSheetId="7" hidden="1">STUDENTS_TOTAL!$A$1:$E$17</definedName>
    <definedName name="ExternalData_3" localSheetId="6" hidden="1">STUDENTS_NATIONALITY!$A$1:$E$17</definedName>
    <definedName name="ExternalData_4" localSheetId="5" hidden="1">STAFF_GENDER!$A$1:$D$17</definedName>
    <definedName name="ExternalData_5" localSheetId="4" hidden="1">STAFF_NATIONALITY!$A$1:$D$17</definedName>
    <definedName name="ExternalData_6" localSheetId="3" hidden="1">DETERMINED_SCHOOLS!$A$1:$E$41</definedName>
    <definedName name="ExternalData_7" localSheetId="2" hidden="1">DETERMINED_STAFF!$A$1:$E$33</definedName>
    <definedName name="ExternalData_8" localSheetId="1" hidden="1">DETERMINED_STUDENTS!$A$1:$H$153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 a="1"/>
  <c r="G2" i="7" s="1"/>
  <c r="G3" i="7" a="1"/>
  <c r="G3" i="7" s="1"/>
  <c r="G4" i="7" a="1"/>
  <c r="G4" i="7" s="1"/>
  <c r="G5" i="7" a="1"/>
  <c r="G5" i="7"/>
  <c r="G6" i="7" a="1"/>
  <c r="G6" i="7" s="1"/>
  <c r="G7" i="7" a="1"/>
  <c r="G7" i="7" s="1"/>
  <c r="G8" i="7" a="1"/>
  <c r="G8" i="7" s="1"/>
  <c r="G9" i="7" a="1"/>
  <c r="G9" i="7" s="1"/>
  <c r="G10" i="7" a="1"/>
  <c r="G10" i="7" s="1"/>
  <c r="G11" i="7" a="1"/>
  <c r="G11" i="7"/>
  <c r="G12" i="7" a="1"/>
  <c r="G12" i="7" s="1"/>
  <c r="G13" i="7" a="1"/>
  <c r="G13" i="7" s="1"/>
  <c r="G14" i="7" a="1"/>
  <c r="G14" i="7" s="1"/>
  <c r="G15" i="7" a="1"/>
  <c r="G15" i="7" s="1"/>
  <c r="G16" i="7" a="1"/>
  <c r="G16" i="7" s="1"/>
  <c r="G17" i="7" a="1"/>
  <c r="G17" i="7"/>
  <c r="G18" i="7" a="1"/>
  <c r="G18" i="7" s="1"/>
  <c r="G19" i="7" a="1"/>
  <c r="G19" i="7" s="1"/>
  <c r="G20" i="7" a="1"/>
  <c r="G20" i="7" s="1"/>
  <c r="G21" i="7" a="1"/>
  <c r="G21" i="7" s="1"/>
  <c r="G22" i="7" a="1"/>
  <c r="G22" i="7" s="1"/>
  <c r="G23" i="7" a="1"/>
  <c r="G23" i="7"/>
  <c r="G24" i="7" a="1"/>
  <c r="G24" i="7" s="1"/>
  <c r="G25" i="7" a="1"/>
  <c r="G25" i="7" s="1"/>
  <c r="G26" i="7" a="1"/>
  <c r="G26" i="7" s="1"/>
  <c r="G27" i="7" a="1"/>
  <c r="G27" i="7" s="1"/>
  <c r="G28" i="7" a="1"/>
  <c r="G28" i="7" s="1"/>
  <c r="G29" i="7" a="1"/>
  <c r="G29" i="7"/>
  <c r="G30" i="7" a="1"/>
  <c r="G30" i="7" s="1"/>
  <c r="G31" i="7" a="1"/>
  <c r="G31" i="7" s="1"/>
  <c r="G32" i="7" a="1"/>
  <c r="G32" i="7" s="1"/>
  <c r="G33" i="7" a="1"/>
  <c r="G33" i="7" s="1"/>
  <c r="G34" i="7" a="1"/>
  <c r="G34" i="7" s="1"/>
  <c r="G35" i="7" a="1"/>
  <c r="G35" i="7"/>
  <c r="G36" i="7" a="1"/>
  <c r="G36" i="7" s="1"/>
  <c r="G37" i="7" a="1"/>
  <c r="G37" i="7" s="1"/>
  <c r="G38" i="7" a="1"/>
  <c r="G38" i="7" s="1"/>
  <c r="G39" i="7" a="1"/>
  <c r="G39" i="7" s="1"/>
  <c r="G40" i="7" a="1"/>
  <c r="G40" i="7" s="1"/>
  <c r="G41" i="7" a="1"/>
  <c r="G41" i="7"/>
  <c r="F2" i="7" a="1"/>
  <c r="F2" i="7" s="1"/>
  <c r="F3" i="7" a="1"/>
  <c r="F3" i="7" s="1"/>
  <c r="F4" i="7" a="1"/>
  <c r="F4" i="7" s="1"/>
  <c r="F5" i="7" a="1"/>
  <c r="F5" i="7" s="1"/>
  <c r="F6" i="7" a="1"/>
  <c r="F6" i="7"/>
  <c r="F7" i="7" a="1"/>
  <c r="F7" i="7" s="1"/>
  <c r="F8" i="7" a="1"/>
  <c r="F8" i="7" s="1"/>
  <c r="F9" i="7" a="1"/>
  <c r="F9" i="7" s="1"/>
  <c r="F10" i="7" a="1"/>
  <c r="F10" i="7" s="1"/>
  <c r="F11" i="7" a="1"/>
  <c r="F11" i="7" s="1"/>
  <c r="F12" i="7" a="1"/>
  <c r="F12" i="7"/>
  <c r="F13" i="7" a="1"/>
  <c r="F13" i="7" s="1"/>
  <c r="F14" i="7" a="1"/>
  <c r="F14" i="7" s="1"/>
  <c r="F15" i="7" a="1"/>
  <c r="F15" i="7" s="1"/>
  <c r="F16" i="7" a="1"/>
  <c r="F16" i="7" s="1"/>
  <c r="F17" i="7" a="1"/>
  <c r="F17" i="7" s="1"/>
  <c r="F18" i="7" a="1"/>
  <c r="F18" i="7"/>
  <c r="F19" i="7" a="1"/>
  <c r="F19" i="7" s="1"/>
  <c r="F20" i="7" a="1"/>
  <c r="F20" i="7" s="1"/>
  <c r="F21" i="7" a="1"/>
  <c r="F21" i="7" s="1"/>
  <c r="F22" i="7" a="1"/>
  <c r="F22" i="7" s="1"/>
  <c r="F23" i="7" a="1"/>
  <c r="F23" i="7" s="1"/>
  <c r="F24" i="7" a="1"/>
  <c r="F24" i="7"/>
  <c r="F25" i="7" a="1"/>
  <c r="F25" i="7" s="1"/>
  <c r="F26" i="7" a="1"/>
  <c r="F26" i="7" s="1"/>
  <c r="F27" i="7" a="1"/>
  <c r="F27" i="7" s="1"/>
  <c r="F28" i="7" a="1"/>
  <c r="F28" i="7" s="1"/>
  <c r="F29" i="7" a="1"/>
  <c r="F29" i="7" s="1"/>
  <c r="F30" i="7" a="1"/>
  <c r="F30" i="7"/>
  <c r="F31" i="7" a="1"/>
  <c r="F31" i="7" s="1"/>
  <c r="F32" i="7" a="1"/>
  <c r="F32" i="7" s="1"/>
  <c r="F33" i="7" a="1"/>
  <c r="F33" i="7" s="1"/>
  <c r="F34" i="7" a="1"/>
  <c r="F34" i="7" s="1"/>
  <c r="F35" i="7" a="1"/>
  <c r="F35" i="7" s="1"/>
  <c r="F36" i="7" a="1"/>
  <c r="F36" i="7"/>
  <c r="F37" i="7" a="1"/>
  <c r="F37" i="7" s="1"/>
  <c r="F38" i="7" a="1"/>
  <c r="F38" i="7" s="1"/>
  <c r="F39" i="7" a="1"/>
  <c r="F39" i="7" s="1"/>
  <c r="F40" i="7" a="1"/>
  <c r="F40" i="7" s="1"/>
  <c r="F41" i="7" a="1"/>
  <c r="F41" i="7" s="1"/>
  <c r="H2" i="8" a="1"/>
  <c r="H2" i="8"/>
  <c r="H3" i="8" a="1"/>
  <c r="H3" i="8"/>
  <c r="H4" i="8" a="1"/>
  <c r="H4" i="8" s="1"/>
  <c r="H5" i="8" a="1"/>
  <c r="H5" i="8" s="1"/>
  <c r="H6" i="8" a="1"/>
  <c r="H6" i="8"/>
  <c r="H7" i="8" a="1"/>
  <c r="H7" i="8" s="1"/>
  <c r="H8" i="8" a="1"/>
  <c r="H8" i="8"/>
  <c r="H9" i="8" a="1"/>
  <c r="H9" i="8"/>
  <c r="H10" i="8" a="1"/>
  <c r="H10" i="8" s="1"/>
  <c r="H11" i="8" a="1"/>
  <c r="H11" i="8" s="1"/>
  <c r="H12" i="8" a="1"/>
  <c r="H12" i="8"/>
  <c r="H13" i="8" a="1"/>
  <c r="H13" i="8" s="1"/>
  <c r="H14" i="8" a="1"/>
  <c r="H14" i="8"/>
  <c r="H15" i="8" a="1"/>
  <c r="H15" i="8"/>
  <c r="H16" i="8" a="1"/>
  <c r="H16" i="8" s="1"/>
  <c r="H17" i="8" a="1"/>
  <c r="H17" i="8" s="1"/>
  <c r="H18" i="8" a="1"/>
  <c r="H18" i="8"/>
  <c r="H19" i="8" a="1"/>
  <c r="H19" i="8" s="1"/>
  <c r="H20" i="8" a="1"/>
  <c r="H20" i="8"/>
  <c r="H21" i="8" a="1"/>
  <c r="H21" i="8"/>
  <c r="H22" i="8" a="1"/>
  <c r="H22" i="8" s="1"/>
  <c r="H23" i="8" a="1"/>
  <c r="H23" i="8" s="1"/>
  <c r="H24" i="8" a="1"/>
  <c r="H24" i="8"/>
  <c r="H25" i="8" a="1"/>
  <c r="H25" i="8" s="1"/>
  <c r="H26" i="8" a="1"/>
  <c r="H26" i="8"/>
  <c r="H27" i="8" a="1"/>
  <c r="H27" i="8"/>
  <c r="H28" i="8" a="1"/>
  <c r="H28" i="8" s="1"/>
  <c r="H29" i="8" a="1"/>
  <c r="H29" i="8" s="1"/>
  <c r="H30" i="8" a="1"/>
  <c r="H30" i="8"/>
  <c r="H31" i="8" a="1"/>
  <c r="H31" i="8" s="1"/>
  <c r="H32" i="8" a="1"/>
  <c r="H32" i="8"/>
  <c r="H33" i="8" a="1"/>
  <c r="H33" i="8"/>
  <c r="F2" i="8" a="1"/>
  <c r="F2" i="8"/>
  <c r="F3" i="8" a="1"/>
  <c r="F3" i="8"/>
  <c r="F4" i="8" a="1"/>
  <c r="F4" i="8" s="1"/>
  <c r="F5" i="8" a="1"/>
  <c r="F5" i="8"/>
  <c r="F6" i="8" a="1"/>
  <c r="F6" i="8" s="1"/>
  <c r="F7" i="8" a="1"/>
  <c r="F7" i="8"/>
  <c r="F8" i="8" a="1"/>
  <c r="F8" i="8"/>
  <c r="F9" i="8" a="1"/>
  <c r="F9" i="8"/>
  <c r="F10" i="8" a="1"/>
  <c r="F10" i="8" s="1"/>
  <c r="F11" i="8" a="1"/>
  <c r="F11" i="8"/>
  <c r="F12" i="8" a="1"/>
  <c r="F12" i="8" s="1"/>
  <c r="F13" i="8" a="1"/>
  <c r="F13" i="8"/>
  <c r="F14" i="8" a="1"/>
  <c r="F14" i="8"/>
  <c r="F15" i="8" a="1"/>
  <c r="F15" i="8"/>
  <c r="F16" i="8" a="1"/>
  <c r="F16" i="8" s="1"/>
  <c r="F17" i="8" a="1"/>
  <c r="F17" i="8"/>
  <c r="F18" i="8" a="1"/>
  <c r="F18" i="8" s="1"/>
  <c r="F19" i="8" a="1"/>
  <c r="F19" i="8"/>
  <c r="F20" i="8" a="1"/>
  <c r="F20" i="8"/>
  <c r="F21" i="8" a="1"/>
  <c r="F21" i="8"/>
  <c r="F22" i="8" a="1"/>
  <c r="F22" i="8" s="1"/>
  <c r="F23" i="8" a="1"/>
  <c r="F23" i="8"/>
  <c r="F24" i="8" a="1"/>
  <c r="F24" i="8" s="1"/>
  <c r="F25" i="8" a="1"/>
  <c r="F25" i="8"/>
  <c r="F26" i="8" a="1"/>
  <c r="F26" i="8"/>
  <c r="F27" i="8" a="1"/>
  <c r="F27" i="8"/>
  <c r="F28" i="8" a="1"/>
  <c r="F28" i="8" s="1"/>
  <c r="F29" i="8" a="1"/>
  <c r="F29" i="8"/>
  <c r="F30" i="8" a="1"/>
  <c r="F30" i="8" s="1"/>
  <c r="F31" i="8" a="1"/>
  <c r="F31" i="8"/>
  <c r="F32" i="8" a="1"/>
  <c r="F32" i="8"/>
  <c r="F33" i="8" a="1"/>
  <c r="F33" i="8"/>
  <c r="G2" i="8" a="1"/>
  <c r="G2" i="8" s="1"/>
  <c r="G3" i="8" a="1"/>
  <c r="G3" i="8" s="1"/>
  <c r="G4" i="8" a="1"/>
  <c r="G4" i="8" s="1"/>
  <c r="G5" i="8" a="1"/>
  <c r="G5" i="8" s="1"/>
  <c r="G6" i="8" a="1"/>
  <c r="G6" i="8" s="1"/>
  <c r="G7" i="8" a="1"/>
  <c r="G7" i="8" s="1"/>
  <c r="G8" i="8" a="1"/>
  <c r="G8" i="8" s="1"/>
  <c r="G9" i="8" a="1"/>
  <c r="G9" i="8" s="1"/>
  <c r="G10" i="8" a="1"/>
  <c r="G10" i="8" s="1"/>
  <c r="G11" i="8" a="1"/>
  <c r="G11" i="8" s="1"/>
  <c r="G12" i="8" a="1"/>
  <c r="G12" i="8" s="1"/>
  <c r="G13" i="8" a="1"/>
  <c r="G13" i="8" s="1"/>
  <c r="G14" i="8" a="1"/>
  <c r="G14" i="8" s="1"/>
  <c r="G15" i="8" a="1"/>
  <c r="G15" i="8" s="1"/>
  <c r="G16" i="8" a="1"/>
  <c r="G16" i="8" s="1"/>
  <c r="G17" i="8" a="1"/>
  <c r="G17" i="8" s="1"/>
  <c r="G18" i="8" a="1"/>
  <c r="G18" i="8" s="1"/>
  <c r="G19" i="8" a="1"/>
  <c r="G19" i="8" s="1"/>
  <c r="G20" i="8" a="1"/>
  <c r="G20" i="8" s="1"/>
  <c r="G21" i="8" a="1"/>
  <c r="G21" i="8" s="1"/>
  <c r="G22" i="8" a="1"/>
  <c r="G22" i="8" s="1"/>
  <c r="G23" i="8" a="1"/>
  <c r="G23" i="8" s="1"/>
  <c r="G24" i="8" a="1"/>
  <c r="G24" i="8" s="1"/>
  <c r="G25" i="8" a="1"/>
  <c r="G25" i="8" s="1"/>
  <c r="G26" i="8" a="1"/>
  <c r="G26" i="8" s="1"/>
  <c r="G27" i="8" a="1"/>
  <c r="G27" i="8" s="1"/>
  <c r="G28" i="8" a="1"/>
  <c r="G28" i="8" s="1"/>
  <c r="G29" i="8" a="1"/>
  <c r="G29" i="8" s="1"/>
  <c r="G30" i="8" a="1"/>
  <c r="G30" i="8" s="1"/>
  <c r="G31" i="8" a="1"/>
  <c r="G31" i="8" s="1"/>
  <c r="G32" i="8" a="1"/>
  <c r="G32" i="8" s="1"/>
  <c r="G33" i="8" a="1"/>
  <c r="G33" i="8" s="1"/>
  <c r="M2" i="9" a="1"/>
  <c r="M2" i="9"/>
  <c r="M3" i="9" a="1"/>
  <c r="M3" i="9" s="1"/>
  <c r="M4" i="9" a="1"/>
  <c r="M4" i="9" s="1"/>
  <c r="M5" i="9" a="1"/>
  <c r="M5" i="9"/>
  <c r="M6" i="9" a="1"/>
  <c r="M6" i="9" s="1"/>
  <c r="M7" i="9" a="1"/>
  <c r="M7" i="9" s="1"/>
  <c r="M8" i="9" a="1"/>
  <c r="M8" i="9"/>
  <c r="M9" i="9" a="1"/>
  <c r="M9" i="9" s="1"/>
  <c r="M10" i="9" a="1"/>
  <c r="M10" i="9" s="1"/>
  <c r="M11" i="9" a="1"/>
  <c r="M11" i="9"/>
  <c r="M12" i="9" a="1"/>
  <c r="M12" i="9" s="1"/>
  <c r="M13" i="9" a="1"/>
  <c r="M13" i="9" s="1"/>
  <c r="M14" i="9" a="1"/>
  <c r="M14" i="9"/>
  <c r="M15" i="9" a="1"/>
  <c r="M15" i="9" s="1"/>
  <c r="M16" i="9" a="1"/>
  <c r="M16" i="9" s="1"/>
  <c r="M17" i="9" a="1"/>
  <c r="M17" i="9"/>
  <c r="M18" i="9" a="1"/>
  <c r="M18" i="9" s="1"/>
  <c r="M19" i="9" a="1"/>
  <c r="M19" i="9" s="1"/>
  <c r="M20" i="9" a="1"/>
  <c r="M20" i="9"/>
  <c r="M21" i="9" a="1"/>
  <c r="M21" i="9" s="1"/>
  <c r="M22" i="9" a="1"/>
  <c r="M22" i="9" s="1"/>
  <c r="M23" i="9" a="1"/>
  <c r="M23" i="9"/>
  <c r="M24" i="9" a="1"/>
  <c r="M24" i="9" s="1"/>
  <c r="M25" i="9" a="1"/>
  <c r="M25" i="9" s="1"/>
  <c r="M26" i="9" a="1"/>
  <c r="M26" i="9"/>
  <c r="M27" i="9" a="1"/>
  <c r="M27" i="9" s="1"/>
  <c r="M28" i="9" a="1"/>
  <c r="M28" i="9" s="1"/>
  <c r="M29" i="9" a="1"/>
  <c r="M29" i="9"/>
  <c r="M30" i="9" a="1"/>
  <c r="M30" i="9" s="1"/>
  <c r="M31" i="9" a="1"/>
  <c r="M31" i="9" s="1"/>
  <c r="M32" i="9" a="1"/>
  <c r="M32" i="9"/>
  <c r="M33" i="9" a="1"/>
  <c r="M33" i="9" s="1"/>
  <c r="M34" i="9" a="1"/>
  <c r="M34" i="9" s="1"/>
  <c r="M35" i="9" a="1"/>
  <c r="M35" i="9"/>
  <c r="M36" i="9" a="1"/>
  <c r="M36" i="9" s="1"/>
  <c r="M37" i="9" a="1"/>
  <c r="M37" i="9" s="1"/>
  <c r="M38" i="9" a="1"/>
  <c r="M38" i="9"/>
  <c r="M39" i="9" a="1"/>
  <c r="M39" i="9" s="1"/>
  <c r="M40" i="9" a="1"/>
  <c r="M40" i="9" s="1"/>
  <c r="M41" i="9" a="1"/>
  <c r="M41" i="9"/>
  <c r="M42" i="9" a="1"/>
  <c r="M42" i="9" s="1"/>
  <c r="M43" i="9" a="1"/>
  <c r="M43" i="9" s="1"/>
  <c r="M44" i="9" a="1"/>
  <c r="M44" i="9"/>
  <c r="M45" i="9" a="1"/>
  <c r="M45" i="9" s="1"/>
  <c r="M46" i="9" a="1"/>
  <c r="M46" i="9" s="1"/>
  <c r="M47" i="9" a="1"/>
  <c r="M47" i="9"/>
  <c r="M48" i="9" a="1"/>
  <c r="M48" i="9" s="1"/>
  <c r="M49" i="9" a="1"/>
  <c r="M49" i="9" s="1"/>
  <c r="M50" i="9" a="1"/>
  <c r="M50" i="9"/>
  <c r="M51" i="9" a="1"/>
  <c r="M51" i="9" s="1"/>
  <c r="M52" i="9" a="1"/>
  <c r="M52" i="9" s="1"/>
  <c r="M53" i="9" a="1"/>
  <c r="M53" i="9"/>
  <c r="M54" i="9" a="1"/>
  <c r="M54" i="9" s="1"/>
  <c r="M55" i="9" a="1"/>
  <c r="M55" i="9" s="1"/>
  <c r="M56" i="9" a="1"/>
  <c r="M56" i="9"/>
  <c r="M57" i="9" a="1"/>
  <c r="M57" i="9" s="1"/>
  <c r="M58" i="9" a="1"/>
  <c r="M58" i="9" s="1"/>
  <c r="M59" i="9" a="1"/>
  <c r="M59" i="9"/>
  <c r="M60" i="9" a="1"/>
  <c r="M60" i="9" s="1"/>
  <c r="M61" i="9" a="1"/>
  <c r="M61" i="9" s="1"/>
  <c r="M62" i="9" a="1"/>
  <c r="M62" i="9"/>
  <c r="M63" i="9" a="1"/>
  <c r="M63" i="9" s="1"/>
  <c r="M64" i="9" a="1"/>
  <c r="M64" i="9" s="1"/>
  <c r="M65" i="9" a="1"/>
  <c r="M65" i="9"/>
  <c r="M66" i="9" a="1"/>
  <c r="M66" i="9" s="1"/>
  <c r="M67" i="9" a="1"/>
  <c r="M67" i="9" s="1"/>
  <c r="M68" i="9" a="1"/>
  <c r="M68" i="9"/>
  <c r="M69" i="9" a="1"/>
  <c r="M69" i="9" s="1"/>
  <c r="M70" i="9" a="1"/>
  <c r="M70" i="9" s="1"/>
  <c r="M71" i="9" a="1"/>
  <c r="M71" i="9"/>
  <c r="M72" i="9" a="1"/>
  <c r="M72" i="9" s="1"/>
  <c r="M73" i="9" a="1"/>
  <c r="M73" i="9" s="1"/>
  <c r="M74" i="9" a="1"/>
  <c r="M74" i="9"/>
  <c r="M75" i="9" a="1"/>
  <c r="M75" i="9" s="1"/>
  <c r="M76" i="9" a="1"/>
  <c r="M76" i="9" s="1"/>
  <c r="M77" i="9" a="1"/>
  <c r="M77" i="9"/>
  <c r="M78" i="9" a="1"/>
  <c r="M78" i="9" s="1"/>
  <c r="M79" i="9" a="1"/>
  <c r="M79" i="9" s="1"/>
  <c r="M80" i="9" a="1"/>
  <c r="M80" i="9"/>
  <c r="M81" i="9" a="1"/>
  <c r="M81" i="9" s="1"/>
  <c r="M82" i="9" a="1"/>
  <c r="M82" i="9" s="1"/>
  <c r="M83" i="9" a="1"/>
  <c r="M83" i="9"/>
  <c r="M84" i="9" a="1"/>
  <c r="M84" i="9" s="1"/>
  <c r="M85" i="9" a="1"/>
  <c r="M85" i="9" s="1"/>
  <c r="M86" i="9" a="1"/>
  <c r="M86" i="9"/>
  <c r="M87" i="9" a="1"/>
  <c r="M87" i="9" s="1"/>
  <c r="M88" i="9" a="1"/>
  <c r="M88" i="9" s="1"/>
  <c r="M89" i="9" a="1"/>
  <c r="M89" i="9"/>
  <c r="M90" i="9" a="1"/>
  <c r="M90" i="9" s="1"/>
  <c r="M91" i="9" a="1"/>
  <c r="M91" i="9" s="1"/>
  <c r="M92" i="9" a="1"/>
  <c r="M92" i="9"/>
  <c r="M93" i="9" a="1"/>
  <c r="M93" i="9" s="1"/>
  <c r="M94" i="9" a="1"/>
  <c r="M94" i="9" s="1"/>
  <c r="M95" i="9" a="1"/>
  <c r="M95" i="9"/>
  <c r="M96" i="9" a="1"/>
  <c r="M96" i="9" s="1"/>
  <c r="M97" i="9" a="1"/>
  <c r="M97" i="9" s="1"/>
  <c r="M98" i="9" a="1"/>
  <c r="M98" i="9"/>
  <c r="M99" i="9" a="1"/>
  <c r="M99" i="9" s="1"/>
  <c r="M100" i="9" a="1"/>
  <c r="M100" i="9" s="1"/>
  <c r="M101" i="9" a="1"/>
  <c r="M101" i="9"/>
  <c r="M102" i="9" a="1"/>
  <c r="M102" i="9" s="1"/>
  <c r="M103" i="9" a="1"/>
  <c r="M103" i="9" s="1"/>
  <c r="M104" i="9" a="1"/>
  <c r="M104" i="9"/>
  <c r="M105" i="9" a="1"/>
  <c r="M105" i="9" s="1"/>
  <c r="M106" i="9" a="1"/>
  <c r="M106" i="9" s="1"/>
  <c r="M107" i="9" a="1"/>
  <c r="M107" i="9"/>
  <c r="M108" i="9" a="1"/>
  <c r="M108" i="9" s="1"/>
  <c r="M109" i="9" a="1"/>
  <c r="M109" i="9" s="1"/>
  <c r="M110" i="9" a="1"/>
  <c r="M110" i="9" s="1"/>
  <c r="M111" i="9" a="1"/>
  <c r="M111" i="9" s="1"/>
  <c r="M112" i="9" a="1"/>
  <c r="M112" i="9" s="1"/>
  <c r="M113" i="9" a="1"/>
  <c r="M113" i="9"/>
  <c r="M114" i="9" a="1"/>
  <c r="M114" i="9" s="1"/>
  <c r="M115" i="9" a="1"/>
  <c r="M115" i="9" s="1"/>
  <c r="M116" i="9" a="1"/>
  <c r="M116" i="9" s="1"/>
  <c r="M117" i="9" a="1"/>
  <c r="M117" i="9" s="1"/>
  <c r="M118" i="9" a="1"/>
  <c r="M118" i="9" s="1"/>
  <c r="M119" i="9" a="1"/>
  <c r="M119" i="9"/>
  <c r="M120" i="9" a="1"/>
  <c r="M120" i="9" s="1"/>
  <c r="M121" i="9" a="1"/>
  <c r="M121" i="9" s="1"/>
  <c r="M122" i="9" a="1"/>
  <c r="M122" i="9" s="1"/>
  <c r="M123" i="9" a="1"/>
  <c r="M123" i="9" s="1"/>
  <c r="M124" i="9" a="1"/>
  <c r="M124" i="9" s="1"/>
  <c r="M125" i="9" a="1"/>
  <c r="M125" i="9"/>
  <c r="M126" i="9" a="1"/>
  <c r="M126" i="9" s="1"/>
  <c r="M127" i="9" a="1"/>
  <c r="M127" i="9" s="1"/>
  <c r="M128" i="9" a="1"/>
  <c r="M128" i="9" s="1"/>
  <c r="M129" i="9" a="1"/>
  <c r="M129" i="9" s="1"/>
  <c r="M130" i="9" a="1"/>
  <c r="M130" i="9" s="1"/>
  <c r="M131" i="9" a="1"/>
  <c r="M131" i="9"/>
  <c r="M132" i="9" a="1"/>
  <c r="M132" i="9" s="1"/>
  <c r="M133" i="9" a="1"/>
  <c r="M133" i="9" s="1"/>
  <c r="M134" i="9" a="1"/>
  <c r="M134" i="9" s="1"/>
  <c r="M135" i="9" a="1"/>
  <c r="M135" i="9" s="1"/>
  <c r="M136" i="9" a="1"/>
  <c r="M136" i="9" s="1"/>
  <c r="M137" i="9" a="1"/>
  <c r="M137" i="9"/>
  <c r="M138" i="9" a="1"/>
  <c r="M138" i="9" s="1"/>
  <c r="M139" i="9" a="1"/>
  <c r="M139" i="9" s="1"/>
  <c r="M140" i="9" a="1"/>
  <c r="M140" i="9" s="1"/>
  <c r="M141" i="9" a="1"/>
  <c r="M141" i="9" s="1"/>
  <c r="M142" i="9" a="1"/>
  <c r="M142" i="9" s="1"/>
  <c r="M143" i="9" a="1"/>
  <c r="M143" i="9"/>
  <c r="M144" i="9" a="1"/>
  <c r="M144" i="9" s="1"/>
  <c r="M145" i="9" a="1"/>
  <c r="M145" i="9" s="1"/>
  <c r="M146" i="9" a="1"/>
  <c r="M146" i="9" s="1"/>
  <c r="M147" i="9" a="1"/>
  <c r="M147" i="9" s="1"/>
  <c r="M148" i="9" a="1"/>
  <c r="M148" i="9" s="1"/>
  <c r="M149" i="9" a="1"/>
  <c r="M149" i="9"/>
  <c r="M150" i="9" a="1"/>
  <c r="M150" i="9" s="1"/>
  <c r="M151" i="9" a="1"/>
  <c r="M151" i="9" s="1"/>
  <c r="M152" i="9" a="1"/>
  <c r="M152" i="9" s="1"/>
  <c r="M153" i="9" a="1"/>
  <c r="M153" i="9" s="1"/>
  <c r="K2" i="9" a="1"/>
  <c r="K2" i="9" s="1"/>
  <c r="K3" i="9" a="1"/>
  <c r="K3" i="9"/>
  <c r="K4" i="9" a="1"/>
  <c r="K4" i="9"/>
  <c r="K5" i="9" a="1"/>
  <c r="K5" i="9" s="1"/>
  <c r="K6" i="9" a="1"/>
  <c r="K6" i="9" s="1"/>
  <c r="K7" i="9" a="1"/>
  <c r="K7" i="9"/>
  <c r="K8" i="9" a="1"/>
  <c r="K8" i="9" s="1"/>
  <c r="K9" i="9" a="1"/>
  <c r="K9" i="9"/>
  <c r="K10" i="9" a="1"/>
  <c r="K10" i="9"/>
  <c r="K11" i="9" a="1"/>
  <c r="K11" i="9" s="1"/>
  <c r="K12" i="9" a="1"/>
  <c r="K12" i="9" s="1"/>
  <c r="K13" i="9" a="1"/>
  <c r="K13" i="9"/>
  <c r="K14" i="9" a="1"/>
  <c r="K14" i="9" s="1"/>
  <c r="K15" i="9" a="1"/>
  <c r="K15" i="9"/>
  <c r="K16" i="9" a="1"/>
  <c r="K16" i="9"/>
  <c r="K17" i="9" a="1"/>
  <c r="K17" i="9" s="1"/>
  <c r="K18" i="9" a="1"/>
  <c r="K18" i="9" s="1"/>
  <c r="K19" i="9" a="1"/>
  <c r="K19" i="9"/>
  <c r="K20" i="9" a="1"/>
  <c r="K20" i="9" s="1"/>
  <c r="K21" i="9" a="1"/>
  <c r="K21" i="9"/>
  <c r="K22" i="9" a="1"/>
  <c r="K22" i="9"/>
  <c r="K23" i="9" a="1"/>
  <c r="K23" i="9" s="1"/>
  <c r="K24" i="9" a="1"/>
  <c r="K24" i="9" s="1"/>
  <c r="K25" i="9" a="1"/>
  <c r="K25" i="9"/>
  <c r="K26" i="9" a="1"/>
  <c r="K26" i="9" s="1"/>
  <c r="K27" i="9" a="1"/>
  <c r="K27" i="9"/>
  <c r="K28" i="9" a="1"/>
  <c r="K28" i="9"/>
  <c r="K29" i="9" a="1"/>
  <c r="K29" i="9" s="1"/>
  <c r="K30" i="9" a="1"/>
  <c r="K30" i="9" s="1"/>
  <c r="K31" i="9" a="1"/>
  <c r="K31" i="9"/>
  <c r="K32" i="9" a="1"/>
  <c r="K32" i="9" s="1"/>
  <c r="K33" i="9" a="1"/>
  <c r="K33" i="9"/>
  <c r="K34" i="9" a="1"/>
  <c r="K34" i="9"/>
  <c r="K35" i="9" a="1"/>
  <c r="K35" i="9" s="1"/>
  <c r="K36" i="9" a="1"/>
  <c r="K36" i="9" s="1"/>
  <c r="K37" i="9" a="1"/>
  <c r="K37" i="9"/>
  <c r="K38" i="9" a="1"/>
  <c r="K38" i="9" s="1"/>
  <c r="K39" i="9" a="1"/>
  <c r="K39" i="9"/>
  <c r="K40" i="9" a="1"/>
  <c r="K40" i="9"/>
  <c r="K41" i="9" a="1"/>
  <c r="K41" i="9" s="1"/>
  <c r="K42" i="9" a="1"/>
  <c r="K42" i="9" s="1"/>
  <c r="K43" i="9" a="1"/>
  <c r="K43" i="9"/>
  <c r="K44" i="9" a="1"/>
  <c r="K44" i="9" s="1"/>
  <c r="K45" i="9" a="1"/>
  <c r="K45" i="9"/>
  <c r="K46" i="9" a="1"/>
  <c r="K46" i="9"/>
  <c r="K47" i="9" a="1"/>
  <c r="K47" i="9" s="1"/>
  <c r="K48" i="9" a="1"/>
  <c r="K48" i="9" s="1"/>
  <c r="K49" i="9" a="1"/>
  <c r="K49" i="9"/>
  <c r="K50" i="9" a="1"/>
  <c r="K50" i="9" s="1"/>
  <c r="K51" i="9" a="1"/>
  <c r="K51" i="9"/>
  <c r="K52" i="9" a="1"/>
  <c r="K52" i="9"/>
  <c r="K53" i="9" a="1"/>
  <c r="K53" i="9" s="1"/>
  <c r="K54" i="9" a="1"/>
  <c r="K54" i="9" s="1"/>
  <c r="K55" i="9" a="1"/>
  <c r="K55" i="9"/>
  <c r="K56" i="9" a="1"/>
  <c r="K56" i="9" s="1"/>
  <c r="K57" i="9" a="1"/>
  <c r="K57" i="9"/>
  <c r="K58" i="9" a="1"/>
  <c r="K58" i="9"/>
  <c r="K59" i="9" a="1"/>
  <c r="K59" i="9" s="1"/>
  <c r="K60" i="9" a="1"/>
  <c r="K60" i="9" s="1"/>
  <c r="K61" i="9" a="1"/>
  <c r="K61" i="9"/>
  <c r="K62" i="9" a="1"/>
  <c r="K62" i="9" s="1"/>
  <c r="K63" i="9" a="1"/>
  <c r="K63" i="9"/>
  <c r="K64" i="9" a="1"/>
  <c r="K64" i="9"/>
  <c r="K65" i="9" a="1"/>
  <c r="K65" i="9" s="1"/>
  <c r="K66" i="9" a="1"/>
  <c r="K66" i="9" s="1"/>
  <c r="K67" i="9" a="1"/>
  <c r="K67" i="9"/>
  <c r="K68" i="9" a="1"/>
  <c r="K68" i="9" s="1"/>
  <c r="K69" i="9" a="1"/>
  <c r="K69" i="9"/>
  <c r="K70" i="9" a="1"/>
  <c r="K70" i="9"/>
  <c r="K71" i="9" a="1"/>
  <c r="K71" i="9" s="1"/>
  <c r="K72" i="9" a="1"/>
  <c r="K72" i="9" s="1"/>
  <c r="K73" i="9" a="1"/>
  <c r="K73" i="9"/>
  <c r="K74" i="9" a="1"/>
  <c r="K74" i="9" s="1"/>
  <c r="K75" i="9" a="1"/>
  <c r="K75" i="9"/>
  <c r="K76" i="9" a="1"/>
  <c r="K76" i="9"/>
  <c r="K77" i="9" a="1"/>
  <c r="K77" i="9" s="1"/>
  <c r="K78" i="9" a="1"/>
  <c r="K78" i="9" s="1"/>
  <c r="K79" i="9" a="1"/>
  <c r="K79" i="9"/>
  <c r="K80" i="9" a="1"/>
  <c r="K80" i="9" s="1"/>
  <c r="K81" i="9" a="1"/>
  <c r="K81" i="9"/>
  <c r="K82" i="9" a="1"/>
  <c r="K82" i="9"/>
  <c r="K83" i="9" a="1"/>
  <c r="K83" i="9" s="1"/>
  <c r="K84" i="9" a="1"/>
  <c r="K84" i="9" s="1"/>
  <c r="K85" i="9" a="1"/>
  <c r="K85" i="9"/>
  <c r="K86" i="9" a="1"/>
  <c r="K86" i="9" s="1"/>
  <c r="K87" i="9" a="1"/>
  <c r="K87" i="9"/>
  <c r="K88" i="9" a="1"/>
  <c r="K88" i="9"/>
  <c r="K89" i="9" a="1"/>
  <c r="K89" i="9" s="1"/>
  <c r="K90" i="9" a="1"/>
  <c r="K90" i="9" s="1"/>
  <c r="K91" i="9" a="1"/>
  <c r="K91" i="9"/>
  <c r="K92" i="9" a="1"/>
  <c r="K92" i="9" s="1"/>
  <c r="K93" i="9" a="1"/>
  <c r="K93" i="9"/>
  <c r="K94" i="9" a="1"/>
  <c r="K94" i="9"/>
  <c r="K95" i="9" a="1"/>
  <c r="K95" i="9" s="1"/>
  <c r="K96" i="9" a="1"/>
  <c r="K96" i="9" s="1"/>
  <c r="K97" i="9" a="1"/>
  <c r="K97" i="9"/>
  <c r="K98" i="9" a="1"/>
  <c r="K98" i="9" s="1"/>
  <c r="K99" i="9" a="1"/>
  <c r="K99" i="9"/>
  <c r="K100" i="9" a="1"/>
  <c r="K100" i="9"/>
  <c r="K101" i="9" a="1"/>
  <c r="K101" i="9" s="1"/>
  <c r="K102" i="9" a="1"/>
  <c r="K102" i="9" s="1"/>
  <c r="K103" i="9" a="1"/>
  <c r="K103" i="9"/>
  <c r="K104" i="9" a="1"/>
  <c r="K104" i="9" s="1"/>
  <c r="K105" i="9" a="1"/>
  <c r="K105" i="9"/>
  <c r="K106" i="9" a="1"/>
  <c r="K106" i="9"/>
  <c r="K107" i="9" a="1"/>
  <c r="K107" i="9" s="1"/>
  <c r="K108" i="9" a="1"/>
  <c r="K108" i="9" s="1"/>
  <c r="K109" i="9" a="1"/>
  <c r="K109" i="9"/>
  <c r="K110" i="9" a="1"/>
  <c r="K110" i="9" s="1"/>
  <c r="K111" i="9" a="1"/>
  <c r="K111" i="9"/>
  <c r="K112" i="9" a="1"/>
  <c r="K112" i="9"/>
  <c r="K113" i="9" a="1"/>
  <c r="K113" i="9" s="1"/>
  <c r="K114" i="9" a="1"/>
  <c r="K114" i="9" s="1"/>
  <c r="K115" i="9" a="1"/>
  <c r="K115" i="9"/>
  <c r="K116" i="9" a="1"/>
  <c r="K116" i="9" s="1"/>
  <c r="K117" i="9" a="1"/>
  <c r="K117" i="9"/>
  <c r="K118" i="9" a="1"/>
  <c r="K118" i="9"/>
  <c r="K119" i="9" a="1"/>
  <c r="K119" i="9" s="1"/>
  <c r="K120" i="9" a="1"/>
  <c r="K120" i="9" s="1"/>
  <c r="K121" i="9" a="1"/>
  <c r="K121" i="9"/>
  <c r="K122" i="9" a="1"/>
  <c r="K122" i="9" s="1"/>
  <c r="K123" i="9" a="1"/>
  <c r="K123" i="9"/>
  <c r="K124" i="9" a="1"/>
  <c r="K124" i="9"/>
  <c r="K125" i="9" a="1"/>
  <c r="K125" i="9" s="1"/>
  <c r="K126" i="9" a="1"/>
  <c r="K126" i="9" s="1"/>
  <c r="K127" i="9" a="1"/>
  <c r="K127" i="9"/>
  <c r="K128" i="9" a="1"/>
  <c r="K128" i="9" s="1"/>
  <c r="K129" i="9" a="1"/>
  <c r="K129" i="9"/>
  <c r="K130" i="9" a="1"/>
  <c r="K130" i="9"/>
  <c r="K131" i="9" a="1"/>
  <c r="K131" i="9" s="1"/>
  <c r="K132" i="9" a="1"/>
  <c r="K132" i="9" s="1"/>
  <c r="K133" i="9" a="1"/>
  <c r="K133" i="9"/>
  <c r="K134" i="9" a="1"/>
  <c r="K134" i="9" s="1"/>
  <c r="K135" i="9" a="1"/>
  <c r="K135" i="9"/>
  <c r="K136" i="9" a="1"/>
  <c r="K136" i="9" s="1"/>
  <c r="K137" i="9" a="1"/>
  <c r="K137" i="9" s="1"/>
  <c r="K138" i="9" a="1"/>
  <c r="K138" i="9" s="1"/>
  <c r="K139" i="9" a="1"/>
  <c r="K139" i="9"/>
  <c r="K140" i="9" a="1"/>
  <c r="K140" i="9" s="1"/>
  <c r="K141" i="9" a="1"/>
  <c r="K141" i="9" s="1"/>
  <c r="K142" i="9" a="1"/>
  <c r="K142" i="9" s="1"/>
  <c r="K143" i="9" a="1"/>
  <c r="K143" i="9" s="1"/>
  <c r="K144" i="9" a="1"/>
  <c r="K144" i="9" s="1"/>
  <c r="K145" i="9" a="1"/>
  <c r="K145" i="9"/>
  <c r="K146" i="9" a="1"/>
  <c r="K146" i="9" s="1"/>
  <c r="K147" i="9" a="1"/>
  <c r="K147" i="9" s="1"/>
  <c r="K148" i="9" a="1"/>
  <c r="K148" i="9" s="1"/>
  <c r="K149" i="9" a="1"/>
  <c r="K149" i="9" s="1"/>
  <c r="K150" i="9" a="1"/>
  <c r="K150" i="9" s="1"/>
  <c r="K151" i="9" a="1"/>
  <c r="K151" i="9"/>
  <c r="K152" i="9" a="1"/>
  <c r="K152" i="9" s="1"/>
  <c r="K153" i="9" a="1"/>
  <c r="K153" i="9" s="1"/>
  <c r="J2" i="9" a="1"/>
  <c r="J2" i="9" s="1"/>
  <c r="J3" i="9" a="1"/>
  <c r="J3" i="9"/>
  <c r="J4" i="9" a="1"/>
  <c r="J4" i="9" s="1"/>
  <c r="J5" i="9" a="1"/>
  <c r="J5" i="9" s="1"/>
  <c r="J6" i="9" a="1"/>
  <c r="J6" i="9"/>
  <c r="J7" i="9" a="1"/>
  <c r="J7" i="9" s="1"/>
  <c r="J8" i="9" a="1"/>
  <c r="J8" i="9" s="1"/>
  <c r="J9" i="9" a="1"/>
  <c r="J9" i="9"/>
  <c r="J10" i="9" a="1"/>
  <c r="J10" i="9" s="1"/>
  <c r="J11" i="9" a="1"/>
  <c r="J11" i="9" s="1"/>
  <c r="J12" i="9" a="1"/>
  <c r="J12" i="9"/>
  <c r="J13" i="9" a="1"/>
  <c r="J13" i="9" s="1"/>
  <c r="J14" i="9" a="1"/>
  <c r="J14" i="9" s="1"/>
  <c r="J15" i="9" a="1"/>
  <c r="J15" i="9"/>
  <c r="J16" i="9" a="1"/>
  <c r="J16" i="9" s="1"/>
  <c r="J17" i="9" a="1"/>
  <c r="J17" i="9" s="1"/>
  <c r="J18" i="9" a="1"/>
  <c r="J18" i="9"/>
  <c r="J19" i="9" a="1"/>
  <c r="J19" i="9" s="1"/>
  <c r="J20" i="9" a="1"/>
  <c r="J20" i="9" s="1"/>
  <c r="J21" i="9" a="1"/>
  <c r="J21" i="9" s="1"/>
  <c r="J22" i="9" a="1"/>
  <c r="J22" i="9" s="1"/>
  <c r="J23" i="9" a="1"/>
  <c r="J23" i="9" s="1"/>
  <c r="J24" i="9" a="1"/>
  <c r="J24" i="9"/>
  <c r="J25" i="9" a="1"/>
  <c r="J25" i="9" s="1"/>
  <c r="J26" i="9" a="1"/>
  <c r="J26" i="9" s="1"/>
  <c r="J27" i="9" a="1"/>
  <c r="J27" i="9" s="1"/>
  <c r="J28" i="9" a="1"/>
  <c r="J28" i="9" s="1"/>
  <c r="J29" i="9" a="1"/>
  <c r="J29" i="9" s="1"/>
  <c r="J30" i="9" a="1"/>
  <c r="J30" i="9"/>
  <c r="J31" i="9" a="1"/>
  <c r="J31" i="9" s="1"/>
  <c r="J32" i="9" a="1"/>
  <c r="J32" i="9" s="1"/>
  <c r="J33" i="9" a="1"/>
  <c r="J33" i="9" s="1"/>
  <c r="J34" i="9" a="1"/>
  <c r="J34" i="9" s="1"/>
  <c r="J35" i="9" a="1"/>
  <c r="J35" i="9" s="1"/>
  <c r="J36" i="9" a="1"/>
  <c r="J36" i="9"/>
  <c r="J37" i="9" a="1"/>
  <c r="J37" i="9" s="1"/>
  <c r="J38" i="9" a="1"/>
  <c r="J38" i="9" s="1"/>
  <c r="J39" i="9" a="1"/>
  <c r="J39" i="9" s="1"/>
  <c r="J40" i="9" a="1"/>
  <c r="J40" i="9" s="1"/>
  <c r="J41" i="9" a="1"/>
  <c r="J41" i="9" s="1"/>
  <c r="J42" i="9" a="1"/>
  <c r="J42" i="9"/>
  <c r="J43" i="9" a="1"/>
  <c r="J43" i="9" s="1"/>
  <c r="J44" i="9" a="1"/>
  <c r="J44" i="9" s="1"/>
  <c r="J45" i="9" a="1"/>
  <c r="J45" i="9" s="1"/>
  <c r="J46" i="9" a="1"/>
  <c r="J46" i="9" s="1"/>
  <c r="J47" i="9" a="1"/>
  <c r="J47" i="9" s="1"/>
  <c r="J48" i="9" a="1"/>
  <c r="J48" i="9"/>
  <c r="J49" i="9" a="1"/>
  <c r="J49" i="9" s="1"/>
  <c r="J50" i="9" a="1"/>
  <c r="J50" i="9" s="1"/>
  <c r="J51" i="9" a="1"/>
  <c r="J51" i="9" s="1"/>
  <c r="J52" i="9" a="1"/>
  <c r="J52" i="9" s="1"/>
  <c r="J53" i="9" a="1"/>
  <c r="J53" i="9" s="1"/>
  <c r="J54" i="9" a="1"/>
  <c r="J54" i="9"/>
  <c r="J55" i="9" a="1"/>
  <c r="J55" i="9" s="1"/>
  <c r="J56" i="9" a="1"/>
  <c r="J56" i="9" s="1"/>
  <c r="J57" i="9" a="1"/>
  <c r="J57" i="9" s="1"/>
  <c r="J58" i="9" a="1"/>
  <c r="J58" i="9" s="1"/>
  <c r="J59" i="9" a="1"/>
  <c r="J59" i="9" s="1"/>
  <c r="J60" i="9" a="1"/>
  <c r="J60" i="9"/>
  <c r="J61" i="9" a="1"/>
  <c r="J61" i="9" s="1"/>
  <c r="J62" i="9" a="1"/>
  <c r="J62" i="9" s="1"/>
  <c r="J63" i="9" a="1"/>
  <c r="J63" i="9" s="1"/>
  <c r="J64" i="9" a="1"/>
  <c r="J64" i="9" s="1"/>
  <c r="J65" i="9" a="1"/>
  <c r="J65" i="9" s="1"/>
  <c r="J66" i="9" a="1"/>
  <c r="J66" i="9"/>
  <c r="J67" i="9" a="1"/>
  <c r="J67" i="9" s="1"/>
  <c r="J68" i="9" a="1"/>
  <c r="J68" i="9" s="1"/>
  <c r="J69" i="9" a="1"/>
  <c r="J69" i="9" s="1"/>
  <c r="J70" i="9" a="1"/>
  <c r="J70" i="9" s="1"/>
  <c r="J71" i="9" a="1"/>
  <c r="J71" i="9" s="1"/>
  <c r="J72" i="9" a="1"/>
  <c r="J72" i="9"/>
  <c r="J73" i="9" a="1"/>
  <c r="J73" i="9" s="1"/>
  <c r="J74" i="9" a="1"/>
  <c r="J74" i="9" s="1"/>
  <c r="J75" i="9" a="1"/>
  <c r="J75" i="9" s="1"/>
  <c r="J76" i="9" a="1"/>
  <c r="J76" i="9" s="1"/>
  <c r="J77" i="9" a="1"/>
  <c r="J77" i="9" s="1"/>
  <c r="J78" i="9" a="1"/>
  <c r="J78" i="9"/>
  <c r="J79" i="9" a="1"/>
  <c r="J79" i="9" s="1"/>
  <c r="J80" i="9" a="1"/>
  <c r="J80" i="9" s="1"/>
  <c r="J81" i="9" a="1"/>
  <c r="J81" i="9" s="1"/>
  <c r="J82" i="9" a="1"/>
  <c r="J82" i="9" s="1"/>
  <c r="J83" i="9" a="1"/>
  <c r="J83" i="9" s="1"/>
  <c r="J84" i="9" a="1"/>
  <c r="J84" i="9"/>
  <c r="J85" i="9" a="1"/>
  <c r="J85" i="9" s="1"/>
  <c r="J86" i="9" a="1"/>
  <c r="J86" i="9" s="1"/>
  <c r="J87" i="9" a="1"/>
  <c r="J87" i="9" s="1"/>
  <c r="J88" i="9" a="1"/>
  <c r="J88" i="9" s="1"/>
  <c r="J89" i="9" a="1"/>
  <c r="J89" i="9" s="1"/>
  <c r="J90" i="9" a="1"/>
  <c r="J90" i="9"/>
  <c r="J91" i="9" a="1"/>
  <c r="J91" i="9" s="1"/>
  <c r="J92" i="9" a="1"/>
  <c r="J92" i="9" s="1"/>
  <c r="J93" i="9" a="1"/>
  <c r="J93" i="9" s="1"/>
  <c r="J94" i="9" a="1"/>
  <c r="J94" i="9" s="1"/>
  <c r="J95" i="9" a="1"/>
  <c r="J95" i="9" s="1"/>
  <c r="J96" i="9" a="1"/>
  <c r="J96" i="9"/>
  <c r="J97" i="9" a="1"/>
  <c r="J97" i="9" s="1"/>
  <c r="J98" i="9" a="1"/>
  <c r="J98" i="9" s="1"/>
  <c r="J99" i="9" a="1"/>
  <c r="J99" i="9" s="1"/>
  <c r="J100" i="9" a="1"/>
  <c r="J100" i="9" s="1"/>
  <c r="J101" i="9" a="1"/>
  <c r="J101" i="9" s="1"/>
  <c r="J102" i="9" a="1"/>
  <c r="J102" i="9"/>
  <c r="J103" i="9" a="1"/>
  <c r="J103" i="9" s="1"/>
  <c r="J104" i="9" a="1"/>
  <c r="J104" i="9" s="1"/>
  <c r="J105" i="9" a="1"/>
  <c r="J105" i="9" s="1"/>
  <c r="J106" i="9" a="1"/>
  <c r="J106" i="9" s="1"/>
  <c r="J107" i="9" a="1"/>
  <c r="J107" i="9" s="1"/>
  <c r="J108" i="9" a="1"/>
  <c r="J108" i="9"/>
  <c r="J109" i="9" a="1"/>
  <c r="J109" i="9" s="1"/>
  <c r="J110" i="9" a="1"/>
  <c r="J110" i="9" s="1"/>
  <c r="J111" i="9" a="1"/>
  <c r="J111" i="9" s="1"/>
  <c r="J112" i="9" a="1"/>
  <c r="J112" i="9" s="1"/>
  <c r="J113" i="9" a="1"/>
  <c r="J113" i="9" s="1"/>
  <c r="J114" i="9" a="1"/>
  <c r="J114" i="9"/>
  <c r="J115" i="9" a="1"/>
  <c r="J115" i="9" s="1"/>
  <c r="J116" i="9" a="1"/>
  <c r="J116" i="9" s="1"/>
  <c r="J117" i="9" a="1"/>
  <c r="J117" i="9" s="1"/>
  <c r="J118" i="9" a="1"/>
  <c r="J118" i="9" s="1"/>
  <c r="J119" i="9" a="1"/>
  <c r="J119" i="9" s="1"/>
  <c r="J120" i="9" a="1"/>
  <c r="J120" i="9"/>
  <c r="J121" i="9" a="1"/>
  <c r="J121" i="9" s="1"/>
  <c r="J122" i="9" a="1"/>
  <c r="J122" i="9" s="1"/>
  <c r="J123" i="9" a="1"/>
  <c r="J123" i="9" s="1"/>
  <c r="J124" i="9" a="1"/>
  <c r="J124" i="9" s="1"/>
  <c r="J125" i="9" a="1"/>
  <c r="J125" i="9" s="1"/>
  <c r="J126" i="9" a="1"/>
  <c r="J126" i="9"/>
  <c r="J127" i="9" a="1"/>
  <c r="J127" i="9" s="1"/>
  <c r="J128" i="9" a="1"/>
  <c r="J128" i="9" s="1"/>
  <c r="J129" i="9" a="1"/>
  <c r="J129" i="9" s="1"/>
  <c r="J130" i="9" a="1"/>
  <c r="J130" i="9" s="1"/>
  <c r="J131" i="9" a="1"/>
  <c r="J131" i="9" s="1"/>
  <c r="J132" i="9" a="1"/>
  <c r="J132" i="9"/>
  <c r="J133" i="9" a="1"/>
  <c r="J133" i="9" s="1"/>
  <c r="J134" i="9" a="1"/>
  <c r="J134" i="9" s="1"/>
  <c r="J135" i="9" a="1"/>
  <c r="J135" i="9" s="1"/>
  <c r="J136" i="9" a="1"/>
  <c r="J136" i="9" s="1"/>
  <c r="J137" i="9" a="1"/>
  <c r="J137" i="9" s="1"/>
  <c r="J138" i="9" a="1"/>
  <c r="J138" i="9"/>
  <c r="J139" i="9" a="1"/>
  <c r="J139" i="9" s="1"/>
  <c r="J140" i="9" a="1"/>
  <c r="J140" i="9" s="1"/>
  <c r="J141" i="9" a="1"/>
  <c r="J141" i="9" s="1"/>
  <c r="J142" i="9" a="1"/>
  <c r="J142" i="9" s="1"/>
  <c r="J143" i="9" a="1"/>
  <c r="J143" i="9" s="1"/>
  <c r="J144" i="9" a="1"/>
  <c r="J144" i="9"/>
  <c r="J145" i="9" a="1"/>
  <c r="J145" i="9" s="1"/>
  <c r="J146" i="9" a="1"/>
  <c r="J146" i="9" s="1"/>
  <c r="J147" i="9" a="1"/>
  <c r="J147" i="9" s="1"/>
  <c r="J148" i="9" a="1"/>
  <c r="J148" i="9" s="1"/>
  <c r="J149" i="9" a="1"/>
  <c r="J149" i="9" s="1"/>
  <c r="J150" i="9" a="1"/>
  <c r="J150" i="9"/>
  <c r="J151" i="9" a="1"/>
  <c r="J151" i="9" s="1"/>
  <c r="J152" i="9" a="1"/>
  <c r="J152" i="9" s="1"/>
  <c r="J153" i="9" a="1"/>
  <c r="J153" i="9" s="1"/>
  <c r="I2" i="9" a="1"/>
  <c r="I2" i="9"/>
  <c r="I3" i="9" a="1"/>
  <c r="I3" i="9"/>
  <c r="I4" i="9" a="1"/>
  <c r="I4" i="9" s="1"/>
  <c r="I5" i="9" a="1"/>
  <c r="I5" i="9" s="1"/>
  <c r="I6" i="9" a="1"/>
  <c r="I6" i="9" s="1"/>
  <c r="I7" i="9" a="1"/>
  <c r="I7" i="9" s="1"/>
  <c r="I8" i="9" a="1"/>
  <c r="I8" i="9"/>
  <c r="I9" i="9" a="1"/>
  <c r="I9" i="9"/>
  <c r="I10" i="9" a="1"/>
  <c r="I10" i="9" s="1"/>
  <c r="I11" i="9" a="1"/>
  <c r="I11" i="9" s="1"/>
  <c r="I12" i="9" a="1"/>
  <c r="I12" i="9" s="1"/>
  <c r="I13" i="9" a="1"/>
  <c r="I13" i="9" s="1"/>
  <c r="I14" i="9" a="1"/>
  <c r="I14" i="9"/>
  <c r="I15" i="9" a="1"/>
  <c r="I15" i="9"/>
  <c r="I16" i="9" a="1"/>
  <c r="I16" i="9" s="1"/>
  <c r="I17" i="9" a="1"/>
  <c r="I17" i="9" s="1"/>
  <c r="I18" i="9" a="1"/>
  <c r="I18" i="9" s="1"/>
  <c r="I19" i="9" a="1"/>
  <c r="I19" i="9" s="1"/>
  <c r="I20" i="9" a="1"/>
  <c r="I20" i="9"/>
  <c r="I21" i="9" a="1"/>
  <c r="I21" i="9"/>
  <c r="I22" i="9" a="1"/>
  <c r="I22" i="9" s="1"/>
  <c r="I23" i="9" a="1"/>
  <c r="I23" i="9" s="1"/>
  <c r="I24" i="9" a="1"/>
  <c r="I24" i="9" s="1"/>
  <c r="I25" i="9" a="1"/>
  <c r="I25" i="9" s="1"/>
  <c r="I26" i="9" a="1"/>
  <c r="I26" i="9"/>
  <c r="I27" i="9" a="1"/>
  <c r="I27" i="9"/>
  <c r="I28" i="9" a="1"/>
  <c r="I28" i="9" s="1"/>
  <c r="I29" i="9" a="1"/>
  <c r="I29" i="9" s="1"/>
  <c r="I30" i="9" a="1"/>
  <c r="I30" i="9" s="1"/>
  <c r="I31" i="9" a="1"/>
  <c r="I31" i="9" s="1"/>
  <c r="I32" i="9" a="1"/>
  <c r="I32" i="9"/>
  <c r="I33" i="9" a="1"/>
  <c r="I33" i="9"/>
  <c r="I34" i="9" a="1"/>
  <c r="I34" i="9" s="1"/>
  <c r="I35" i="9" a="1"/>
  <c r="I35" i="9" s="1"/>
  <c r="I36" i="9" a="1"/>
  <c r="I36" i="9" s="1"/>
  <c r="I37" i="9" a="1"/>
  <c r="I37" i="9" s="1"/>
  <c r="I38" i="9" a="1"/>
  <c r="I38" i="9"/>
  <c r="I39" i="9" a="1"/>
  <c r="I39" i="9"/>
  <c r="I40" i="9" a="1"/>
  <c r="I40" i="9" s="1"/>
  <c r="I41" i="9" a="1"/>
  <c r="I41" i="9" s="1"/>
  <c r="I42" i="9" a="1"/>
  <c r="I42" i="9" s="1"/>
  <c r="I43" i="9" a="1"/>
  <c r="I43" i="9" s="1"/>
  <c r="I44" i="9" a="1"/>
  <c r="I44" i="9"/>
  <c r="I45" i="9" a="1"/>
  <c r="I45" i="9"/>
  <c r="I46" i="9" a="1"/>
  <c r="I46" i="9" s="1"/>
  <c r="I47" i="9" a="1"/>
  <c r="I47" i="9" s="1"/>
  <c r="I48" i="9" a="1"/>
  <c r="I48" i="9" s="1"/>
  <c r="I49" i="9" a="1"/>
  <c r="I49" i="9" s="1"/>
  <c r="I50" i="9" a="1"/>
  <c r="I50" i="9"/>
  <c r="I51" i="9" a="1"/>
  <c r="I51" i="9"/>
  <c r="I52" i="9" a="1"/>
  <c r="I52" i="9" s="1"/>
  <c r="I53" i="9" a="1"/>
  <c r="I53" i="9" s="1"/>
  <c r="I54" i="9" a="1"/>
  <c r="I54" i="9" s="1"/>
  <c r="I55" i="9" a="1"/>
  <c r="I55" i="9" s="1"/>
  <c r="I56" i="9" a="1"/>
  <c r="I56" i="9"/>
  <c r="I57" i="9" a="1"/>
  <c r="I57" i="9"/>
  <c r="I58" i="9" a="1"/>
  <c r="I58" i="9" s="1"/>
  <c r="I59" i="9" a="1"/>
  <c r="I59" i="9" s="1"/>
  <c r="I60" i="9" a="1"/>
  <c r="I60" i="9" s="1"/>
  <c r="I61" i="9" a="1"/>
  <c r="I61" i="9" s="1"/>
  <c r="I62" i="9" a="1"/>
  <c r="I62" i="9"/>
  <c r="I63" i="9" a="1"/>
  <c r="I63" i="9"/>
  <c r="I64" i="9" a="1"/>
  <c r="I64" i="9" s="1"/>
  <c r="I65" i="9" a="1"/>
  <c r="I65" i="9" s="1"/>
  <c r="I66" i="9" a="1"/>
  <c r="I66" i="9" s="1"/>
  <c r="I67" i="9" a="1"/>
  <c r="I67" i="9" s="1"/>
  <c r="I68" i="9" a="1"/>
  <c r="I68" i="9" s="1"/>
  <c r="I69" i="9" a="1"/>
  <c r="I69" i="9" s="1"/>
  <c r="I70" i="9" a="1"/>
  <c r="I70" i="9" s="1"/>
  <c r="I71" i="9" a="1"/>
  <c r="I71" i="9" s="1"/>
  <c r="I72" i="9" a="1"/>
  <c r="I72" i="9" s="1"/>
  <c r="I73" i="9" a="1"/>
  <c r="I73" i="9" s="1"/>
  <c r="I74" i="9" a="1"/>
  <c r="I74" i="9" s="1"/>
  <c r="I75" i="9" a="1"/>
  <c r="I75" i="9" s="1"/>
  <c r="I76" i="9" a="1"/>
  <c r="I76" i="9" s="1"/>
  <c r="I77" i="9" a="1"/>
  <c r="I77" i="9" s="1"/>
  <c r="I78" i="9" a="1"/>
  <c r="I78" i="9" s="1"/>
  <c r="I79" i="9" a="1"/>
  <c r="I79" i="9" s="1"/>
  <c r="I80" i="9" a="1"/>
  <c r="I80" i="9" s="1"/>
  <c r="I81" i="9" a="1"/>
  <c r="I81" i="9" s="1"/>
  <c r="I82" i="9" a="1"/>
  <c r="I82" i="9" s="1"/>
  <c r="I83" i="9" a="1"/>
  <c r="I83" i="9" s="1"/>
  <c r="I84" i="9" a="1"/>
  <c r="I84" i="9" s="1"/>
  <c r="I85" i="9" a="1"/>
  <c r="I85" i="9" s="1"/>
  <c r="I86" i="9" a="1"/>
  <c r="I86" i="9" s="1"/>
  <c r="I87" i="9" a="1"/>
  <c r="I87" i="9" s="1"/>
  <c r="I88" i="9" a="1"/>
  <c r="I88" i="9" s="1"/>
  <c r="I89" i="9" a="1"/>
  <c r="I89" i="9" s="1"/>
  <c r="I90" i="9" a="1"/>
  <c r="I90" i="9" s="1"/>
  <c r="I91" i="9" a="1"/>
  <c r="I91" i="9" s="1"/>
  <c r="I92" i="9" a="1"/>
  <c r="I92" i="9" s="1"/>
  <c r="I93" i="9" a="1"/>
  <c r="I93" i="9" s="1"/>
  <c r="I94" i="9" a="1"/>
  <c r="I94" i="9" s="1"/>
  <c r="I95" i="9" a="1"/>
  <c r="I95" i="9" s="1"/>
  <c r="I96" i="9" a="1"/>
  <c r="I96" i="9" s="1"/>
  <c r="I97" i="9" a="1"/>
  <c r="I97" i="9" s="1"/>
  <c r="I98" i="9" a="1"/>
  <c r="I98" i="9" s="1"/>
  <c r="I99" i="9" a="1"/>
  <c r="I99" i="9" s="1"/>
  <c r="I100" i="9" a="1"/>
  <c r="I100" i="9" s="1"/>
  <c r="I101" i="9" a="1"/>
  <c r="I101" i="9" s="1"/>
  <c r="I102" i="9" a="1"/>
  <c r="I102" i="9" s="1"/>
  <c r="I103" i="9" a="1"/>
  <c r="I103" i="9" s="1"/>
  <c r="I104" i="9" a="1"/>
  <c r="I104" i="9" s="1"/>
  <c r="I105" i="9" a="1"/>
  <c r="I105" i="9" s="1"/>
  <c r="I106" i="9" a="1"/>
  <c r="I106" i="9" s="1"/>
  <c r="I107" i="9" a="1"/>
  <c r="I107" i="9" s="1"/>
  <c r="I108" i="9" a="1"/>
  <c r="I108" i="9" s="1"/>
  <c r="I109" i="9" a="1"/>
  <c r="I109" i="9" s="1"/>
  <c r="I110" i="9" a="1"/>
  <c r="I110" i="9" s="1"/>
  <c r="I111" i="9" a="1"/>
  <c r="I111" i="9" s="1"/>
  <c r="I112" i="9" a="1"/>
  <c r="I112" i="9" s="1"/>
  <c r="I113" i="9" a="1"/>
  <c r="I113" i="9" s="1"/>
  <c r="I114" i="9" a="1"/>
  <c r="I114" i="9" s="1"/>
  <c r="I115" i="9" a="1"/>
  <c r="I115" i="9" s="1"/>
  <c r="I116" i="9" a="1"/>
  <c r="I116" i="9" s="1"/>
  <c r="I117" i="9" a="1"/>
  <c r="I117" i="9" s="1"/>
  <c r="I118" i="9" a="1"/>
  <c r="I118" i="9" s="1"/>
  <c r="I119" i="9" a="1"/>
  <c r="I119" i="9" s="1"/>
  <c r="I120" i="9" a="1"/>
  <c r="I120" i="9" s="1"/>
  <c r="I121" i="9" a="1"/>
  <c r="I121" i="9" s="1"/>
  <c r="I122" i="9" a="1"/>
  <c r="I122" i="9" s="1"/>
  <c r="I123" i="9" a="1"/>
  <c r="I123" i="9" s="1"/>
  <c r="I124" i="9" a="1"/>
  <c r="I124" i="9" s="1"/>
  <c r="I125" i="9" a="1"/>
  <c r="I125" i="9" s="1"/>
  <c r="I126" i="9" a="1"/>
  <c r="I126" i="9" s="1"/>
  <c r="I127" i="9" a="1"/>
  <c r="I127" i="9" s="1"/>
  <c r="I128" i="9" a="1"/>
  <c r="I128" i="9" s="1"/>
  <c r="I129" i="9" a="1"/>
  <c r="I129" i="9" s="1"/>
  <c r="I130" i="9" a="1"/>
  <c r="I130" i="9" s="1"/>
  <c r="I131" i="9" a="1"/>
  <c r="I131" i="9" s="1"/>
  <c r="I132" i="9" a="1"/>
  <c r="I132" i="9" s="1"/>
  <c r="I133" i="9" a="1"/>
  <c r="I133" i="9" s="1"/>
  <c r="I134" i="9" a="1"/>
  <c r="I134" i="9" s="1"/>
  <c r="I135" i="9" a="1"/>
  <c r="I135" i="9" s="1"/>
  <c r="I136" i="9" a="1"/>
  <c r="I136" i="9" s="1"/>
  <c r="I137" i="9" a="1"/>
  <c r="I137" i="9" s="1"/>
  <c r="I138" i="9" a="1"/>
  <c r="I138" i="9" s="1"/>
  <c r="I139" i="9" a="1"/>
  <c r="I139" i="9" s="1"/>
  <c r="I140" i="9" a="1"/>
  <c r="I140" i="9" s="1"/>
  <c r="I141" i="9" a="1"/>
  <c r="I141" i="9" s="1"/>
  <c r="I142" i="9" a="1"/>
  <c r="I142" i="9" s="1"/>
  <c r="I143" i="9" a="1"/>
  <c r="I143" i="9" s="1"/>
  <c r="I144" i="9" a="1"/>
  <c r="I144" i="9" s="1"/>
  <c r="I145" i="9" a="1"/>
  <c r="I145" i="9" s="1"/>
  <c r="I146" i="9" a="1"/>
  <c r="I146" i="9" s="1"/>
  <c r="I147" i="9" a="1"/>
  <c r="I147" i="9" s="1"/>
  <c r="I148" i="9" a="1"/>
  <c r="I148" i="9" s="1"/>
  <c r="I149" i="9" a="1"/>
  <c r="I149" i="9" s="1"/>
  <c r="I150" i="9" a="1"/>
  <c r="I150" i="9" s="1"/>
  <c r="I151" i="9" a="1"/>
  <c r="I151" i="9" s="1"/>
  <c r="I152" i="9" a="1"/>
  <c r="I152" i="9" s="1"/>
  <c r="I153" i="9" a="1"/>
  <c r="I153" i="9" s="1"/>
  <c r="L2" i="9" a="1"/>
  <c r="L2" i="9" s="1"/>
  <c r="L3" i="9" a="1"/>
  <c r="L3" i="9" s="1"/>
  <c r="L4" i="9" a="1"/>
  <c r="L4" i="9" s="1"/>
  <c r="L5" i="9" a="1"/>
  <c r="L5" i="9"/>
  <c r="L6" i="9" a="1"/>
  <c r="L6" i="9" s="1"/>
  <c r="L7" i="9" a="1"/>
  <c r="L7" i="9" s="1"/>
  <c r="L8" i="9" a="1"/>
  <c r="L8" i="9" s="1"/>
  <c r="L9" i="9" a="1"/>
  <c r="L9" i="9" s="1"/>
  <c r="L10" i="9" a="1"/>
  <c r="L10" i="9" s="1"/>
  <c r="L11" i="9" a="1"/>
  <c r="L11" i="9"/>
  <c r="L12" i="9" a="1"/>
  <c r="L12" i="9" s="1"/>
  <c r="L13" i="9" a="1"/>
  <c r="L13" i="9" s="1"/>
  <c r="L14" i="9" a="1"/>
  <c r="L14" i="9" s="1"/>
  <c r="L15" i="9" a="1"/>
  <c r="L15" i="9" s="1"/>
  <c r="L16" i="9" a="1"/>
  <c r="L16" i="9" s="1"/>
  <c r="L17" i="9" a="1"/>
  <c r="L17" i="9"/>
  <c r="L18" i="9" a="1"/>
  <c r="L18" i="9" s="1"/>
  <c r="L19" i="9" a="1"/>
  <c r="L19" i="9" s="1"/>
  <c r="L20" i="9" a="1"/>
  <c r="L20" i="9" s="1"/>
  <c r="L21" i="9" a="1"/>
  <c r="L21" i="9" s="1"/>
  <c r="L22" i="9" a="1"/>
  <c r="L22" i="9" s="1"/>
  <c r="L23" i="9" a="1"/>
  <c r="L23" i="9"/>
  <c r="L24" i="9" a="1"/>
  <c r="L24" i="9" s="1"/>
  <c r="L25" i="9" a="1"/>
  <c r="L25" i="9" s="1"/>
  <c r="L26" i="9" a="1"/>
  <c r="L26" i="9" s="1"/>
  <c r="L27" i="9" a="1"/>
  <c r="L27" i="9" s="1"/>
  <c r="L28" i="9" a="1"/>
  <c r="L28" i="9" s="1"/>
  <c r="L29" i="9" a="1"/>
  <c r="L29" i="9"/>
  <c r="L30" i="9" a="1"/>
  <c r="L30" i="9" s="1"/>
  <c r="L31" i="9" a="1"/>
  <c r="L31" i="9" s="1"/>
  <c r="L32" i="9" a="1"/>
  <c r="L32" i="9" s="1"/>
  <c r="L33" i="9" a="1"/>
  <c r="L33" i="9" s="1"/>
  <c r="L34" i="9" a="1"/>
  <c r="L34" i="9" s="1"/>
  <c r="L35" i="9" a="1"/>
  <c r="L35" i="9"/>
  <c r="L36" i="9" a="1"/>
  <c r="L36" i="9" s="1"/>
  <c r="L37" i="9" a="1"/>
  <c r="L37" i="9" s="1"/>
  <c r="L38" i="9" a="1"/>
  <c r="L38" i="9" s="1"/>
  <c r="L39" i="9" a="1"/>
  <c r="L39" i="9" s="1"/>
  <c r="L40" i="9" a="1"/>
  <c r="L40" i="9" s="1"/>
  <c r="L41" i="9" a="1"/>
  <c r="L41" i="9"/>
  <c r="L42" i="9" a="1"/>
  <c r="L42" i="9" s="1"/>
  <c r="L43" i="9" a="1"/>
  <c r="L43" i="9" s="1"/>
  <c r="L44" i="9" a="1"/>
  <c r="L44" i="9" s="1"/>
  <c r="L45" i="9" a="1"/>
  <c r="L45" i="9" s="1"/>
  <c r="L46" i="9" a="1"/>
  <c r="L46" i="9" s="1"/>
  <c r="L47" i="9" a="1"/>
  <c r="L47" i="9"/>
  <c r="L48" i="9" a="1"/>
  <c r="L48" i="9" s="1"/>
  <c r="L49" i="9" a="1"/>
  <c r="L49" i="9" s="1"/>
  <c r="L50" i="9" a="1"/>
  <c r="L50" i="9" s="1"/>
  <c r="L51" i="9" a="1"/>
  <c r="L51" i="9" s="1"/>
  <c r="L52" i="9" a="1"/>
  <c r="L52" i="9" s="1"/>
  <c r="L53" i="9" a="1"/>
  <c r="L53" i="9"/>
  <c r="L54" i="9" a="1"/>
  <c r="L54" i="9" s="1"/>
  <c r="L55" i="9" a="1"/>
  <c r="L55" i="9" s="1"/>
  <c r="L56" i="9" a="1"/>
  <c r="L56" i="9" s="1"/>
  <c r="L57" i="9" a="1"/>
  <c r="L57" i="9" s="1"/>
  <c r="L58" i="9" a="1"/>
  <c r="L58" i="9" s="1"/>
  <c r="L59" i="9" a="1"/>
  <c r="L59" i="9"/>
  <c r="L60" i="9" a="1"/>
  <c r="L60" i="9" s="1"/>
  <c r="L61" i="9" a="1"/>
  <c r="L61" i="9" s="1"/>
  <c r="L62" i="9" a="1"/>
  <c r="L62" i="9" s="1"/>
  <c r="L63" i="9" a="1"/>
  <c r="L63" i="9" s="1"/>
  <c r="L64" i="9" a="1"/>
  <c r="L64" i="9" s="1"/>
  <c r="L65" i="9" a="1"/>
  <c r="L65" i="9"/>
  <c r="L66" i="9" a="1"/>
  <c r="L66" i="9" s="1"/>
  <c r="L67" i="9" a="1"/>
  <c r="L67" i="9" s="1"/>
  <c r="L68" i="9" a="1"/>
  <c r="L68" i="9" s="1"/>
  <c r="L69" i="9" a="1"/>
  <c r="L69" i="9" s="1"/>
  <c r="L70" i="9" a="1"/>
  <c r="L70" i="9" s="1"/>
  <c r="L71" i="9" a="1"/>
  <c r="L71" i="9"/>
  <c r="L72" i="9" a="1"/>
  <c r="L72" i="9" s="1"/>
  <c r="L73" i="9" a="1"/>
  <c r="L73" i="9" s="1"/>
  <c r="L74" i="9" a="1"/>
  <c r="L74" i="9" s="1"/>
  <c r="L75" i="9" a="1"/>
  <c r="L75" i="9" s="1"/>
  <c r="L76" i="9" a="1"/>
  <c r="L76" i="9" s="1"/>
  <c r="L77" i="9" a="1"/>
  <c r="L77" i="9"/>
  <c r="L78" i="9" a="1"/>
  <c r="L78" i="9" s="1"/>
  <c r="L79" i="9" a="1"/>
  <c r="L79" i="9" s="1"/>
  <c r="L80" i="9" a="1"/>
  <c r="L80" i="9" s="1"/>
  <c r="L81" i="9" a="1"/>
  <c r="L81" i="9" s="1"/>
  <c r="L82" i="9" a="1"/>
  <c r="L82" i="9" s="1"/>
  <c r="L83" i="9" a="1"/>
  <c r="L83" i="9"/>
  <c r="L84" i="9" a="1"/>
  <c r="L84" i="9" s="1"/>
  <c r="L85" i="9" a="1"/>
  <c r="L85" i="9" s="1"/>
  <c r="L86" i="9" a="1"/>
  <c r="L86" i="9" s="1"/>
  <c r="L87" i="9" a="1"/>
  <c r="L87" i="9" s="1"/>
  <c r="L88" i="9" a="1"/>
  <c r="L88" i="9" s="1"/>
  <c r="L89" i="9" a="1"/>
  <c r="L89" i="9"/>
  <c r="L90" i="9" a="1"/>
  <c r="L90" i="9" s="1"/>
  <c r="L91" i="9" a="1"/>
  <c r="L91" i="9" s="1"/>
  <c r="L92" i="9" a="1"/>
  <c r="L92" i="9" s="1"/>
  <c r="L93" i="9" a="1"/>
  <c r="L93" i="9" s="1"/>
  <c r="L94" i="9" a="1"/>
  <c r="L94" i="9" s="1"/>
  <c r="L95" i="9" a="1"/>
  <c r="L95" i="9"/>
  <c r="L96" i="9" a="1"/>
  <c r="L96" i="9" s="1"/>
  <c r="L97" i="9" a="1"/>
  <c r="L97" i="9" s="1"/>
  <c r="L98" i="9" a="1"/>
  <c r="L98" i="9" s="1"/>
  <c r="L99" i="9" a="1"/>
  <c r="L99" i="9" s="1"/>
  <c r="L100" i="9" a="1"/>
  <c r="L100" i="9" s="1"/>
  <c r="L101" i="9" a="1"/>
  <c r="L101" i="9"/>
  <c r="L102" i="9" a="1"/>
  <c r="L102" i="9" s="1"/>
  <c r="L103" i="9" a="1"/>
  <c r="L103" i="9" s="1"/>
  <c r="L104" i="9" a="1"/>
  <c r="L104" i="9" s="1"/>
  <c r="L105" i="9" a="1"/>
  <c r="L105" i="9" s="1"/>
  <c r="L106" i="9" a="1"/>
  <c r="L106" i="9" s="1"/>
  <c r="L107" i="9" a="1"/>
  <c r="L107" i="9"/>
  <c r="L108" i="9" a="1"/>
  <c r="L108" i="9" s="1"/>
  <c r="L109" i="9" a="1"/>
  <c r="L109" i="9" s="1"/>
  <c r="L110" i="9" a="1"/>
  <c r="L110" i="9" s="1"/>
  <c r="L111" i="9" a="1"/>
  <c r="L111" i="9" s="1"/>
  <c r="L112" i="9" a="1"/>
  <c r="L112" i="9" s="1"/>
  <c r="L113" i="9" a="1"/>
  <c r="L113" i="9"/>
  <c r="L114" i="9" a="1"/>
  <c r="L114" i="9" s="1"/>
  <c r="L115" i="9" a="1"/>
  <c r="L115" i="9" s="1"/>
  <c r="L116" i="9" a="1"/>
  <c r="L116" i="9" s="1"/>
  <c r="L117" i="9" a="1"/>
  <c r="L117" i="9" s="1"/>
  <c r="L118" i="9" a="1"/>
  <c r="L118" i="9" s="1"/>
  <c r="L119" i="9" a="1"/>
  <c r="L119" i="9"/>
  <c r="L120" i="9" a="1"/>
  <c r="L120" i="9" s="1"/>
  <c r="L121" i="9" a="1"/>
  <c r="L121" i="9" s="1"/>
  <c r="L122" i="9" a="1"/>
  <c r="L122" i="9" s="1"/>
  <c r="L123" i="9" a="1"/>
  <c r="L123" i="9" s="1"/>
  <c r="L124" i="9" a="1"/>
  <c r="L124" i="9" s="1"/>
  <c r="L125" i="9" a="1"/>
  <c r="L125" i="9"/>
  <c r="L126" i="9" a="1"/>
  <c r="L126" i="9" s="1"/>
  <c r="L127" i="9" a="1"/>
  <c r="L127" i="9" s="1"/>
  <c r="L128" i="9" a="1"/>
  <c r="L128" i="9" s="1"/>
  <c r="L129" i="9" a="1"/>
  <c r="L129" i="9" s="1"/>
  <c r="L130" i="9" a="1"/>
  <c r="L130" i="9" s="1"/>
  <c r="L131" i="9" a="1"/>
  <c r="L131" i="9"/>
  <c r="L132" i="9" a="1"/>
  <c r="L132" i="9" s="1"/>
  <c r="L133" i="9" a="1"/>
  <c r="L133" i="9" s="1"/>
  <c r="L134" i="9" a="1"/>
  <c r="L134" i="9" s="1"/>
  <c r="L135" i="9" a="1"/>
  <c r="L135" i="9" s="1"/>
  <c r="L136" i="9" a="1"/>
  <c r="L136" i="9" s="1"/>
  <c r="L137" i="9" a="1"/>
  <c r="L137" i="9"/>
  <c r="L138" i="9" a="1"/>
  <c r="L138" i="9" s="1"/>
  <c r="L139" i="9" a="1"/>
  <c r="L139" i="9" s="1"/>
  <c r="L140" i="9" a="1"/>
  <c r="L140" i="9" s="1"/>
  <c r="L141" i="9" a="1"/>
  <c r="L141" i="9" s="1"/>
  <c r="L142" i="9" a="1"/>
  <c r="L142" i="9" s="1"/>
  <c r="L143" i="9" a="1"/>
  <c r="L143" i="9"/>
  <c r="L144" i="9" a="1"/>
  <c r="L144" i="9" s="1"/>
  <c r="L145" i="9" a="1"/>
  <c r="L145" i="9" s="1"/>
  <c r="L146" i="9" a="1"/>
  <c r="L146" i="9" s="1"/>
  <c r="L147" i="9" a="1"/>
  <c r="L147" i="9" s="1"/>
  <c r="L148" i="9" a="1"/>
  <c r="L148" i="9" s="1"/>
  <c r="L149" i="9" a="1"/>
  <c r="L149" i="9"/>
  <c r="L150" i="9" a="1"/>
  <c r="L150" i="9" s="1"/>
  <c r="L151" i="9" a="1"/>
  <c r="L151" i="9" s="1"/>
  <c r="L152" i="9" a="1"/>
  <c r="L152" i="9" s="1"/>
  <c r="L153" i="9" a="1"/>
  <c r="L153" i="9" s="1"/>
  <c r="B2" i="12" a="1"/>
  <c r="B2" i="12"/>
  <c r="B3" i="12" a="1"/>
  <c r="B3" i="12" s="1"/>
  <c r="B4" i="12" a="1"/>
  <c r="B4" i="12" s="1"/>
  <c r="B5" i="12" a="1"/>
  <c r="B5" i="12" s="1"/>
  <c r="B6" i="12" a="1"/>
  <c r="B6" i="12"/>
  <c r="B7" i="12" a="1"/>
  <c r="B7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20F67E-1FD9-4DF2-A7F1-23F3916C87AA}" keepAlive="1" name="Query - DETERMINED_SCHOOLS" description="Connection to the 'DETERMINED_SCHOOLS' query in the workbook." type="5" refreshedVersion="8" background="1" saveData="1">
    <dbPr connection="Provider=Microsoft.Mashup.OleDb.1;Data Source=$Workbook$;Location=DETERMINED_SCHOOLS;Extended Properties=&quot;&quot;" command="SELECT * FROM [DETERMINED_SCHOOLS]"/>
  </connection>
  <connection id="2" xr16:uid="{2EDE838B-9EB7-4DD1-8051-3D1BD17D9CAF}" keepAlive="1" name="Query - DETERMINED_STAFF" description="Connection to the 'DETERMINED_STAFF' query in the workbook." type="5" refreshedVersion="8" background="1" saveData="1">
    <dbPr connection="Provider=Microsoft.Mashup.OleDb.1;Data Source=$Workbook$;Location=DETERMINED_STAFF;Extended Properties=&quot;&quot;" command="SELECT * FROM [DETERMINED_STAFF]"/>
  </connection>
  <connection id="3" xr16:uid="{AC5E4B89-9990-4E37-B2B5-8984FAE0675F}" keepAlive="1" name="Query - DETERMINED_STUDENTS" description="Connection to the 'DETERMINED_STUDENTS' query in the workbook." type="5" refreshedVersion="8" background="1" saveData="1">
    <dbPr connection="Provider=Microsoft.Mashup.OleDb.1;Data Source=$Workbook$;Location=DETERMINED_STUDENTS;Extended Properties=&quot;&quot;" command="SELECT * FROM [DETERMINED_STUDENTS]"/>
  </connection>
  <connection id="4" xr16:uid="{24FC5C63-0E28-4248-93AB-B75AA76563EA}" keepAlive="1" name="Query - DIM_GENDER_DS" description="Connection to the 'DIM_GENDER_DS' query in the workbook." type="5" refreshedVersion="8" background="1" saveData="1">
    <dbPr connection="Provider=Microsoft.Mashup.OleDb.1;Data Source=$Workbook$;Location=DIM_GENDER_DS;Extended Properties=&quot;&quot;" command="SELECT * FROM [DIM_GENDER_DS]"/>
  </connection>
  <connection id="5" xr16:uid="{61682EEB-52AE-49AA-873A-F250A8F6BAFC}" keepAlive="1" name="Query - DIM_REGION_DS" description="Connection to the 'DIM_REGION_DS' query in the workbook." type="5" refreshedVersion="8" background="1" saveData="1">
    <dbPr connection="Provider=Microsoft.Mashup.OleDb.1;Data Source=$Workbook$;Location=DIM_REGION_DS;Extended Properties=&quot;&quot;" command="SELECT * FROM [DIM_REGION_DS]"/>
  </connection>
  <connection id="6" xr16:uid="{1AF9C2F9-B165-4EB3-9367-D1C6EB233939}" keepAlive="1" name="Query - SECTOR_CHOICE_DS" description="Connection to the 'SECTOR_CHOICE_DS' query in the workbook." type="5" refreshedVersion="8" background="1" saveData="1">
    <dbPr connection="Provider=Microsoft.Mashup.OleDb.1;Data Source=$Workbook$;Location=SECTOR_CHOICE_DS;Extended Properties=&quot;&quot;" command="SELECT * FROM [SECTOR_CHOICE_DS]"/>
  </connection>
  <connection id="7" xr16:uid="{D706B313-DFB4-454C-A8FA-22B456311830}" keepAlive="1" name="Query - STAFF_GENDER" description="Connection to the 'STAFF_GENDER' query in the workbook." type="5" refreshedVersion="8" background="1" saveData="1">
    <dbPr connection="Provider=Microsoft.Mashup.OleDb.1;Data Source=$Workbook$;Location=STAFF_GENDER;Extended Properties=&quot;&quot;" command="SELECT * FROM [STAFF_GENDER]"/>
  </connection>
  <connection id="8" xr16:uid="{ECA3B9A5-2EC7-45CC-8DC1-B4B5BB48DD34}" keepAlive="1" name="Query - STAFF_NATIONALITY" description="Connection to the 'STAFF_NATIONALITY' query in the workbook." type="5" refreshedVersion="8" background="1" saveData="1">
    <dbPr connection="Provider=Microsoft.Mashup.OleDb.1;Data Source=$Workbook$;Location=STAFF_NATIONALITY;Extended Properties=&quot;&quot;" command="SELECT * FROM [STAFF_NATIONALITY]"/>
  </connection>
  <connection id="9" xr16:uid="{11FFB2E5-7A72-4342-901C-AD2479DC2090}" keepAlive="1" name="Query - STUDENTS_DISABILITY" description="Connection to the 'STUDENTS_DISABILITY' query in the workbook." type="5" refreshedVersion="8" background="1" saveData="1">
    <dbPr connection="Provider=Microsoft.Mashup.OleDb.1;Data Source=$Workbook$;Location=STUDENTS_DISABILITY;Extended Properties=&quot;&quot;" command="SELECT * FROM [STUDENTS_DISABILITY]"/>
  </connection>
  <connection id="10" xr16:uid="{7DBA74B3-8836-4CA8-983F-D576829753A0}" keepAlive="1" name="Query - STUDENTS_NATIONALITY" description="Connection to the 'STUDENTS_NATIONALITY' query in the workbook." type="5" refreshedVersion="8" background="1" saveData="1">
    <dbPr connection="Provider=Microsoft.Mashup.OleDb.1;Data Source=$Workbook$;Location=STUDENTS_NATIONALITY;Extended Properties=&quot;&quot;" command="SELECT * FROM [STUDENTS_NATIONALITY]"/>
  </connection>
  <connection id="11" xr16:uid="{DEAC7E23-86B2-4080-A487-A0DA454AD433}" keepAlive="1" name="Query - STUDENTS_TOTAL" description="Connection to the 'STUDENTS_TOTAL' query in the workbook." type="5" refreshedVersion="8" background="1" saveData="1">
    <dbPr connection="Provider=Microsoft.Mashup.OleDb.1;Data Source=$Workbook$;Location=STUDENTS_TOTAL;Extended Properties=&quot;&quot;" command="SELECT * FROM [STUDENTS_TOTA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<sst xmlns="http://schemas.openxmlformats.org/spreadsheetml/2006/main" count="1836" uniqueCount="172">
  <si>
    <t>GENDER</t>
  </si>
  <si>
    <t>DISABIILTY_TYPE</t>
  </si>
  <si>
    <t>AGE_GROUP</t>
  </si>
  <si>
    <t>2021</t>
  </si>
  <si>
    <t>2022</t>
  </si>
  <si>
    <t>2023</t>
  </si>
  <si>
    <t>Male</t>
  </si>
  <si>
    <t>Autism</t>
  </si>
  <si>
    <t>0 To 5 Years</t>
  </si>
  <si>
    <t>206</t>
  </si>
  <si>
    <t>137</t>
  </si>
  <si>
    <t>132</t>
  </si>
  <si>
    <t>Visual Disability</t>
  </si>
  <si>
    <t>5</t>
  </si>
  <si>
    <t>6</t>
  </si>
  <si>
    <t>1</t>
  </si>
  <si>
    <t>Multi - Disability</t>
  </si>
  <si>
    <t>11 To 15 Years</t>
  </si>
  <si>
    <t>108</t>
  </si>
  <si>
    <t>104</t>
  </si>
  <si>
    <t>111</t>
  </si>
  <si>
    <t>Developmental Delay</t>
  </si>
  <si>
    <t>21 Years And Above</t>
  </si>
  <si>
    <t>0</t>
  </si>
  <si>
    <t>Neurodevelopmental Disorder (Adhd)</t>
  </si>
  <si>
    <t>16 To 20 Years</t>
  </si>
  <si>
    <t>Female</t>
  </si>
  <si>
    <t>Hearing Disability</t>
  </si>
  <si>
    <t>16</t>
  </si>
  <si>
    <t>14</t>
  </si>
  <si>
    <t>22</t>
  </si>
  <si>
    <t>47</t>
  </si>
  <si>
    <t>52</t>
  </si>
  <si>
    <t>83</t>
  </si>
  <si>
    <t>Communication Disorder</t>
  </si>
  <si>
    <t>3</t>
  </si>
  <si>
    <t>6 To 10 Years</t>
  </si>
  <si>
    <t>549</t>
  </si>
  <si>
    <t>559</t>
  </si>
  <si>
    <t>636</t>
  </si>
  <si>
    <t>35</t>
  </si>
  <si>
    <t>27</t>
  </si>
  <si>
    <t>Intellectual - Others</t>
  </si>
  <si>
    <t>105</t>
  </si>
  <si>
    <t>79</t>
  </si>
  <si>
    <t>25</t>
  </si>
  <si>
    <t>41</t>
  </si>
  <si>
    <t>49</t>
  </si>
  <si>
    <t>Physical Disability</t>
  </si>
  <si>
    <t>20</t>
  </si>
  <si>
    <t>23</t>
  </si>
  <si>
    <t>Intellectual - Down Syndrome</t>
  </si>
  <si>
    <t>58</t>
  </si>
  <si>
    <t>152</t>
  </si>
  <si>
    <t>377</t>
  </si>
  <si>
    <t>380</t>
  </si>
  <si>
    <t>19</t>
  </si>
  <si>
    <t>28</t>
  </si>
  <si>
    <t>59</t>
  </si>
  <si>
    <t>62</t>
  </si>
  <si>
    <t>95</t>
  </si>
  <si>
    <t>17</t>
  </si>
  <si>
    <t>18</t>
  </si>
  <si>
    <t>10</t>
  </si>
  <si>
    <t>4</t>
  </si>
  <si>
    <t>29</t>
  </si>
  <si>
    <t>140</t>
  </si>
  <si>
    <t>7</t>
  </si>
  <si>
    <t>46</t>
  </si>
  <si>
    <t>44</t>
  </si>
  <si>
    <t>34</t>
  </si>
  <si>
    <t>90</t>
  </si>
  <si>
    <t>136</t>
  </si>
  <si>
    <t>131</t>
  </si>
  <si>
    <t>8</t>
  </si>
  <si>
    <t>53</t>
  </si>
  <si>
    <t>114</t>
  </si>
  <si>
    <t>13</t>
  </si>
  <si>
    <t>9</t>
  </si>
  <si>
    <t>73</t>
  </si>
  <si>
    <t>86</t>
  </si>
  <si>
    <t>123</t>
  </si>
  <si>
    <t>80</t>
  </si>
  <si>
    <t>71</t>
  </si>
  <si>
    <t>37</t>
  </si>
  <si>
    <t>32</t>
  </si>
  <si>
    <t>24</t>
  </si>
  <si>
    <t>11</t>
  </si>
  <si>
    <t>15</t>
  </si>
  <si>
    <t>2</t>
  </si>
  <si>
    <t>12</t>
  </si>
  <si>
    <t>21</t>
  </si>
  <si>
    <t>26</t>
  </si>
  <si>
    <t>118</t>
  </si>
  <si>
    <t>150</t>
  </si>
  <si>
    <t>Learning Difficulties</t>
  </si>
  <si>
    <t>89</t>
  </si>
  <si>
    <t>263</t>
  </si>
  <si>
    <t>30</t>
  </si>
  <si>
    <t>31</t>
  </si>
  <si>
    <t>230</t>
  </si>
  <si>
    <t>181</t>
  </si>
  <si>
    <t>276</t>
  </si>
  <si>
    <t>169</t>
  </si>
  <si>
    <t>106</t>
  </si>
  <si>
    <t>134</t>
  </si>
  <si>
    <t>88</t>
  </si>
  <si>
    <t>246</t>
  </si>
  <si>
    <t>267</t>
  </si>
  <si>
    <t>78</t>
  </si>
  <si>
    <t>81</t>
  </si>
  <si>
    <t>100</t>
  </si>
  <si>
    <t>142</t>
  </si>
  <si>
    <t>145</t>
  </si>
  <si>
    <t>176</t>
  </si>
  <si>
    <t>240</t>
  </si>
  <si>
    <t>245</t>
  </si>
  <si>
    <t>173</t>
  </si>
  <si>
    <t>107</t>
  </si>
  <si>
    <t>193</t>
  </si>
  <si>
    <t>121</t>
  </si>
  <si>
    <t>161</t>
  </si>
  <si>
    <t>125</t>
  </si>
  <si>
    <t>378</t>
  </si>
  <si>
    <t>551</t>
  </si>
  <si>
    <t>521</t>
  </si>
  <si>
    <t>168</t>
  </si>
  <si>
    <t>191</t>
  </si>
  <si>
    <t>183</t>
  </si>
  <si>
    <t>110</t>
  </si>
  <si>
    <t>45</t>
  </si>
  <si>
    <t>39</t>
  </si>
  <si>
    <t>55</t>
  </si>
  <si>
    <t>Intellectual</t>
  </si>
  <si>
    <t>202</t>
  </si>
  <si>
    <t>160</t>
  </si>
  <si>
    <t>199</t>
  </si>
  <si>
    <t>312</t>
  </si>
  <si>
    <t>209</t>
  </si>
  <si>
    <t>294</t>
  </si>
  <si>
    <t>524</t>
  </si>
  <si>
    <t>265</t>
  </si>
  <si>
    <t>385</t>
  </si>
  <si>
    <t>REGION</t>
  </si>
  <si>
    <t>Abu Dhabi</t>
  </si>
  <si>
    <t>Dubai</t>
  </si>
  <si>
    <t>Ajman</t>
  </si>
  <si>
    <t>Sharjah</t>
  </si>
  <si>
    <t>UAE</t>
  </si>
  <si>
    <t>Fujairah</t>
  </si>
  <si>
    <t>Ras Al Khaimah</t>
  </si>
  <si>
    <t>Umm Al Quwain</t>
  </si>
  <si>
    <t>SECTOR</t>
  </si>
  <si>
    <t>Federal Government</t>
  </si>
  <si>
    <t>Private - Individual Sessions</t>
  </si>
  <si>
    <t>Private - Integrated Services</t>
  </si>
  <si>
    <t>Semi-Government</t>
  </si>
  <si>
    <t>Local Government</t>
  </si>
  <si>
    <t>YEAR</t>
  </si>
  <si>
    <t>TOTAL_STAFF</t>
  </si>
  <si>
    <t>NATIONALITY</t>
  </si>
  <si>
    <t>Private Sector</t>
  </si>
  <si>
    <t>Emirati</t>
  </si>
  <si>
    <t>Non-Emirati</t>
  </si>
  <si>
    <t>SECTOR_CHOICE_DS</t>
  </si>
  <si>
    <t>GENDER_AR</t>
  </si>
  <si>
    <t>DISABILITY_TYPE_AR</t>
  </si>
  <si>
    <t>AGE_GROUP_AR</t>
  </si>
  <si>
    <t>REGION_AR</t>
  </si>
  <si>
    <t>NATIONALITY_AR</t>
  </si>
  <si>
    <t>SECTION_CHOICE_DS_AR</t>
  </si>
  <si>
    <t>SECTOR_AR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</si>
</sst>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29AA85EB-83AB-4E10-BDF9-805801C53F37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SECTOR_CHOICE_DS" tableColumnId="1"/>
      <queryTableField id="2" dataBound="0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0805832E-6426-426B-85C4-C25B16B018C7}" autoFormatId="16" applyNumberFormats="0" applyBorderFormats="0" applyFontFormats="0" applyPatternFormats="0" applyAlignmentFormats="0" applyWidthHeightFormats="0">
  <queryTableRefresh nextId="14" unboundColumnsRight="5">
    <queryTableFields count="13">
      <queryTableField id="1" name="GENDER" tableColumnId="1"/>
      <queryTableField id="2" name="DISABIILTY_TYPE" tableColumnId="2"/>
      <queryTableField id="3" name="AGE_GROUP" tableColumnId="3"/>
      <queryTableField id="4" name="2021" tableColumnId="4"/>
      <queryTableField id="5" name="2022" tableColumnId="5"/>
      <queryTableField id="6" name="2023" tableColumnId="6"/>
      <queryTableField id="7" name="REGION" tableColumnId="7"/>
      <queryTableField id="8" name="NATIONALITY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20930F3F-4950-451A-8B8A-2FD2AC6E5C2B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SECTOR" tableColumnId="1"/>
      <queryTableField id="2" name="GENDER" tableColumnId="2"/>
      <queryTableField id="3" name="YEAR" tableColumnId="3"/>
      <queryTableField id="4" name="TOTAL_STAFF" tableColumnId="4"/>
      <queryTableField id="5" name="NATIONALITY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77A31BFC-6E7D-4289-964B-933FA64EB386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SECTOR" tableColumnId="1"/>
      <queryTableField id="2" name="REGION" tableColumnId="2"/>
      <queryTableField id="3" name="2021" tableColumnId="3"/>
      <queryTableField id="4" name="2022" tableColumnId="4"/>
      <queryTableField id="5" name="2023" tableColumnId="5"/>
      <queryTableField id="6" dataBound="0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541AC34B-9798-4A0F-9985-73DDFA434BB1}" autoFormatId="16" applyNumberFormats="0" applyBorderFormats="0" applyFontFormats="0" applyPatternFormats="0" applyAlignmentFormats="0" applyWidthHeightFormats="0">
  <queryTableRefresh nextId="5">
    <queryTableFields count="4">
      <queryTableField id="1" name="SECTOR" tableColumnId="1"/>
      <queryTableField id="2" name="NATIONALITY" tableColumnId="2"/>
      <queryTableField id="3" name="YEAR" tableColumnId="3"/>
      <queryTableField id="4" name="TOTAL_STAFF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FFD87E08-A6D5-4B13-8F3A-0F0D77007EAD}" autoFormatId="16" applyNumberFormats="0" applyBorderFormats="0" applyFontFormats="0" applyPatternFormats="0" applyAlignmentFormats="0" applyWidthHeightFormats="0">
  <queryTableRefresh nextId="5">
    <queryTableFields count="4">
      <queryTableField id="1" name="SECTOR" tableColumnId="1"/>
      <queryTableField id="2" name="GENDER" tableColumnId="2"/>
      <queryTableField id="3" name="YEAR" tableColumnId="3"/>
      <queryTableField id="4" name="TOTAL_STAFF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0A27D384-37E8-4A99-BF35-6C39910B2DE4}" autoFormatId="16" applyNumberFormats="0" applyBorderFormats="0" applyFontFormats="0" applyPatternFormats="0" applyAlignmentFormats="0" applyWidthHeightFormats="0">
  <queryTableRefresh nextId="6">
    <queryTableFields count="5">
      <queryTableField id="1" name="NATIONALITY" tableColumnId="1"/>
      <queryTableField id="2" name="REGION" tableColumnId="2"/>
      <queryTableField id="3" name="2021" tableColumnId="3"/>
      <queryTableField id="4" name="2022" tableColumnId="4"/>
      <queryTableField id="5" name="2023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01ED7A7F-FD4A-4082-BEB1-996DFFA103E3}" autoFormatId="16" applyNumberFormats="0" applyBorderFormats="0" applyFontFormats="0" applyPatternFormats="0" applyAlignmentFormats="0" applyWidthHeightFormats="0">
  <queryTableRefresh nextId="6">
    <queryTableFields count="5">
      <queryTableField id="1" name="GENDER" tableColumnId="1"/>
      <queryTableField id="2" name="REGION" tableColumnId="2"/>
      <queryTableField id="3" name="2021" tableColumnId="3"/>
      <queryTableField id="4" name="2022" tableColumnId="4"/>
      <queryTableField id="5" name="2023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0E01CB1-AE23-475C-A8DA-A2C41CFF40E2}" autoFormatId="16" applyNumberFormats="0" applyBorderFormats="0" applyFontFormats="0" applyPatternFormats="0" applyAlignmentFormats="0" applyWidthHeightFormats="0">
  <queryTableRefresh nextId="7">
    <queryTableFields count="6">
      <queryTableField id="1" name="GENDER" tableColumnId="1"/>
      <queryTableField id="2" name="DISABIILTY_TYPE" tableColumnId="2"/>
      <queryTableField id="3" name="AGE_GROUP" tableColumnId="3"/>
      <queryTableField id="4" name="2021" tableColumnId="4"/>
      <queryTableField id="5" name="2022" tableColumnId="5"/>
      <queryTableField id="6" name="2023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028AA5-E15B-4A80-96F6-E8938CE30A7C}" name="SECTOR_CHOICE_DS" displayName="SECTOR_CHOICE_DS" ref="A1:B7" tableType="queryTable" totalsRowShown="0">
  <autoFilter ref="A1:B7" xr:uid="{50028AA5-E15B-4A80-96F6-E8938CE30A7C}"/>
  <tableColumns count="2">
    <tableColumn id="1" xr3:uid="{53470C3B-566E-49DA-A47E-30C286703113}" uniqueName="1" name="SECTOR_CHOICE_DS" queryTableFieldId="1" dataDxfId="35"/>
    <tableColumn id="2" xr3:uid="{F61D8F44-37A5-4EAD-AB0E-E2EF4D881D60}" uniqueName="2" name="SECTION_CHOICE_DS_AR" queryTableFieldId="2" dataDxfId="34">
      <calculatedColumnFormula array="1">_xlfn.SWITCH(A2,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8ED6F4-9E4A-4115-BCAF-3F93D0A60D93}" name="DETERMINED_STUDENTS" displayName="DETERMINED_STUDENTS" ref="A1:M153" tableType="queryTable" totalsRowShown="0">
  <autoFilter ref="A1:M153" xr:uid="{7F8ED6F4-9E4A-4115-BCAF-3F93D0A60D93}"/>
  <tableColumns count="13">
    <tableColumn id="1" xr3:uid="{767976D7-1C8A-4BFC-9F7F-F4816830E75D}" uniqueName="1" name="GENDER" queryTableFieldId="1" dataDxfId="33"/>
    <tableColumn id="2" xr3:uid="{556AC4EC-2C96-4D1C-98AA-2A4C8E93390E}" uniqueName="2" name="DISABIILTY_TYPE" queryTableFieldId="2" dataDxfId="32"/>
    <tableColumn id="3" xr3:uid="{EB098735-E892-4B77-A0A6-B9F8B7CD914E}" uniqueName="3" name="AGE_GROUP" queryTableFieldId="3" dataDxfId="31"/>
    <tableColumn id="4" xr3:uid="{774D2BE1-978C-4A49-9522-B9305B8F9A81}" uniqueName="4" name="2021" queryTableFieldId="4"/>
    <tableColumn id="5" xr3:uid="{78D35E36-3D23-4A4E-B9DA-40C7F8AB7BA0}" uniqueName="5" name="2022" queryTableFieldId="5"/>
    <tableColumn id="6" xr3:uid="{758F0B14-1819-487F-BE47-C105F45E6BE4}" uniqueName="6" name="2023" queryTableFieldId="6"/>
    <tableColumn id="7" xr3:uid="{51EF664C-5B6F-4A67-9BE7-4DF26FB441CE}" uniqueName="7" name="REGION" queryTableFieldId="7" dataDxfId="30"/>
    <tableColumn id="8" xr3:uid="{F3FC1F88-7D42-4942-8D65-122BFE848BD7}" uniqueName="8" name="NATIONALITY" queryTableFieldId="8" dataDxfId="29"/>
    <tableColumn id="9" xr3:uid="{DA17E359-AAE9-479D-820D-31B94781FD8F}" uniqueName="9" name="GENDER_AR" queryTableFieldId="9" dataDxfId="28">
      <calculatedColumnFormula array="1">_xlfn.SWITCH(A2,
"Male","ذكور",
"Female","إناث",
"Unreported","غير مُبلّغ",
"Co-Education","تعليم مختلط",
"Non Co-Education","تعليم غير مختلط",
"Undefined","غير محدد",
"")</calculatedColumnFormula>
    </tableColumn>
    <tableColumn id="10" xr3:uid="{F01C09F5-8F62-4524-8573-3458BD6D8E4D}" uniqueName="10" name="DISABILITY_TYPE_AR" queryTableFieldId="10" dataDxfId="27">
      <calculatedColumnFormula array="1">_xlfn.SWITCH(B2,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calculatedColumnFormula>
    </tableColumn>
    <tableColumn id="11" xr3:uid="{49336B91-4F0A-4463-BF02-DDA4CABE8716}" uniqueName="11" name="AGE_GROUP_AR" queryTableFieldId="11" dataDxfId="26">
      <calculatedColumnFormula array="1">_xlfn.SWITCH(C2,
"0 To 5 Years","من 0 إلى 5 سنوات",
"6 To 10 Years","من 6 إلى 10 سنوات",
"11 To 15 Years","من 11 إلى 15 سنة",
"16 To 20 Years","من 16 إلى 20 سنة",
"21 Years And Above","21 سنة وما فوق",
"")</calculatedColumnFormula>
    </tableColumn>
    <tableColumn id="12" xr3:uid="{C9F33E82-57C3-448C-BB06-5FAD3F016DBB}" uniqueName="12" name="REGION_AR" queryTableFieldId="12" dataDxfId="25">
      <calculatedColumnFormula array="1">_xlfn.SWITCH(G2,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calculatedColumnFormula>
    </tableColumn>
    <tableColumn id="13" xr3:uid="{EF52046D-DD6B-4367-B381-85EA4B0AE237}" uniqueName="13" name="NATIONALITY_AR" queryTableFieldId="13" dataDxfId="24">
      <calculatedColumnFormula array="1">_xlfn.SWITCH(H2,
"Emirati","إماراتي",
"Non-Emirati","غير إماراتي",
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985BD-1750-4801-810D-02D4C7029CE9}" name="DETERMINED_STAFF" displayName="DETERMINED_STAFF" ref="A1:H33" tableType="queryTable" totalsRowShown="0">
  <autoFilter ref="A1:H33" xr:uid="{DB3985BD-1750-4801-810D-02D4C7029CE9}"/>
  <tableColumns count="8">
    <tableColumn id="1" xr3:uid="{72CF4E1C-D543-40B1-8E72-B0296547E3A2}" uniqueName="1" name="SECTOR" queryTableFieldId="1" dataDxfId="23"/>
    <tableColumn id="2" xr3:uid="{97B596A4-33E3-4373-9569-903614A06078}" uniqueName="2" name="GENDER" queryTableFieldId="2" dataDxfId="22"/>
    <tableColumn id="3" xr3:uid="{35887AD1-E18E-4C58-A6F9-26EF85BC6D0B}" uniqueName="3" name="YEAR" queryTableFieldId="3"/>
    <tableColumn id="4" xr3:uid="{C7D8ED9F-E728-40B5-B2F5-8970046EC837}" uniqueName="4" name="TOTAL_STAFF" queryTableFieldId="4"/>
    <tableColumn id="5" xr3:uid="{AE7558CB-9B36-4F63-9A57-2DE53C92B512}" uniqueName="5" name="NATIONALITY" queryTableFieldId="5" dataDxfId="21"/>
    <tableColumn id="6" xr3:uid="{1B6F8D93-DA48-4007-910F-26DF43183B87}" uniqueName="6" name="SECTOR_AR" queryTableFieldId="6" dataDxfId="20">
      <calculatedColumnFormula array="1">_xlfn.SWITCH(A2,
"Local Government","الحكومة المحلية",
"Federal Government","الحكومة الاتحادية",
"Private Sector","القطاع الخاص",
"Semi-Government","شبه حكومي",
"")</calculatedColumnFormula>
    </tableColumn>
    <tableColumn id="7" xr3:uid="{5DC17C78-5F5D-4AD0-BE70-70B05C33F9E4}" uniqueName="7" name="GENDER_AR" queryTableFieldId="7" dataDxfId="19">
      <calculatedColumnFormula array="1">_xlfn.SWITCH(B2,
"Male","ذكور",
"Female","إناث",
"Unreported","غير مُبلّغ",
"Co-Education","تعليم مختلط",
"Non Co-Education","تعليم غير مختلط",
"Undefined","غير محدد",
"")</calculatedColumnFormula>
    </tableColumn>
    <tableColumn id="8" xr3:uid="{FA5A4558-36AB-4269-83D3-5B1E03175284}" uniqueName="8" name="NATIONALITY_AR" queryTableFieldId="8" dataDxfId="18">
      <calculatedColumnFormula array="1">_xlfn.SWITCH(E2,
"Emirati","إماراتي",
"Non-Emirati","غير إماراتي",
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9B792B-7076-4A87-B122-12874CA2AF58}" name="DETERMINED_SCHOOLS" displayName="DETERMINED_SCHOOLS" ref="A1:G41" tableType="queryTable" totalsRowShown="0">
  <autoFilter ref="A1:G41" xr:uid="{A29B792B-7076-4A87-B122-12874CA2AF58}"/>
  <tableColumns count="7">
    <tableColumn id="1" xr3:uid="{D5D94372-1A31-4141-931F-A6DAEB0D219F}" uniqueName="1" name="SECTOR" queryTableFieldId="1" dataDxfId="17"/>
    <tableColumn id="2" xr3:uid="{376024DD-ECE0-4792-960A-902FEF516E80}" uniqueName="2" name="REGION" queryTableFieldId="2" dataDxfId="16"/>
    <tableColumn id="3" xr3:uid="{26FEA578-A913-4219-9BAB-ED0FDC6F32F2}" uniqueName="3" name="2021" queryTableFieldId="3"/>
    <tableColumn id="4" xr3:uid="{D25BBC79-3B3F-43AA-AFB3-1DC85FA34326}" uniqueName="4" name="2022" queryTableFieldId="4"/>
    <tableColumn id="5" xr3:uid="{730C72B2-C36E-4F0A-BD31-6D5D825F9F4C}" uniqueName="5" name="2023" queryTableFieldId="5"/>
    <tableColumn id="6" xr3:uid="{6C1B7B59-27FC-4A78-B860-B7005B9A0471}" uniqueName="6" name="SECTOR_AR" queryTableFieldId="6" dataDxfId="15">
      <calculatedColumnFormula array="1">_xlfn.SWITCH(A2,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calculatedColumnFormula>
    </tableColumn>
    <tableColumn id="7" xr3:uid="{4C2B4F63-6A7D-40EB-B20D-17DC5F82120B}" uniqueName="7" name="REGION_AR" queryTableFieldId="7" dataDxfId="14">
      <calculatedColumnFormula array="1">_xlfn.SWITCH(B2,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ABDABF-84B4-4849-BA2D-35A744C1F5C9}" name="STAFF_NATIONALITY" displayName="STAFF_NATIONALITY" ref="A1:D17" tableType="queryTable" totalsRowShown="0">
  <autoFilter ref="A1:D17" xr:uid="{9CABDABF-84B4-4849-BA2D-35A744C1F5C9}"/>
  <tableColumns count="4">
    <tableColumn id="1" xr3:uid="{4EBD70DD-4904-4BDF-B480-22BDDC6062FF}" uniqueName="1" name="SECTOR" queryTableFieldId="1" dataDxfId="13"/>
    <tableColumn id="2" xr3:uid="{D02A9988-DB34-4CAA-B425-020990C40D46}" uniqueName="2" name="NATIONALITY" queryTableFieldId="2" dataDxfId="12"/>
    <tableColumn id="3" xr3:uid="{22A34F16-A451-48F3-B2F3-08612430C2F5}" uniqueName="3" name="YEAR" queryTableFieldId="3"/>
    <tableColumn id="4" xr3:uid="{EDA56CCC-FA4D-482F-8C14-C0D7CEF21ECE}" uniqueName="4" name="TOTAL_STAFF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064775-C424-4563-B90A-42AC9D5E7C66}" name="STAFF_GENDER" displayName="STAFF_GENDER" ref="A1:D17" tableType="queryTable" totalsRowShown="0">
  <autoFilter ref="A1:D17" xr:uid="{5E064775-C424-4563-B90A-42AC9D5E7C66}"/>
  <tableColumns count="4">
    <tableColumn id="1" xr3:uid="{775E472D-14F7-4BEA-AFA7-2F55A7CDE240}" uniqueName="1" name="SECTOR" queryTableFieldId="1" dataDxfId="11"/>
    <tableColumn id="2" xr3:uid="{C35F6CBA-8FC7-4C8D-8369-8DF8EEF18F25}" uniqueName="2" name="GENDER" queryTableFieldId="2" dataDxfId="10"/>
    <tableColumn id="3" xr3:uid="{9F4365ED-7019-45D0-A8A5-715CD7717E6E}" uniqueName="3" name="YEAR" queryTableFieldId="3"/>
    <tableColumn id="4" xr3:uid="{79F1170D-7EF7-415F-8235-4349A25C01F0}" uniqueName="4" name="TOTAL_STAFF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2FF216-B119-47D4-A2D8-FCFE76823317}" name="STUDENTS_NATIONALITY" displayName="STUDENTS_NATIONALITY" ref="A1:E17" tableType="queryTable" totalsRowShown="0">
  <autoFilter ref="A1:E17" xr:uid="{752FF216-B119-47D4-A2D8-FCFE76823317}"/>
  <tableColumns count="5">
    <tableColumn id="1" xr3:uid="{158986B3-1418-4836-BF84-C0D5B54C1FF2}" uniqueName="1" name="NATIONALITY" queryTableFieldId="1" dataDxfId="9"/>
    <tableColumn id="2" xr3:uid="{3CAE52D8-5123-44D2-A2D8-8E562935D679}" uniqueName="2" name="REGION" queryTableFieldId="2" dataDxfId="8"/>
    <tableColumn id="3" xr3:uid="{71430D78-B621-4A55-9C7B-8DB921C19555}" uniqueName="3" name="2021" queryTableFieldId="3"/>
    <tableColumn id="4" xr3:uid="{712890F0-6784-44ED-A960-6D91999C5F8C}" uniqueName="4" name="2022" queryTableFieldId="4"/>
    <tableColumn id="5" xr3:uid="{CD9AEE81-EA0A-46D8-8715-0CBB566A3EBD}" uniqueName="5" name="2023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98EB1-4ACC-484B-A03D-6138C683773B}" name="STUDENTS_TOTAL" displayName="STUDENTS_TOTAL" ref="A1:E17" tableType="queryTable" totalsRowShown="0">
  <autoFilter ref="A1:E17" xr:uid="{A7398EB1-4ACC-484B-A03D-6138C683773B}"/>
  <tableColumns count="5">
    <tableColumn id="1" xr3:uid="{1A3602CA-177B-45EB-9E28-6FC6FE2824C4}" uniqueName="1" name="GENDER" queryTableFieldId="1" dataDxfId="7"/>
    <tableColumn id="2" xr3:uid="{0C851A26-0686-4894-9831-C45BB999512F}" uniqueName="2" name="REGION" queryTableFieldId="2" dataDxfId="6"/>
    <tableColumn id="3" xr3:uid="{DE650835-949E-4412-AE79-76DF5BBA683D}" uniqueName="3" name="2021" queryTableFieldId="3"/>
    <tableColumn id="4" xr3:uid="{1F411C11-D1D2-447A-99C1-1675E55BFB24}" uniqueName="4" name="2022" queryTableFieldId="4"/>
    <tableColumn id="5" xr3:uid="{A23AF26B-1652-4877-8138-B21D7D9A70C9}" uniqueName="5" name="2023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9EBAA-3924-44D1-85F0-3B45A7EA69E8}" name="STUDENTS_DISABILITY" displayName="STUDENTS_DISABILITY" ref="A1:F121" tableType="queryTable" totalsRowShown="0">
  <autoFilter ref="A1:F121" xr:uid="{E519EBAA-3924-44D1-85F0-3B45A7EA69E8}"/>
  <tableColumns count="6">
    <tableColumn id="1" xr3:uid="{2D4299D9-6694-4360-B046-2B1CF89D71E6}" uniqueName="1" name="GENDER" queryTableFieldId="1" dataDxfId="5"/>
    <tableColumn id="2" xr3:uid="{18A214BD-6C7E-40DA-AB5B-280C8DFD1565}" uniqueName="2" name="DISABIILTY_TYPE" queryTableFieldId="2" dataDxfId="4"/>
    <tableColumn id="3" xr3:uid="{09B3E6D5-1800-4BAC-949F-472FC3DDD718}" uniqueName="3" name="AGE_GROUP" queryTableFieldId="3" dataDxfId="3"/>
    <tableColumn id="4" xr3:uid="{71E94548-6A3D-4054-858F-C2A390F47E44}" uniqueName="4" name="2021" queryTableFieldId="4" dataDxfId="2"/>
    <tableColumn id="5" xr3:uid="{5B43242C-9F52-4A22-A592-5957BAB9A197}" uniqueName="5" name="2022" queryTableFieldId="5" dataDxfId="1"/>
    <tableColumn id="6" xr3:uid="{434B155D-59B7-446B-B5AF-77B9BECB9FF5}" uniqueName="6" name="2023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C40D-C1A3-4F87-A45A-0010DBBB2F14}">
  <dimension ref="A1:B7"/>
  <sheetViews>
    <sheetView workbookViewId="0">
      <selection activeCell="B3" sqref="B3"/>
    </sheetView>
  </sheetViews>
  <sheetFormatPr defaultRowHeight="15" x14ac:dyDescent="0.25"/>
  <cols>
    <col min="1" max="1" width="26.28515625" bestFit="1" customWidth="1"/>
    <col min="2" max="2" width="26.85546875" bestFit="1" customWidth="1"/>
  </cols>
  <sheetData>
    <row r="1" spans="1:2" x14ac:dyDescent="0.25">
      <c r="A1" t="s">
        <v>164</v>
      </c>
      <c r="B1" t="s">
        <v>170</v>
      </c>
    </row>
    <row r="2" spans="1:2" x14ac:dyDescent="0.25">
      <c r="A2" t="s">
        <v>153</v>
      </c>
      <c r="B2" t="str" cm="1">
        <f t="array" ref="B2">_xlfn.SWITCH(A2,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f>
        <v>الحكومة الاتحادية</v>
      </c>
    </row>
    <row r="3" spans="1:2" x14ac:dyDescent="0.25">
      <c r="A3" t="s">
        <v>154</v>
      </c>
      <c r="B3" t="str" cm="1">
        <f t="array" ref="B3">_xlfn.SWITCH(A3,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f>
        <v>خاص - جلسات فردية</v>
      </c>
    </row>
    <row r="4" spans="1:2" x14ac:dyDescent="0.25">
      <c r="A4" t="s">
        <v>155</v>
      </c>
      <c r="B4" t="str" cm="1">
        <f t="array" ref="B4">_xlfn.SWITCH(A4,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f>
        <v>خاص - خدمات متكاملة</v>
      </c>
    </row>
    <row r="5" spans="1:2" x14ac:dyDescent="0.25">
      <c r="A5" t="s">
        <v>156</v>
      </c>
      <c r="B5" t="str" cm="1">
        <f t="array" ref="B5">_xlfn.SWITCH(A5,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f>
        <v>شبه حكومي</v>
      </c>
    </row>
    <row r="6" spans="1:2" x14ac:dyDescent="0.25">
      <c r="A6" t="s">
        <v>157</v>
      </c>
      <c r="B6" t="str" cm="1">
        <f t="array" ref="B6">_xlfn.SWITCH(A6,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f>
        <v>الحكومة المحلية</v>
      </c>
    </row>
    <row r="7" spans="1:2" x14ac:dyDescent="0.25">
      <c r="A7" t="s">
        <v>161</v>
      </c>
      <c r="B7" t="str" cm="1">
        <f t="array" ref="B7">_xlfn.SWITCH(A7,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"Private Sector","القطاع الخاص",
"")</f>
        <v>القطاع الخاص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A60E-CE3D-41BF-9692-4C04B4C7D593}">
  <dimension ref="A1:M153"/>
  <sheetViews>
    <sheetView workbookViewId="0">
      <selection activeCell="L2" sqref="L2"/>
    </sheetView>
  </sheetViews>
  <sheetFormatPr defaultRowHeight="15" x14ac:dyDescent="0.25"/>
  <cols>
    <col min="1" max="1" width="11.140625" bestFit="1" customWidth="1"/>
    <col min="2" max="2" width="34.7109375" bestFit="1" customWidth="1"/>
    <col min="3" max="3" width="18.140625" bestFit="1" customWidth="1"/>
    <col min="4" max="6" width="7.28515625" bestFit="1" customWidth="1"/>
    <col min="7" max="7" width="15.28515625" bestFit="1" customWidth="1"/>
    <col min="8" max="8" width="15.140625" bestFit="1" customWidth="1"/>
    <col min="9" max="9" width="14.42578125" bestFit="1" customWidth="1"/>
    <col min="10" max="10" width="44.42578125" bestFit="1" customWidth="1"/>
    <col min="11" max="11" width="17.85546875" bestFit="1" customWidth="1"/>
    <col min="12" max="12" width="13.85546875" bestFit="1" customWidth="1"/>
    <col min="13" max="13" width="1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143</v>
      </c>
      <c r="H1" t="s">
        <v>160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</row>
    <row r="2" spans="1:13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I2" t="str" cm="1">
        <f t="array" ref="I2">_xlfn.SWITCH(A2,
"Male","ذكور",
"Female","إناث",
"Unreported","غير مُبلّغ",
"Co-Education","تعليم مختلط",
"Non Co-Education","تعليم غير مختلط",
"Undefined","غير محدد",
"")</f>
        <v>ذكور</v>
      </c>
      <c r="J2" t="str" cm="1">
        <f t="array" ref="J2">_xlfn.SWITCH(B2,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2" t="str" cm="1">
        <f t="array" ref="K2">_xlfn.SWITCH(C2,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2" t="str" cm="1">
        <f t="array" ref="L2">_xlfn.SWITCH(G2,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" t="str" cm="1">
        <f t="array" ref="M2">_xlfn.SWITCH(H2,
"Emirati","إماراتي",
"Non-Emirati","غير إماراتي",
"")</f>
        <v/>
      </c>
    </row>
    <row r="3" spans="1:13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I3" t="str" cm="1">
        <f t="array" ref="I3">_xlfn.SWITCH(A3,
"Male","ذكور",
"Female","إناث",
"Unreported","غير مُبلّغ",
"Co-Education","تعليم مختلط",
"Non Co-Education","تعليم غير مختلط",
"Undefined","غير محدد",
"")</f>
        <v>ذكور</v>
      </c>
      <c r="J3" t="str" cm="1">
        <f t="array" ref="J3">_xlfn.SWITCH(B3,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3" t="str" cm="1">
        <f t="array" ref="K3">_xlfn.SWITCH(C3,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3" t="str" cm="1">
        <f t="array" ref="L3">_xlfn.SWITCH(G3,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" t="str" cm="1">
        <f t="array" ref="M3">_xlfn.SWITCH(H3,
"Emirati","إماراتي",
"Non-Emirati","غير إماراتي",
"")</f>
        <v/>
      </c>
    </row>
    <row r="4" spans="1:13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I4" t="str" cm="1">
        <f t="array" ref="I4">_xlfn.SWITCH(A4,
"Male","ذكور",
"Female","إناث",
"Unreported","غير مُبلّغ",
"Co-Education","تعليم مختلط",
"Non Co-Education","تعليم غير مختلط",
"Undefined","غير محدد",
"")</f>
        <v>ذكور</v>
      </c>
      <c r="J4" t="str" cm="1">
        <f t="array" ref="J4">_xlfn.SWITCH(B4,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4" t="str" cm="1">
        <f t="array" ref="K4">_xlfn.SWITCH(C4,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4" t="str" cm="1">
        <f t="array" ref="L4">_xlfn.SWITCH(G4,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" t="str" cm="1">
        <f t="array" ref="M4">_xlfn.SWITCH(H4,
"Emirati","إماراتي",
"Non-Emirati","غير إماراتي",
"")</f>
        <v/>
      </c>
    </row>
    <row r="5" spans="1:13" x14ac:dyDescent="0.25">
      <c r="A5" t="s">
        <v>6</v>
      </c>
      <c r="B5" t="s">
        <v>21</v>
      </c>
      <c r="C5" t="s">
        <v>22</v>
      </c>
      <c r="D5" t="s">
        <v>23</v>
      </c>
      <c r="E5" t="s">
        <v>23</v>
      </c>
      <c r="F5" t="s">
        <v>23</v>
      </c>
      <c r="I5" t="str" cm="1">
        <f t="array" ref="I5">_xlfn.SWITCH(A5,
"Male","ذكور",
"Female","إناث",
"Unreported","غير مُبلّغ",
"Co-Education","تعليم مختلط",
"Non Co-Education","تعليم غير مختلط",
"Undefined","غير محدد",
"")</f>
        <v>ذكور</v>
      </c>
      <c r="J5" t="str" cm="1">
        <f t="array" ref="J5">_xlfn.SWITCH(B5,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5" t="str" cm="1">
        <f t="array" ref="K5">_xlfn.SWITCH(C5,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5" t="str" cm="1">
        <f t="array" ref="L5">_xlfn.SWITCH(G5,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" t="str" cm="1">
        <f t="array" ref="M5">_xlfn.SWITCH(H5,
"Emirati","إماراتي",
"Non-Emirati","غير إماراتي",
"")</f>
        <v/>
      </c>
    </row>
    <row r="6" spans="1:13" x14ac:dyDescent="0.25">
      <c r="A6" t="s">
        <v>6</v>
      </c>
      <c r="B6" t="s">
        <v>24</v>
      </c>
      <c r="C6" t="s">
        <v>25</v>
      </c>
      <c r="D6" t="s">
        <v>23</v>
      </c>
      <c r="E6" t="s">
        <v>23</v>
      </c>
      <c r="F6" t="s">
        <v>23</v>
      </c>
      <c r="I6" t="str" cm="1">
        <f t="array" ref="I6">_xlfn.SWITCH(A6,
"Male","ذكور",
"Female","إناث",
"Unreported","غير مُبلّغ",
"Co-Education","تعليم مختلط",
"Non Co-Education","تعليم غير مختلط",
"Undefined","غير محدد",
"")</f>
        <v>ذكور</v>
      </c>
      <c r="J6" t="str" cm="1">
        <f t="array" ref="J6">_xlfn.SWITCH(B6,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6" t="str" cm="1">
        <f t="array" ref="K6">_xlfn.SWITCH(C6,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6" t="str" cm="1">
        <f t="array" ref="L6">_xlfn.SWITCH(G6,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" t="str" cm="1">
        <f t="array" ref="M6">_xlfn.SWITCH(H6,
"Emirati","إماراتي",
"Non-Emirati","غير إماراتي",
"")</f>
        <v/>
      </c>
    </row>
    <row r="7" spans="1:13" x14ac:dyDescent="0.25">
      <c r="A7" t="s">
        <v>26</v>
      </c>
      <c r="B7" t="s">
        <v>27</v>
      </c>
      <c r="C7" t="s">
        <v>22</v>
      </c>
      <c r="D7" t="s">
        <v>28</v>
      </c>
      <c r="E7" t="s">
        <v>29</v>
      </c>
      <c r="F7" t="s">
        <v>30</v>
      </c>
      <c r="I7" t="str" cm="1">
        <f t="array" ref="I7">_xlfn.SWITCH(A7,
"Male","ذكور",
"Female","إناث",
"Unreported","غير مُبلّغ",
"Co-Education","تعليم مختلط",
"Non Co-Education","تعليم غير مختلط",
"Undefined","غير محدد",
"")</f>
        <v>إناث</v>
      </c>
      <c r="J7" t="str" cm="1">
        <f t="array" ref="J7">_xlfn.SWITCH(B7,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7" t="str" cm="1">
        <f t="array" ref="K7">_xlfn.SWITCH(C7,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7" t="str" cm="1">
        <f t="array" ref="L7">_xlfn.SWITCH(G7,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" t="str" cm="1">
        <f t="array" ref="M7">_xlfn.SWITCH(H7,
"Emirati","إماراتي",
"Non-Emirati","غير إماراتي",
"")</f>
        <v/>
      </c>
    </row>
    <row r="8" spans="1:13" x14ac:dyDescent="0.25">
      <c r="A8" t="s">
        <v>26</v>
      </c>
      <c r="B8" t="s">
        <v>16</v>
      </c>
      <c r="C8" t="s">
        <v>22</v>
      </c>
      <c r="D8" t="s">
        <v>31</v>
      </c>
      <c r="E8" t="s">
        <v>32</v>
      </c>
      <c r="F8" t="s">
        <v>33</v>
      </c>
      <c r="I8" t="str" cm="1">
        <f t="array" ref="I8">_xlfn.SWITCH(A8,
"Male","ذكور",
"Female","إناث",
"Unreported","غير مُبلّغ",
"Co-Education","تعليم مختلط",
"Non Co-Education","تعليم غير مختلط",
"Undefined","غير محدد",
"")</f>
        <v>إناث</v>
      </c>
      <c r="J8" t="str" cm="1">
        <f t="array" ref="J8">_xlfn.SWITCH(B8,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8" t="str" cm="1">
        <f t="array" ref="K8">_xlfn.SWITCH(C8,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8" t="str" cm="1">
        <f t="array" ref="L8">_xlfn.SWITCH(G8,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" t="str" cm="1">
        <f t="array" ref="M8">_xlfn.SWITCH(H8,
"Emirati","إماراتي",
"Non-Emirati","غير إماراتي",
"")</f>
        <v/>
      </c>
    </row>
    <row r="9" spans="1:13" x14ac:dyDescent="0.25">
      <c r="A9" t="s">
        <v>26</v>
      </c>
      <c r="B9" t="s">
        <v>34</v>
      </c>
      <c r="C9" t="s">
        <v>8</v>
      </c>
      <c r="D9" t="s">
        <v>35</v>
      </c>
      <c r="E9" t="s">
        <v>23</v>
      </c>
      <c r="F9" t="s">
        <v>15</v>
      </c>
      <c r="I9" t="str" cm="1">
        <f t="array" ref="I9">_xlfn.SWITCH(A9,
"Male","ذكور",
"Female","إناث",
"Unreported","غير مُبلّغ",
"Co-Education","تعليم مختلط",
"Non Co-Education","تعليم غير مختلط",
"Undefined","غير محدد",
"")</f>
        <v>إناث</v>
      </c>
      <c r="J9" t="str" cm="1">
        <f t="array" ref="J9">_xlfn.SWITCH(B9,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9" t="str" cm="1">
        <f t="array" ref="K9">_xlfn.SWITCH(C9,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9" t="str" cm="1">
        <f t="array" ref="L9">_xlfn.SWITCH(G9,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" t="str" cm="1">
        <f t="array" ref="M9">_xlfn.SWITCH(H9,
"Emirati","إماراتي",
"Non-Emirati","غير إماراتي",
"")</f>
        <v/>
      </c>
    </row>
    <row r="10" spans="1:13" x14ac:dyDescent="0.25">
      <c r="A10" t="s">
        <v>6</v>
      </c>
      <c r="B10" t="s">
        <v>7</v>
      </c>
      <c r="C10" t="s">
        <v>36</v>
      </c>
      <c r="D10" t="s">
        <v>37</v>
      </c>
      <c r="E10" t="s">
        <v>38</v>
      </c>
      <c r="F10" t="s">
        <v>39</v>
      </c>
      <c r="I10" t="str" cm="1">
        <f t="array" ref="I10">_xlfn.SWITCH(A10,
"Male","ذكور",
"Female","إناث",
"Unreported","غير مُبلّغ",
"Co-Education","تعليم مختلط",
"Non Co-Education","تعليم غير مختلط",
"Undefined","غير محدد",
"")</f>
        <v>ذكور</v>
      </c>
      <c r="J10" t="str" cm="1">
        <f t="array" ref="J10">_xlfn.SWITCH(B10,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10" t="str" cm="1">
        <f t="array" ref="K10">_xlfn.SWITCH(C10,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0" t="str" cm="1">
        <f t="array" ref="L10">_xlfn.SWITCH(G10,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" t="str" cm="1">
        <f t="array" ref="M10">_xlfn.SWITCH(H10,
"Emirati","إماراتي",
"Non-Emirati","غير إماراتي",
"")</f>
        <v/>
      </c>
    </row>
    <row r="11" spans="1:13" x14ac:dyDescent="0.25">
      <c r="A11" t="s">
        <v>6</v>
      </c>
      <c r="B11" t="s">
        <v>27</v>
      </c>
      <c r="C11" t="s">
        <v>17</v>
      </c>
      <c r="D11" t="s">
        <v>40</v>
      </c>
      <c r="E11" t="s">
        <v>41</v>
      </c>
      <c r="F11" t="s">
        <v>29</v>
      </c>
      <c r="I11" t="str" cm="1">
        <f t="array" ref="I11">_xlfn.SWITCH(A11,
"Male","ذكور",
"Female","إناث",
"Unreported","غير مُبلّغ",
"Co-Education","تعليم مختلط",
"Non Co-Education","تعليم غير مختلط",
"Undefined","غير محدد",
"")</f>
        <v>ذكور</v>
      </c>
      <c r="J11" t="str" cm="1">
        <f t="array" ref="J11">_xlfn.SWITCH(B11,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11" t="str" cm="1">
        <f t="array" ref="K11">_xlfn.SWITCH(C11,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1" t="str" cm="1">
        <f t="array" ref="L11">_xlfn.SWITCH(G11,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" t="str" cm="1">
        <f t="array" ref="M11">_xlfn.SWITCH(H11,
"Emirati","إماراتي",
"Non-Emirati","غير إماراتي",
"")</f>
        <v/>
      </c>
    </row>
    <row r="12" spans="1:13" x14ac:dyDescent="0.25">
      <c r="A12" t="s">
        <v>26</v>
      </c>
      <c r="B12" t="s">
        <v>42</v>
      </c>
      <c r="C12" t="s">
        <v>8</v>
      </c>
      <c r="D12" t="s">
        <v>43</v>
      </c>
      <c r="E12" t="s">
        <v>44</v>
      </c>
      <c r="F12" t="s">
        <v>23</v>
      </c>
      <c r="I12" t="str" cm="1">
        <f t="array" ref="I12">_xlfn.SWITCH(A12,
"Male","ذكور",
"Female","إناث",
"Unreported","غير مُبلّغ",
"Co-Education","تعليم مختلط",
"Non Co-Education","تعليم غير مختلط",
"Undefined","غير محدد",
"")</f>
        <v>إناث</v>
      </c>
      <c r="J12" t="str" cm="1">
        <f t="array" ref="J12">_xlfn.SWITCH(B12,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12" t="str" cm="1">
        <f t="array" ref="K12">_xlfn.SWITCH(C12,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12" t="str" cm="1">
        <f t="array" ref="L12">_xlfn.SWITCH(G12,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2" t="str" cm="1">
        <f t="array" ref="M12">_xlfn.SWITCH(H12,
"Emirati","إماراتي",
"Non-Emirati","غير إماراتي",
"")</f>
        <v/>
      </c>
    </row>
    <row r="13" spans="1:13" x14ac:dyDescent="0.25">
      <c r="A13" t="s">
        <v>26</v>
      </c>
      <c r="B13" t="s">
        <v>7</v>
      </c>
      <c r="C13" t="s">
        <v>25</v>
      </c>
      <c r="D13" t="s">
        <v>45</v>
      </c>
      <c r="E13" t="s">
        <v>46</v>
      </c>
      <c r="F13" t="s">
        <v>47</v>
      </c>
      <c r="I13" t="str" cm="1">
        <f t="array" ref="I13">_xlfn.SWITCH(A13,
"Male","ذكور",
"Female","إناث",
"Unreported","غير مُبلّغ",
"Co-Education","تعليم مختلط",
"Non Co-Education","تعليم غير مختلط",
"Undefined","غير محدد",
"")</f>
        <v>إناث</v>
      </c>
      <c r="J13" t="str" cm="1">
        <f t="array" ref="J13">_xlfn.SWITCH(B13,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13" t="str" cm="1">
        <f t="array" ref="K13">_xlfn.SWITCH(C13,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3" t="str" cm="1">
        <f t="array" ref="L13">_xlfn.SWITCH(G13,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3" t="str" cm="1">
        <f t="array" ref="M13">_xlfn.SWITCH(H13,
"Emirati","إماراتي",
"Non-Emirati","غير إماراتي",
"")</f>
        <v/>
      </c>
    </row>
    <row r="14" spans="1:13" x14ac:dyDescent="0.25">
      <c r="A14" t="s">
        <v>26</v>
      </c>
      <c r="B14" t="s">
        <v>48</v>
      </c>
      <c r="C14" t="s">
        <v>8</v>
      </c>
      <c r="D14" t="s">
        <v>49</v>
      </c>
      <c r="E14" t="s">
        <v>50</v>
      </c>
      <c r="F14" t="s">
        <v>13</v>
      </c>
      <c r="I14" t="str" cm="1">
        <f t="array" ref="I14">_xlfn.SWITCH(A14,
"Male","ذكور",
"Female","إناث",
"Unreported","غير مُبلّغ",
"Co-Education","تعليم مختلط",
"Non Co-Education","تعليم غير مختلط",
"Undefined","غير محدد",
"")</f>
        <v>إناث</v>
      </c>
      <c r="J14" t="str" cm="1">
        <f t="array" ref="J14">_xlfn.SWITCH(B14,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14" t="str" cm="1">
        <f t="array" ref="K14">_xlfn.SWITCH(C14,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14" t="str" cm="1">
        <f t="array" ref="L14">_xlfn.SWITCH(G14,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4" t="str" cm="1">
        <f t="array" ref="M14">_xlfn.SWITCH(H14,
"Emirati","إماراتي",
"Non-Emirati","غير إماراتي",
"")</f>
        <v/>
      </c>
    </row>
    <row r="15" spans="1:13" x14ac:dyDescent="0.25">
      <c r="A15" t="s">
        <v>6</v>
      </c>
      <c r="B15" t="s">
        <v>51</v>
      </c>
      <c r="C15" t="s">
        <v>17</v>
      </c>
      <c r="D15" t="s">
        <v>52</v>
      </c>
      <c r="E15" t="s">
        <v>53</v>
      </c>
      <c r="F15" t="s">
        <v>23</v>
      </c>
      <c r="I15" t="str" cm="1">
        <f t="array" ref="I15">_xlfn.SWITCH(A15,
"Male","ذكور",
"Female","إناث",
"Unreported","غير مُبلّغ",
"Co-Education","تعليم مختلط",
"Non Co-Education","تعليم غير مختلط",
"Undefined","غير محدد",
"")</f>
        <v>ذكور</v>
      </c>
      <c r="J15" t="str" cm="1">
        <f t="array" ref="J15">_xlfn.SWITCH(B15,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15" t="str" cm="1">
        <f t="array" ref="K15">_xlfn.SWITCH(C15,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5" t="str" cm="1">
        <f t="array" ref="L15">_xlfn.SWITCH(G15,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5" t="str" cm="1">
        <f t="array" ref="M15">_xlfn.SWITCH(H15,
"Emirati","إماراتي",
"Non-Emirati","غير إماراتي",
"")</f>
        <v/>
      </c>
    </row>
    <row r="16" spans="1:13" x14ac:dyDescent="0.25">
      <c r="A16" t="s">
        <v>6</v>
      </c>
      <c r="B16" t="s">
        <v>42</v>
      </c>
      <c r="C16" t="s">
        <v>22</v>
      </c>
      <c r="D16" t="s">
        <v>54</v>
      </c>
      <c r="E16" t="s">
        <v>55</v>
      </c>
      <c r="F16" t="s">
        <v>23</v>
      </c>
      <c r="I16" t="str" cm="1">
        <f t="array" ref="I16">_xlfn.SWITCH(A16,
"Male","ذكور",
"Female","إناث",
"Unreported","غير مُبلّغ",
"Co-Education","تعليم مختلط",
"Non Co-Education","تعليم غير مختلط",
"Undefined","غير محدد",
"")</f>
        <v>ذكور</v>
      </c>
      <c r="J16" t="str" cm="1">
        <f t="array" ref="J16">_xlfn.SWITCH(B16,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16" t="str" cm="1">
        <f t="array" ref="K16">_xlfn.SWITCH(C16,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16" t="str" cm="1">
        <f t="array" ref="L16">_xlfn.SWITCH(G16,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6" t="str" cm="1">
        <f t="array" ref="M16">_xlfn.SWITCH(H16,
"Emirati","إماراتي",
"Non-Emirati","غير إماراتي",
"")</f>
        <v/>
      </c>
    </row>
    <row r="17" spans="1:13" x14ac:dyDescent="0.25">
      <c r="A17" t="s">
        <v>6</v>
      </c>
      <c r="B17" t="s">
        <v>27</v>
      </c>
      <c r="C17" t="s">
        <v>25</v>
      </c>
      <c r="D17" t="s">
        <v>56</v>
      </c>
      <c r="E17" t="s">
        <v>57</v>
      </c>
      <c r="F17" t="s">
        <v>45</v>
      </c>
      <c r="I17" t="str" cm="1">
        <f t="array" ref="I17">_xlfn.SWITCH(A17,
"Male","ذكور",
"Female","إناث",
"Unreported","غير مُبلّغ",
"Co-Education","تعليم مختلط",
"Non Co-Education","تعليم غير مختلط",
"Undefined","غير محدد",
"")</f>
        <v>ذكور</v>
      </c>
      <c r="J17" t="str" cm="1">
        <f t="array" ref="J17">_xlfn.SWITCH(B17,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17" t="str" cm="1">
        <f t="array" ref="K17">_xlfn.SWITCH(C17,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7" t="str" cm="1">
        <f t="array" ref="L17">_xlfn.SWITCH(G17,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7" t="str" cm="1">
        <f t="array" ref="M17">_xlfn.SWITCH(H17,
"Emirati","إماراتي",
"Non-Emirati","غير إماراتي",
"")</f>
        <v/>
      </c>
    </row>
    <row r="18" spans="1:13" x14ac:dyDescent="0.25">
      <c r="A18" t="s">
        <v>6</v>
      </c>
      <c r="B18" t="s">
        <v>16</v>
      </c>
      <c r="C18" t="s">
        <v>25</v>
      </c>
      <c r="D18" t="s">
        <v>58</v>
      </c>
      <c r="E18" t="s">
        <v>59</v>
      </c>
      <c r="F18" t="s">
        <v>60</v>
      </c>
      <c r="I18" t="str" cm="1">
        <f t="array" ref="I18">_xlfn.SWITCH(A18,
"Male","ذكور",
"Female","إناث",
"Unreported","غير مُبلّغ",
"Co-Education","تعليم مختلط",
"Non Co-Education","تعليم غير مختلط",
"Undefined","غير محدد",
"")</f>
        <v>ذكور</v>
      </c>
      <c r="J18" t="str" cm="1">
        <f t="array" ref="J18">_xlfn.SWITCH(B18,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18" t="str" cm="1">
        <f t="array" ref="K18">_xlfn.SWITCH(C18,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8" t="str" cm="1">
        <f t="array" ref="L18">_xlfn.SWITCH(G18,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8" t="str" cm="1">
        <f t="array" ref="M18">_xlfn.SWITCH(H18,
"Emirati","إماراتي",
"Non-Emirati","غير إماراتي",
"")</f>
        <v/>
      </c>
    </row>
    <row r="19" spans="1:13" x14ac:dyDescent="0.25">
      <c r="A19" t="s">
        <v>26</v>
      </c>
      <c r="B19" t="s">
        <v>48</v>
      </c>
      <c r="C19" t="s">
        <v>36</v>
      </c>
      <c r="D19" t="s">
        <v>61</v>
      </c>
      <c r="E19" t="s">
        <v>62</v>
      </c>
      <c r="F19" t="s">
        <v>63</v>
      </c>
      <c r="I19" t="str" cm="1">
        <f t="array" ref="I19">_xlfn.SWITCH(A19,
"Male","ذكور",
"Female","إناث",
"Unreported","غير مُبلّغ",
"Co-Education","تعليم مختلط",
"Non Co-Education","تعليم غير مختلط",
"Undefined","غير محدد",
"")</f>
        <v>إناث</v>
      </c>
      <c r="J19" t="str" cm="1">
        <f t="array" ref="J19">_xlfn.SWITCH(B19,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19" t="str" cm="1">
        <f t="array" ref="K19">_xlfn.SWITCH(C19,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9" t="str" cm="1">
        <f t="array" ref="L19">_xlfn.SWITCH(G19,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9" t="str" cm="1">
        <f t="array" ref="M19">_xlfn.SWITCH(H19,
"Emirati","إماراتي",
"Non-Emirati","غير إماراتي",
"")</f>
        <v/>
      </c>
    </row>
    <row r="20" spans="1:13" x14ac:dyDescent="0.25">
      <c r="A20" t="s">
        <v>26</v>
      </c>
      <c r="B20" t="s">
        <v>12</v>
      </c>
      <c r="C20" t="s">
        <v>25</v>
      </c>
      <c r="D20" t="s">
        <v>64</v>
      </c>
      <c r="E20" t="s">
        <v>23</v>
      </c>
      <c r="F20" t="s">
        <v>15</v>
      </c>
      <c r="I20" t="str" cm="1">
        <f t="array" ref="I20">_xlfn.SWITCH(A20,
"Male","ذكور",
"Female","إناث",
"Unreported","غير مُبلّغ",
"Co-Education","تعليم مختلط",
"Non Co-Education","تعليم غير مختلط",
"Undefined","غير محدد",
"")</f>
        <v>إناث</v>
      </c>
      <c r="J20" t="str" cm="1">
        <f t="array" ref="J20">_xlfn.SWITCH(B20,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20" t="str" cm="1">
        <f t="array" ref="K20">_xlfn.SWITCH(C20,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20" t="str" cm="1">
        <f t="array" ref="L20">_xlfn.SWITCH(G20,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0" t="str" cm="1">
        <f t="array" ref="M20">_xlfn.SWITCH(H20,
"Emirati","إماراتي",
"Non-Emirati","غير إماراتي",
"")</f>
        <v/>
      </c>
    </row>
    <row r="21" spans="1:13" x14ac:dyDescent="0.25">
      <c r="A21" t="s">
        <v>6</v>
      </c>
      <c r="B21" t="s">
        <v>51</v>
      </c>
      <c r="C21" t="s">
        <v>25</v>
      </c>
      <c r="D21" t="s">
        <v>65</v>
      </c>
      <c r="E21" t="s">
        <v>66</v>
      </c>
      <c r="F21" t="s">
        <v>23</v>
      </c>
      <c r="I21" t="str" cm="1">
        <f t="array" ref="I21">_xlfn.SWITCH(A21,
"Male","ذكور",
"Female","إناث",
"Unreported","غير مُبلّغ",
"Co-Education","تعليم مختلط",
"Non Co-Education","تعليم غير مختلط",
"Undefined","غير محدد",
"")</f>
        <v>ذكور</v>
      </c>
      <c r="J21" t="str" cm="1">
        <f t="array" ref="J21">_xlfn.SWITCH(B21,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21" t="str" cm="1">
        <f t="array" ref="K21">_xlfn.SWITCH(C21,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21" t="str" cm="1">
        <f t="array" ref="L21">_xlfn.SWITCH(G21,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1" t="str" cm="1">
        <f t="array" ref="M21">_xlfn.SWITCH(H21,
"Emirati","إماراتي",
"Non-Emirati","غير إماراتي",
"")</f>
        <v/>
      </c>
    </row>
    <row r="22" spans="1:13" x14ac:dyDescent="0.25">
      <c r="A22" t="s">
        <v>6</v>
      </c>
      <c r="B22" t="s">
        <v>27</v>
      </c>
      <c r="C22" t="s">
        <v>8</v>
      </c>
      <c r="D22" t="s">
        <v>49</v>
      </c>
      <c r="E22" t="s">
        <v>29</v>
      </c>
      <c r="F22" t="s">
        <v>67</v>
      </c>
      <c r="I22" t="str" cm="1">
        <f t="array" ref="I22">_xlfn.SWITCH(A22,
"Male","ذكور",
"Female","إناث",
"Unreported","غير مُبلّغ",
"Co-Education","تعليم مختلط",
"Non Co-Education","تعليم غير مختلط",
"Undefined","غير محدد",
"")</f>
        <v>ذكور</v>
      </c>
      <c r="J22" t="str" cm="1">
        <f t="array" ref="J22">_xlfn.SWITCH(B22,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22" t="str" cm="1">
        <f t="array" ref="K22">_xlfn.SWITCH(C22,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22" t="str" cm="1">
        <f t="array" ref="L22">_xlfn.SWITCH(G22,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2" t="str" cm="1">
        <f t="array" ref="M22">_xlfn.SWITCH(H22,
"Emirati","إماراتي",
"Non-Emirati","غير إماراتي",
"")</f>
        <v/>
      </c>
    </row>
    <row r="23" spans="1:13" x14ac:dyDescent="0.25">
      <c r="A23" t="s">
        <v>6</v>
      </c>
      <c r="B23" t="s">
        <v>16</v>
      </c>
      <c r="C23" t="s">
        <v>8</v>
      </c>
      <c r="D23" t="s">
        <v>68</v>
      </c>
      <c r="E23" t="s">
        <v>69</v>
      </c>
      <c r="F23" t="s">
        <v>70</v>
      </c>
      <c r="I23" t="str" cm="1">
        <f t="array" ref="I23">_xlfn.SWITCH(A23,
"Male","ذكور",
"Female","إناث",
"Unreported","غير مُبلّغ",
"Co-Education","تعليم مختلط",
"Non Co-Education","تعليم غير مختلط",
"Undefined","غير محدد",
"")</f>
        <v>ذكور</v>
      </c>
      <c r="J23" t="str" cm="1">
        <f t="array" ref="J23">_xlfn.SWITCH(B23,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23" t="str" cm="1">
        <f t="array" ref="K23">_xlfn.SWITCH(C23,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23" t="str" cm="1">
        <f t="array" ref="L23">_xlfn.SWITCH(G23,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3" t="str" cm="1">
        <f t="array" ref="M23">_xlfn.SWITCH(H23,
"Emirati","إماراتي",
"Non-Emirati","غير إماراتي",
"")</f>
        <v/>
      </c>
    </row>
    <row r="24" spans="1:13" x14ac:dyDescent="0.25">
      <c r="A24" t="s">
        <v>6</v>
      </c>
      <c r="B24" t="s">
        <v>24</v>
      </c>
      <c r="C24" t="s">
        <v>17</v>
      </c>
      <c r="D24" t="s">
        <v>23</v>
      </c>
      <c r="E24" t="s">
        <v>23</v>
      </c>
      <c r="F24" t="s">
        <v>23</v>
      </c>
      <c r="I24" t="str" cm="1">
        <f t="array" ref="I24">_xlfn.SWITCH(A24,
"Male","ذكور",
"Female","إناث",
"Unreported","غير مُبلّغ",
"Co-Education","تعليم مختلط",
"Non Co-Education","تعليم غير مختلط",
"Undefined","غير محدد",
"")</f>
        <v>ذكور</v>
      </c>
      <c r="J24" t="str" cm="1">
        <f t="array" ref="J24">_xlfn.SWITCH(B24,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24" t="str" cm="1">
        <f t="array" ref="K24">_xlfn.SWITCH(C24,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24" t="str" cm="1">
        <f t="array" ref="L24">_xlfn.SWITCH(G24,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4" t="str" cm="1">
        <f t="array" ref="M24">_xlfn.SWITCH(H24,
"Emirati","إماراتي",
"Non-Emirati","غير إماراتي",
"")</f>
        <v/>
      </c>
    </row>
    <row r="25" spans="1:13" x14ac:dyDescent="0.25">
      <c r="A25" t="s">
        <v>26</v>
      </c>
      <c r="B25" t="s">
        <v>7</v>
      </c>
      <c r="C25" t="s">
        <v>17</v>
      </c>
      <c r="D25" t="s">
        <v>71</v>
      </c>
      <c r="E25" t="s">
        <v>72</v>
      </c>
      <c r="F25" t="s">
        <v>73</v>
      </c>
      <c r="I25" t="str" cm="1">
        <f t="array" ref="I25">_xlfn.SWITCH(A25,
"Male","ذكور",
"Female","إناث",
"Unreported","غير مُبلّغ",
"Co-Education","تعليم مختلط",
"Non Co-Education","تعليم غير مختلط",
"Undefined","غير محدد",
"")</f>
        <v>إناث</v>
      </c>
      <c r="J25" t="str" cm="1">
        <f t="array" ref="J25">_xlfn.SWITCH(B25,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25" t="str" cm="1">
        <f t="array" ref="K25">_xlfn.SWITCH(C25,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25" t="str" cm="1">
        <f t="array" ref="L25">_xlfn.SWITCH(G25,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5" t="str" cm="1">
        <f t="array" ref="M25">_xlfn.SWITCH(H25,
"Emirati","إماراتي",
"Non-Emirati","غير إماراتي",
"")</f>
        <v/>
      </c>
    </row>
    <row r="26" spans="1:13" x14ac:dyDescent="0.25">
      <c r="A26" t="s">
        <v>26</v>
      </c>
      <c r="B26" t="s">
        <v>27</v>
      </c>
      <c r="C26" t="s">
        <v>25</v>
      </c>
      <c r="D26" t="s">
        <v>49</v>
      </c>
      <c r="E26" t="s">
        <v>62</v>
      </c>
      <c r="F26" t="s">
        <v>74</v>
      </c>
      <c r="I26" t="str" cm="1">
        <f t="array" ref="I26">_xlfn.SWITCH(A26,
"Male","ذكور",
"Female","إناث",
"Unreported","غير مُبلّغ",
"Co-Education","تعليم مختلط",
"Non Co-Education","تعليم غير مختلط",
"Undefined","غير محدد",
"")</f>
        <v>إناث</v>
      </c>
      <c r="J26" t="str" cm="1">
        <f t="array" ref="J26">_xlfn.SWITCH(B26,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26" t="str" cm="1">
        <f t="array" ref="K26">_xlfn.SWITCH(C26,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26" t="str" cm="1">
        <f t="array" ref="L26">_xlfn.SWITCH(G26,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6" t="str" cm="1">
        <f t="array" ref="M26">_xlfn.SWITCH(H26,
"Emirati","إماراتي",
"Non-Emirati","غير إماراتي",
"")</f>
        <v/>
      </c>
    </row>
    <row r="27" spans="1:13" x14ac:dyDescent="0.25">
      <c r="A27" t="s">
        <v>26</v>
      </c>
      <c r="B27" t="s">
        <v>12</v>
      </c>
      <c r="C27" t="s">
        <v>17</v>
      </c>
      <c r="D27" t="s">
        <v>23</v>
      </c>
      <c r="E27" t="s">
        <v>15</v>
      </c>
      <c r="F27" t="s">
        <v>23</v>
      </c>
      <c r="I27" t="str" cm="1">
        <f t="array" ref="I27">_xlfn.SWITCH(A27,
"Male","ذكور",
"Female","إناث",
"Unreported","غير مُبلّغ",
"Co-Education","تعليم مختلط",
"Non Co-Education","تعليم غير مختلط",
"Undefined","غير محدد",
"")</f>
        <v>إناث</v>
      </c>
      <c r="J27" t="str" cm="1">
        <f t="array" ref="J27">_xlfn.SWITCH(B27,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27" t="str" cm="1">
        <f t="array" ref="K27">_xlfn.SWITCH(C27,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27" t="str" cm="1">
        <f t="array" ref="L27">_xlfn.SWITCH(G27,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7" t="str" cm="1">
        <f t="array" ref="M27">_xlfn.SWITCH(H27,
"Emirati","إماراتي",
"Non-Emirati","غير إماراتي",
"")</f>
        <v/>
      </c>
    </row>
    <row r="28" spans="1:13" x14ac:dyDescent="0.25">
      <c r="A28" t="s">
        <v>26</v>
      </c>
      <c r="B28" t="s">
        <v>16</v>
      </c>
      <c r="C28" t="s">
        <v>25</v>
      </c>
      <c r="D28" t="s">
        <v>46</v>
      </c>
      <c r="E28" t="s">
        <v>75</v>
      </c>
      <c r="F28" t="s">
        <v>32</v>
      </c>
      <c r="I28" t="str" cm="1">
        <f t="array" ref="I28">_xlfn.SWITCH(A28,
"Male","ذكور",
"Female","إناث",
"Unreported","غير مُبلّغ",
"Co-Education","تعليم مختلط",
"Non Co-Education","تعليم غير مختلط",
"Undefined","غير محدد",
"")</f>
        <v>إناث</v>
      </c>
      <c r="J28" t="str" cm="1">
        <f t="array" ref="J28">_xlfn.SWITCH(B28,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28" t="str" cm="1">
        <f t="array" ref="K28">_xlfn.SWITCH(C28,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28" t="str" cm="1">
        <f t="array" ref="L28">_xlfn.SWITCH(G28,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8" t="str" cm="1">
        <f t="array" ref="M28">_xlfn.SWITCH(H28,
"Emirati","إماراتي",
"Non-Emirati","غير إماراتي",
"")</f>
        <v/>
      </c>
    </row>
    <row r="29" spans="1:13" x14ac:dyDescent="0.25">
      <c r="A29" t="s">
        <v>6</v>
      </c>
      <c r="B29" t="s">
        <v>51</v>
      </c>
      <c r="C29" t="s">
        <v>36</v>
      </c>
      <c r="D29" t="s">
        <v>40</v>
      </c>
      <c r="E29" t="s">
        <v>76</v>
      </c>
      <c r="F29" t="s">
        <v>23</v>
      </c>
      <c r="I29" t="str" cm="1">
        <f t="array" ref="I29">_xlfn.SWITCH(A29,
"Male","ذكور",
"Female","إناث",
"Unreported","غير مُبلّغ",
"Co-Education","تعليم مختلط",
"Non Co-Education","تعليم غير مختلط",
"Undefined","غير محدد",
"")</f>
        <v>ذكور</v>
      </c>
      <c r="J29" t="str" cm="1">
        <f t="array" ref="J29">_xlfn.SWITCH(B29,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29" t="str" cm="1">
        <f t="array" ref="K29">_xlfn.SWITCH(C29,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29" t="str" cm="1">
        <f t="array" ref="L29">_xlfn.SWITCH(G29,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29" t="str" cm="1">
        <f t="array" ref="M29">_xlfn.SWITCH(H29,
"Emirati","إماراتي",
"Non-Emirati","غير إماراتي",
"")</f>
        <v/>
      </c>
    </row>
    <row r="30" spans="1:13" x14ac:dyDescent="0.25">
      <c r="A30" t="s">
        <v>6</v>
      </c>
      <c r="B30" t="s">
        <v>27</v>
      </c>
      <c r="C30" t="s">
        <v>22</v>
      </c>
      <c r="D30" t="s">
        <v>77</v>
      </c>
      <c r="E30" t="s">
        <v>78</v>
      </c>
      <c r="F30" t="s">
        <v>29</v>
      </c>
      <c r="I30" t="str" cm="1">
        <f t="array" ref="I30">_xlfn.SWITCH(A30,
"Male","ذكور",
"Female","إناث",
"Unreported","غير مُبلّغ",
"Co-Education","تعليم مختلط",
"Non Co-Education","تعليم غير مختلط",
"Undefined","غير محدد",
"")</f>
        <v>ذكور</v>
      </c>
      <c r="J30" t="str" cm="1">
        <f t="array" ref="J30">_xlfn.SWITCH(B30,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30" t="str" cm="1">
        <f t="array" ref="K30">_xlfn.SWITCH(C30,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30" t="str" cm="1">
        <f t="array" ref="L30">_xlfn.SWITCH(G30,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0" t="str" cm="1">
        <f t="array" ref="M30">_xlfn.SWITCH(H30,
"Emirati","إماراتي",
"Non-Emirati","غير إماراتي",
"")</f>
        <v/>
      </c>
    </row>
    <row r="31" spans="1:13" x14ac:dyDescent="0.25">
      <c r="A31" t="s">
        <v>6</v>
      </c>
      <c r="B31" t="s">
        <v>16</v>
      </c>
      <c r="C31" t="s">
        <v>22</v>
      </c>
      <c r="D31" t="s">
        <v>79</v>
      </c>
      <c r="E31" t="s">
        <v>80</v>
      </c>
      <c r="F31" t="s">
        <v>81</v>
      </c>
      <c r="I31" t="str" cm="1">
        <f t="array" ref="I31">_xlfn.SWITCH(A31,
"Male","ذكور",
"Female","إناث",
"Unreported","غير مُبلّغ",
"Co-Education","تعليم مختلط",
"Non Co-Education","تعليم غير مختلط",
"Undefined","غير محدد",
"")</f>
        <v>ذكور</v>
      </c>
      <c r="J31" t="str" cm="1">
        <f t="array" ref="J31">_xlfn.SWITCH(B31,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31" t="str" cm="1">
        <f t="array" ref="K31">_xlfn.SWITCH(C31,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31" t="str" cm="1">
        <f t="array" ref="L31">_xlfn.SWITCH(G31,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1" t="str" cm="1">
        <f t="array" ref="M31">_xlfn.SWITCH(H31,
"Emirati","إماراتي",
"Non-Emirati","غير إماراتي",
"")</f>
        <v/>
      </c>
    </row>
    <row r="32" spans="1:13" x14ac:dyDescent="0.25">
      <c r="A32" t="s">
        <v>6</v>
      </c>
      <c r="B32" t="s">
        <v>24</v>
      </c>
      <c r="C32" t="s">
        <v>36</v>
      </c>
      <c r="D32" t="s">
        <v>23</v>
      </c>
      <c r="E32" t="s">
        <v>23</v>
      </c>
      <c r="F32" t="s">
        <v>23</v>
      </c>
      <c r="I32" t="str" cm="1">
        <f t="array" ref="I32">_xlfn.SWITCH(A32,
"Male","ذكور",
"Female","إناث",
"Unreported","غير مُبلّغ",
"Co-Education","تعليم مختلط",
"Non Co-Education","تعليم غير مختلط",
"Undefined","غير محدد",
"")</f>
        <v>ذكور</v>
      </c>
      <c r="J32" t="str" cm="1">
        <f t="array" ref="J32">_xlfn.SWITCH(B32,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32" t="str" cm="1">
        <f t="array" ref="K32">_xlfn.SWITCH(C32,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32" t="str" cm="1">
        <f t="array" ref="L32">_xlfn.SWITCH(G32,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2" t="str" cm="1">
        <f t="array" ref="M32">_xlfn.SWITCH(H32,
"Emirati","إماراتي",
"Non-Emirati","غير إماراتي",
"")</f>
        <v/>
      </c>
    </row>
    <row r="33" spans="1:13" x14ac:dyDescent="0.25">
      <c r="A33" t="s">
        <v>26</v>
      </c>
      <c r="B33" t="s">
        <v>51</v>
      </c>
      <c r="C33" t="s">
        <v>25</v>
      </c>
      <c r="D33" t="s">
        <v>50</v>
      </c>
      <c r="E33" t="s">
        <v>71</v>
      </c>
      <c r="F33" t="s">
        <v>23</v>
      </c>
      <c r="I33" t="str" cm="1">
        <f t="array" ref="I33">_xlfn.SWITCH(A33,
"Male","ذكور",
"Female","إناث",
"Unreported","غير مُبلّغ",
"Co-Education","تعليم مختلط",
"Non Co-Education","تعليم غير مختلط",
"Undefined","غير محدد",
"")</f>
        <v>إناث</v>
      </c>
      <c r="J33" t="str" cm="1">
        <f t="array" ref="J33">_xlfn.SWITCH(B33,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33" t="str" cm="1">
        <f t="array" ref="K33">_xlfn.SWITCH(C33,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33" t="str" cm="1">
        <f t="array" ref="L33">_xlfn.SWITCH(G33,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3" t="str" cm="1">
        <f t="array" ref="M33">_xlfn.SWITCH(H33,
"Emirati","إماراتي",
"Non-Emirati","غير إماراتي",
"")</f>
        <v/>
      </c>
    </row>
    <row r="34" spans="1:13" x14ac:dyDescent="0.25">
      <c r="A34" t="s">
        <v>26</v>
      </c>
      <c r="B34" t="s">
        <v>16</v>
      </c>
      <c r="C34" t="s">
        <v>17</v>
      </c>
      <c r="D34" t="s">
        <v>82</v>
      </c>
      <c r="E34" t="s">
        <v>83</v>
      </c>
      <c r="F34" t="s">
        <v>83</v>
      </c>
      <c r="I34" t="str" cm="1">
        <f t="array" ref="I34">_xlfn.SWITCH(A34,
"Male","ذكور",
"Female","إناث",
"Unreported","غير مُبلّغ",
"Co-Education","تعليم مختلط",
"Non Co-Education","تعليم غير مختلط",
"Undefined","غير محدد",
"")</f>
        <v>إناث</v>
      </c>
      <c r="J34" t="str" cm="1">
        <f t="array" ref="J34">_xlfn.SWITCH(B34,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34" t="str" cm="1">
        <f t="array" ref="K34">_xlfn.SWITCH(C34,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34" t="str" cm="1">
        <f t="array" ref="L34">_xlfn.SWITCH(G34,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4" t="str" cm="1">
        <f t="array" ref="M34">_xlfn.SWITCH(H34,
"Emirati","إماراتي",
"Non-Emirati","غير إماراتي",
"")</f>
        <v/>
      </c>
    </row>
    <row r="35" spans="1:13" x14ac:dyDescent="0.25">
      <c r="A35" t="s">
        <v>26</v>
      </c>
      <c r="B35" t="s">
        <v>21</v>
      </c>
      <c r="C35" t="s">
        <v>8</v>
      </c>
      <c r="D35" t="s">
        <v>84</v>
      </c>
      <c r="E35" t="s">
        <v>75</v>
      </c>
      <c r="F35" t="s">
        <v>85</v>
      </c>
      <c r="I35" t="str" cm="1">
        <f t="array" ref="I35">_xlfn.SWITCH(A35,
"Male","ذكور",
"Female","إناث",
"Unreported","غير مُبلّغ",
"Co-Education","تعليم مختلط",
"Non Co-Education","تعليم غير مختلط",
"Undefined","غير محدد",
"")</f>
        <v>إناث</v>
      </c>
      <c r="J35" t="str" cm="1">
        <f t="array" ref="J35">_xlfn.SWITCH(B35,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35" t="str" cm="1">
        <f t="array" ref="K35">_xlfn.SWITCH(C35,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35" t="str" cm="1">
        <f t="array" ref="L35">_xlfn.SWITCH(G35,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5" t="str" cm="1">
        <f t="array" ref="M35">_xlfn.SWITCH(H35,
"Emirati","إماراتي",
"Non-Emirati","غير إماراتي",
"")</f>
        <v/>
      </c>
    </row>
    <row r="36" spans="1:13" x14ac:dyDescent="0.25">
      <c r="A36" t="s">
        <v>26</v>
      </c>
      <c r="B36" t="s">
        <v>21</v>
      </c>
      <c r="C36" t="s">
        <v>22</v>
      </c>
      <c r="D36" t="s">
        <v>23</v>
      </c>
      <c r="E36" t="s">
        <v>23</v>
      </c>
      <c r="F36" t="s">
        <v>15</v>
      </c>
      <c r="I36" t="str" cm="1">
        <f t="array" ref="I36">_xlfn.SWITCH(A36,
"Male","ذكور",
"Female","إناث",
"Unreported","غير مُبلّغ",
"Co-Education","تعليم مختلط",
"Non Co-Education","تعليم غير مختلط",
"Undefined","غير محدد",
"")</f>
        <v>إناث</v>
      </c>
      <c r="J36" t="str" cm="1">
        <f t="array" ref="J36">_xlfn.SWITCH(B36,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36" t="str" cm="1">
        <f t="array" ref="K36">_xlfn.SWITCH(C36,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36" t="str" cm="1">
        <f t="array" ref="L36">_xlfn.SWITCH(G36,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6" t="str" cm="1">
        <f t="array" ref="M36">_xlfn.SWITCH(H36,
"Emirati","إماراتي",
"Non-Emirati","غير إماراتي",
"")</f>
        <v/>
      </c>
    </row>
    <row r="37" spans="1:13" x14ac:dyDescent="0.25">
      <c r="A37" t="s">
        <v>26</v>
      </c>
      <c r="B37" t="s">
        <v>24</v>
      </c>
      <c r="C37" t="s">
        <v>25</v>
      </c>
      <c r="D37" t="s">
        <v>23</v>
      </c>
      <c r="E37" t="s">
        <v>15</v>
      </c>
      <c r="F37" t="s">
        <v>23</v>
      </c>
      <c r="I37" t="str" cm="1">
        <f t="array" ref="I37">_xlfn.SWITCH(A37,
"Male","ذكور",
"Female","إناث",
"Unreported","غير مُبلّغ",
"Co-Education","تعليم مختلط",
"Non Co-Education","تعليم غير مختلط",
"Undefined","غير محدد",
"")</f>
        <v>إناث</v>
      </c>
      <c r="J37" t="str" cm="1">
        <f t="array" ref="J37">_xlfn.SWITCH(B37,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37" t="str" cm="1">
        <f t="array" ref="K37">_xlfn.SWITCH(C37,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37" t="str" cm="1">
        <f t="array" ref="L37">_xlfn.SWITCH(G37,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7" t="str" cm="1">
        <f t="array" ref="M37">_xlfn.SWITCH(H37,
"Emirati","إماراتي",
"Non-Emirati","غير إماراتي",
"")</f>
        <v/>
      </c>
    </row>
    <row r="38" spans="1:13" x14ac:dyDescent="0.25">
      <c r="A38" t="s">
        <v>6</v>
      </c>
      <c r="B38" t="s">
        <v>51</v>
      </c>
      <c r="C38" t="s">
        <v>8</v>
      </c>
      <c r="D38" t="s">
        <v>86</v>
      </c>
      <c r="E38" t="s">
        <v>57</v>
      </c>
      <c r="F38" t="s">
        <v>23</v>
      </c>
      <c r="I38" t="str" cm="1">
        <f t="array" ref="I38">_xlfn.SWITCH(A38,
"Male","ذكور",
"Female","إناث",
"Unreported","غير مُبلّغ",
"Co-Education","تعليم مختلط",
"Non Co-Education","تعليم غير مختلط",
"Undefined","غير محدد",
"")</f>
        <v>ذكور</v>
      </c>
      <c r="J38" t="str" cm="1">
        <f t="array" ref="J38">_xlfn.SWITCH(B38,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38" t="str" cm="1">
        <f t="array" ref="K38">_xlfn.SWITCH(C38,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38" t="str" cm="1">
        <f t="array" ref="L38">_xlfn.SWITCH(G38,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8" t="str" cm="1">
        <f t="array" ref="M38">_xlfn.SWITCH(H38,
"Emirati","إماراتي",
"Non-Emirati","غير إماراتي",
"")</f>
        <v/>
      </c>
    </row>
    <row r="39" spans="1:13" x14ac:dyDescent="0.25">
      <c r="A39" t="s">
        <v>6</v>
      </c>
      <c r="B39" t="s">
        <v>51</v>
      </c>
      <c r="C39" t="s">
        <v>22</v>
      </c>
      <c r="D39" t="s">
        <v>63</v>
      </c>
      <c r="E39" t="s">
        <v>71</v>
      </c>
      <c r="F39" t="s">
        <v>23</v>
      </c>
      <c r="I39" t="str" cm="1">
        <f t="array" ref="I39">_xlfn.SWITCH(A39,
"Male","ذكور",
"Female","إناث",
"Unreported","غير مُبلّغ",
"Co-Education","تعليم مختلط",
"Non Co-Education","تعليم غير مختلط",
"Undefined","غير محدد",
"")</f>
        <v>ذكور</v>
      </c>
      <c r="J39" t="str" cm="1">
        <f t="array" ref="J39">_xlfn.SWITCH(B39,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39" t="str" cm="1">
        <f t="array" ref="K39">_xlfn.SWITCH(C39,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39" t="str" cm="1">
        <f t="array" ref="L39">_xlfn.SWITCH(G39,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39" t="str" cm="1">
        <f t="array" ref="M39">_xlfn.SWITCH(H39,
"Emirati","إماراتي",
"Non-Emirati","غير إماراتي",
"")</f>
        <v/>
      </c>
    </row>
    <row r="40" spans="1:13" x14ac:dyDescent="0.25">
      <c r="A40" t="s">
        <v>6</v>
      </c>
      <c r="B40" t="s">
        <v>48</v>
      </c>
      <c r="C40" t="s">
        <v>22</v>
      </c>
      <c r="D40" t="s">
        <v>87</v>
      </c>
      <c r="E40" t="s">
        <v>88</v>
      </c>
      <c r="F40" t="s">
        <v>67</v>
      </c>
      <c r="I40" t="str" cm="1">
        <f t="array" ref="I40">_xlfn.SWITCH(A40,
"Male","ذكور",
"Female","إناث",
"Unreported","غير مُبلّغ",
"Co-Education","تعليم مختلط",
"Non Co-Education","تعليم غير مختلط",
"Undefined","غير محدد",
"")</f>
        <v>ذكور</v>
      </c>
      <c r="J40" t="str" cm="1">
        <f t="array" ref="J40">_xlfn.SWITCH(B40,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40" t="str" cm="1">
        <f t="array" ref="K40">_xlfn.SWITCH(C40,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40" t="str" cm="1">
        <f t="array" ref="L40">_xlfn.SWITCH(G40,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0" t="str" cm="1">
        <f t="array" ref="M40">_xlfn.SWITCH(H40,
"Emirati","إماراتي",
"Non-Emirati","غير إماراتي",
"")</f>
        <v/>
      </c>
    </row>
    <row r="41" spans="1:13" x14ac:dyDescent="0.25">
      <c r="A41" t="s">
        <v>6</v>
      </c>
      <c r="B41" t="s">
        <v>34</v>
      </c>
      <c r="C41" t="s">
        <v>36</v>
      </c>
      <c r="D41" t="s">
        <v>23</v>
      </c>
      <c r="E41" t="s">
        <v>23</v>
      </c>
      <c r="F41" t="s">
        <v>89</v>
      </c>
      <c r="I41" t="str" cm="1">
        <f t="array" ref="I41">_xlfn.SWITCH(A41,
"Male","ذكور",
"Female","إناث",
"Unreported","غير مُبلّغ",
"Co-Education","تعليم مختلط",
"Non Co-Education","تعليم غير مختلط",
"Undefined","غير محدد",
"")</f>
        <v>ذكور</v>
      </c>
      <c r="J41" t="str" cm="1">
        <f t="array" ref="J41">_xlfn.SWITCH(B41,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41" t="str" cm="1">
        <f t="array" ref="K41">_xlfn.SWITCH(C41,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41" t="str" cm="1">
        <f t="array" ref="L41">_xlfn.SWITCH(G41,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1" t="str" cm="1">
        <f t="array" ref="M41">_xlfn.SWITCH(H41,
"Emirati","إماراتي",
"Non-Emirati","غير إماراتي",
"")</f>
        <v/>
      </c>
    </row>
    <row r="42" spans="1:13" x14ac:dyDescent="0.25">
      <c r="A42" t="s">
        <v>6</v>
      </c>
      <c r="B42" t="s">
        <v>24</v>
      </c>
      <c r="C42" t="s">
        <v>8</v>
      </c>
      <c r="D42" t="s">
        <v>89</v>
      </c>
      <c r="E42" t="s">
        <v>23</v>
      </c>
      <c r="F42" t="s">
        <v>23</v>
      </c>
      <c r="I42" t="str" cm="1">
        <f t="array" ref="I42">_xlfn.SWITCH(A42,
"Male","ذكور",
"Female","إناث",
"Unreported","غير مُبلّغ",
"Co-Education","تعليم مختلط",
"Non Co-Education","تعليم غير مختلط",
"Undefined","غير محدد",
"")</f>
        <v>ذكور</v>
      </c>
      <c r="J42" t="str" cm="1">
        <f t="array" ref="J42">_xlfn.SWITCH(B42,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42" t="str" cm="1">
        <f t="array" ref="K42">_xlfn.SWITCH(C42,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42" t="str" cm="1">
        <f t="array" ref="L42">_xlfn.SWITCH(G42,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2" t="str" cm="1">
        <f t="array" ref="M42">_xlfn.SWITCH(H42,
"Emirati","إماراتي",
"Non-Emirati","غير إماراتي",
"")</f>
        <v/>
      </c>
    </row>
    <row r="43" spans="1:13" x14ac:dyDescent="0.25">
      <c r="A43" t="s">
        <v>6</v>
      </c>
      <c r="B43" t="s">
        <v>24</v>
      </c>
      <c r="C43" t="s">
        <v>22</v>
      </c>
      <c r="D43" t="s">
        <v>15</v>
      </c>
      <c r="E43" t="s">
        <v>23</v>
      </c>
      <c r="F43" t="s">
        <v>23</v>
      </c>
      <c r="I43" t="str" cm="1">
        <f t="array" ref="I43">_xlfn.SWITCH(A43,
"Male","ذكور",
"Female","إناث",
"Unreported","غير مُبلّغ",
"Co-Education","تعليم مختلط",
"Non Co-Education","تعليم غير مختلط",
"Undefined","غير محدد",
"")</f>
        <v>ذكور</v>
      </c>
      <c r="J43" t="str" cm="1">
        <f t="array" ref="J43">_xlfn.SWITCH(B43,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43" t="str" cm="1">
        <f t="array" ref="K43">_xlfn.SWITCH(C43,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43" t="str" cm="1">
        <f t="array" ref="L43">_xlfn.SWITCH(G43,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3" t="str" cm="1">
        <f t="array" ref="M43">_xlfn.SWITCH(H43,
"Emirati","إماراتي",
"Non-Emirati","غير إماراتي",
"")</f>
        <v/>
      </c>
    </row>
    <row r="44" spans="1:13" x14ac:dyDescent="0.25">
      <c r="A44" t="s">
        <v>26</v>
      </c>
      <c r="B44" t="s">
        <v>27</v>
      </c>
      <c r="C44" t="s">
        <v>17</v>
      </c>
      <c r="D44" t="s">
        <v>56</v>
      </c>
      <c r="E44" t="s">
        <v>49</v>
      </c>
      <c r="F44" t="s">
        <v>90</v>
      </c>
      <c r="I44" t="str" cm="1">
        <f t="array" ref="I44">_xlfn.SWITCH(A44,
"Male","ذكور",
"Female","إناث",
"Unreported","غير مُبلّغ",
"Co-Education","تعليم مختلط",
"Non Co-Education","تعليم غير مختلط",
"Undefined","غير محدد",
"")</f>
        <v>إناث</v>
      </c>
      <c r="J44" t="str" cm="1">
        <f t="array" ref="J44">_xlfn.SWITCH(B44,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44" t="str" cm="1">
        <f t="array" ref="K44">_xlfn.SWITCH(C44,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44" t="str" cm="1">
        <f t="array" ref="L44">_xlfn.SWITCH(G44,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4" t="str" cm="1">
        <f t="array" ref="M44">_xlfn.SWITCH(H44,
"Emirati","إماراتي",
"Non-Emirati","غير إماراتي",
"")</f>
        <v/>
      </c>
    </row>
    <row r="45" spans="1:13" x14ac:dyDescent="0.25">
      <c r="A45" t="s">
        <v>6</v>
      </c>
      <c r="B45" t="s">
        <v>27</v>
      </c>
      <c r="C45" t="s">
        <v>36</v>
      </c>
      <c r="D45" t="s">
        <v>56</v>
      </c>
      <c r="E45" t="s">
        <v>91</v>
      </c>
      <c r="F45" t="s">
        <v>92</v>
      </c>
      <c r="I45" t="str" cm="1">
        <f t="array" ref="I45">_xlfn.SWITCH(A45,
"Male","ذكور",
"Female","إناث",
"Unreported","غير مُبلّغ",
"Co-Education","تعليم مختلط",
"Non Co-Education","تعليم غير مختلط",
"Undefined","غير محدد",
"")</f>
        <v>ذكور</v>
      </c>
      <c r="J45" t="str" cm="1">
        <f t="array" ref="J45">_xlfn.SWITCH(B45,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45" t="str" cm="1">
        <f t="array" ref="K45">_xlfn.SWITCH(C45,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45" t="str" cm="1">
        <f t="array" ref="L45">_xlfn.SWITCH(G45,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5" t="str" cm="1">
        <f t="array" ref="M45">_xlfn.SWITCH(H45,
"Emirati","إماراتي",
"Non-Emirati","غير إماراتي",
"")</f>
        <v/>
      </c>
    </row>
    <row r="46" spans="1:13" x14ac:dyDescent="0.25">
      <c r="A46" t="s">
        <v>6</v>
      </c>
      <c r="B46" t="s">
        <v>12</v>
      </c>
      <c r="C46" t="s">
        <v>36</v>
      </c>
      <c r="D46" t="s">
        <v>13</v>
      </c>
      <c r="E46" t="s">
        <v>13</v>
      </c>
      <c r="F46" t="s">
        <v>15</v>
      </c>
      <c r="I46" t="str" cm="1">
        <f t="array" ref="I46">_xlfn.SWITCH(A46,
"Male","ذكور",
"Female","إناث",
"Unreported","غير مُبلّغ",
"Co-Education","تعليم مختلط",
"Non Co-Education","تعليم غير مختلط",
"Undefined","غير محدد",
"")</f>
        <v>ذكور</v>
      </c>
      <c r="J46" t="str" cm="1">
        <f t="array" ref="J46">_xlfn.SWITCH(B46,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46" t="str" cm="1">
        <f t="array" ref="K46">_xlfn.SWITCH(C46,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46" t="str" cm="1">
        <f t="array" ref="L46">_xlfn.SWITCH(G46,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6" t="str" cm="1">
        <f t="array" ref="M46">_xlfn.SWITCH(H46,
"Emirati","إماراتي",
"Non-Emirati","غير إماراتي",
"")</f>
        <v/>
      </c>
    </row>
    <row r="47" spans="1:13" x14ac:dyDescent="0.25">
      <c r="A47" t="s">
        <v>6</v>
      </c>
      <c r="B47" t="s">
        <v>16</v>
      </c>
      <c r="C47" t="s">
        <v>36</v>
      </c>
      <c r="D47" t="s">
        <v>93</v>
      </c>
      <c r="E47" t="s">
        <v>18</v>
      </c>
      <c r="F47" t="s">
        <v>94</v>
      </c>
      <c r="I47" t="str" cm="1">
        <f t="array" ref="I47">_xlfn.SWITCH(A47,
"Male","ذكور",
"Female","إناث",
"Unreported","غير مُبلّغ",
"Co-Education","تعليم مختلط",
"Non Co-Education","تعليم غير مختلط",
"Undefined","غير محدد",
"")</f>
        <v>ذكور</v>
      </c>
      <c r="J47" t="str" cm="1">
        <f t="array" ref="J47">_xlfn.SWITCH(B47,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47" t="str" cm="1">
        <f t="array" ref="K47">_xlfn.SWITCH(C47,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47" t="str" cm="1">
        <f t="array" ref="L47">_xlfn.SWITCH(G47,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7" t="str" cm="1">
        <f t="array" ref="M47">_xlfn.SWITCH(H47,
"Emirati","إماراتي",
"Non-Emirati","غير إماراتي",
"")</f>
        <v/>
      </c>
    </row>
    <row r="48" spans="1:13" x14ac:dyDescent="0.25">
      <c r="A48" t="s">
        <v>6</v>
      </c>
      <c r="B48" t="s">
        <v>21</v>
      </c>
      <c r="C48" t="s">
        <v>36</v>
      </c>
      <c r="D48" t="s">
        <v>23</v>
      </c>
      <c r="E48" t="s">
        <v>77</v>
      </c>
      <c r="F48" t="s">
        <v>56</v>
      </c>
      <c r="I48" t="str" cm="1">
        <f t="array" ref="I48">_xlfn.SWITCH(A48,
"Male","ذكور",
"Female","إناث",
"Unreported","غير مُبلّغ",
"Co-Education","تعليم مختلط",
"Non Co-Education","تعليم غير مختلط",
"Undefined","غير محدد",
"")</f>
        <v>ذكور</v>
      </c>
      <c r="J48" t="str" cm="1">
        <f t="array" ref="J48">_xlfn.SWITCH(B48,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48" t="str" cm="1">
        <f t="array" ref="K48">_xlfn.SWITCH(C48,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48" t="str" cm="1">
        <f t="array" ref="L48">_xlfn.SWITCH(G48,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8" t="str" cm="1">
        <f t="array" ref="M48">_xlfn.SWITCH(H48,
"Emirati","إماراتي",
"Non-Emirati","غير إماراتي",
"")</f>
        <v/>
      </c>
    </row>
    <row r="49" spans="1:13" x14ac:dyDescent="0.25">
      <c r="A49" t="s">
        <v>6</v>
      </c>
      <c r="B49" t="s">
        <v>21</v>
      </c>
      <c r="C49" t="s">
        <v>25</v>
      </c>
      <c r="D49" t="s">
        <v>23</v>
      </c>
      <c r="E49" t="s">
        <v>23</v>
      </c>
      <c r="F49" t="s">
        <v>23</v>
      </c>
      <c r="I49" t="str" cm="1">
        <f t="array" ref="I49">_xlfn.SWITCH(A49,
"Male","ذكور",
"Female","إناث",
"Unreported","غير مُبلّغ",
"Co-Education","تعليم مختلط",
"Non Co-Education","تعليم غير مختلط",
"Undefined","غير محدد",
"")</f>
        <v>ذكور</v>
      </c>
      <c r="J49" t="str" cm="1">
        <f t="array" ref="J49">_xlfn.SWITCH(B49,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49" t="str" cm="1">
        <f t="array" ref="K49">_xlfn.SWITCH(C49,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49" t="str" cm="1">
        <f t="array" ref="L49">_xlfn.SWITCH(G49,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49" t="str" cm="1">
        <f t="array" ref="M49">_xlfn.SWITCH(H49,
"Emirati","إماراتي",
"Non-Emirati","غير إماراتي",
"")</f>
        <v/>
      </c>
    </row>
    <row r="50" spans="1:13" x14ac:dyDescent="0.25">
      <c r="A50" t="s">
        <v>6</v>
      </c>
      <c r="B50" t="s">
        <v>95</v>
      </c>
      <c r="C50" t="s">
        <v>8</v>
      </c>
      <c r="D50" t="s">
        <v>23</v>
      </c>
      <c r="E50" t="s">
        <v>23</v>
      </c>
      <c r="F50" t="s">
        <v>23</v>
      </c>
      <c r="I50" t="str" cm="1">
        <f t="array" ref="I50">_xlfn.SWITCH(A50,
"Male","ذكور",
"Female","إناث",
"Unreported","غير مُبلّغ",
"Co-Education","تعليم مختلط",
"Non Co-Education","تعليم غير مختلط",
"Undefined","غير محدد",
"")</f>
        <v>ذكور</v>
      </c>
      <c r="J50" t="str" cm="1">
        <f t="array" ref="J50">_xlfn.SWITCH(B50,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50" t="str" cm="1">
        <f t="array" ref="K50">_xlfn.SWITCH(C50,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50" t="str" cm="1">
        <f t="array" ref="L50">_xlfn.SWITCH(G50,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0" t="str" cm="1">
        <f t="array" ref="M50">_xlfn.SWITCH(H50,
"Emirati","إماراتي",
"Non-Emirati","غير إماراتي",
"")</f>
        <v/>
      </c>
    </row>
    <row r="51" spans="1:13" x14ac:dyDescent="0.25">
      <c r="A51" t="s">
        <v>26</v>
      </c>
      <c r="B51" t="s">
        <v>34</v>
      </c>
      <c r="C51" t="s">
        <v>17</v>
      </c>
      <c r="D51" t="s">
        <v>23</v>
      </c>
      <c r="E51" t="s">
        <v>23</v>
      </c>
      <c r="F51" t="s">
        <v>15</v>
      </c>
      <c r="I51" t="str" cm="1">
        <f t="array" ref="I51">_xlfn.SWITCH(A51,
"Male","ذكور",
"Female","إناث",
"Unreported","غير مُبلّغ",
"Co-Education","تعليم مختلط",
"Non Co-Education","تعليم غير مختلط",
"Undefined","غير محدد",
"")</f>
        <v>إناث</v>
      </c>
      <c r="J51" t="str" cm="1">
        <f t="array" ref="J51">_xlfn.SWITCH(B51,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51" t="str" cm="1">
        <f t="array" ref="K51">_xlfn.SWITCH(C51,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51" t="str" cm="1">
        <f t="array" ref="L51">_xlfn.SWITCH(G51,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1" t="str" cm="1">
        <f t="array" ref="M51">_xlfn.SWITCH(H51,
"Emirati","إماراتي",
"Non-Emirati","غير إماراتي",
"")</f>
        <v/>
      </c>
    </row>
    <row r="52" spans="1:13" x14ac:dyDescent="0.25">
      <c r="A52" t="s">
        <v>6</v>
      </c>
      <c r="B52" t="s">
        <v>7</v>
      </c>
      <c r="C52" t="s">
        <v>22</v>
      </c>
      <c r="D52" t="s">
        <v>47</v>
      </c>
      <c r="E52" t="s">
        <v>96</v>
      </c>
      <c r="F52" t="s">
        <v>97</v>
      </c>
      <c r="I52" t="str" cm="1">
        <f t="array" ref="I52">_xlfn.SWITCH(A52,
"Male","ذكور",
"Female","إناث",
"Unreported","غير مُبلّغ",
"Co-Education","تعليم مختلط",
"Non Co-Education","تعليم غير مختلط",
"Undefined","غير محدد",
"")</f>
        <v>ذكور</v>
      </c>
      <c r="J52" t="str" cm="1">
        <f t="array" ref="J52">_xlfn.SWITCH(B52,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52" t="str" cm="1">
        <f t="array" ref="K52">_xlfn.SWITCH(C52,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52" t="str" cm="1">
        <f t="array" ref="L52">_xlfn.SWITCH(G52,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2" t="str" cm="1">
        <f t="array" ref="M52">_xlfn.SWITCH(H52,
"Emirati","إماراتي",
"Non-Emirati","غير إماراتي",
"")</f>
        <v/>
      </c>
    </row>
    <row r="53" spans="1:13" x14ac:dyDescent="0.25">
      <c r="A53" t="s">
        <v>6</v>
      </c>
      <c r="B53" t="s">
        <v>12</v>
      </c>
      <c r="C53" t="s">
        <v>22</v>
      </c>
      <c r="D53" t="s">
        <v>15</v>
      </c>
      <c r="E53" t="s">
        <v>15</v>
      </c>
      <c r="F53" t="s">
        <v>15</v>
      </c>
      <c r="I53" t="str" cm="1">
        <f t="array" ref="I53">_xlfn.SWITCH(A53,
"Male","ذكور",
"Female","إناث",
"Unreported","غير مُبلّغ",
"Co-Education","تعليم مختلط",
"Non Co-Education","تعليم غير مختلط",
"Undefined","غير محدد",
"")</f>
        <v>ذكور</v>
      </c>
      <c r="J53" t="str" cm="1">
        <f t="array" ref="J53">_xlfn.SWITCH(B53,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53" t="str" cm="1">
        <f t="array" ref="K53">_xlfn.SWITCH(C53,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53" t="str" cm="1">
        <f t="array" ref="L53">_xlfn.SWITCH(G53,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3" t="str" cm="1">
        <f t="array" ref="M53">_xlfn.SWITCH(H53,
"Emirati","إماراتي",
"Non-Emirati","غير إماراتي",
"")</f>
        <v/>
      </c>
    </row>
    <row r="54" spans="1:13" x14ac:dyDescent="0.25">
      <c r="A54" t="s">
        <v>26</v>
      </c>
      <c r="B54" t="s">
        <v>51</v>
      </c>
      <c r="C54" t="s">
        <v>36</v>
      </c>
      <c r="D54" t="s">
        <v>98</v>
      </c>
      <c r="E54" t="s">
        <v>19</v>
      </c>
      <c r="F54" t="s">
        <v>23</v>
      </c>
      <c r="I54" t="str" cm="1">
        <f t="array" ref="I54">_xlfn.SWITCH(A54,
"Male","ذكور",
"Female","إناث",
"Unreported","غير مُبلّغ",
"Co-Education","تعليم مختلط",
"Non Co-Education","تعليم غير مختلط",
"Undefined","غير محدد",
"")</f>
        <v>إناث</v>
      </c>
      <c r="J54" t="str" cm="1">
        <f t="array" ref="J54">_xlfn.SWITCH(B54,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54" t="str" cm="1">
        <f t="array" ref="K54">_xlfn.SWITCH(C54,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54" t="str" cm="1">
        <f t="array" ref="L54">_xlfn.SWITCH(G54,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4" t="str" cm="1">
        <f t="array" ref="M54">_xlfn.SWITCH(H54,
"Emirati","إماراتي",
"Non-Emirati","غير إماراتي",
"")</f>
        <v/>
      </c>
    </row>
    <row r="55" spans="1:13" x14ac:dyDescent="0.25">
      <c r="A55" t="s">
        <v>26</v>
      </c>
      <c r="B55" t="s">
        <v>27</v>
      </c>
      <c r="C55" t="s">
        <v>8</v>
      </c>
      <c r="D55" t="s">
        <v>78</v>
      </c>
      <c r="E55" t="s">
        <v>78</v>
      </c>
      <c r="F55" t="s">
        <v>13</v>
      </c>
      <c r="I55" t="str" cm="1">
        <f t="array" ref="I55">_xlfn.SWITCH(A55,
"Male","ذكور",
"Female","إناث",
"Unreported","غير مُبلّغ",
"Co-Education","تعليم مختلط",
"Non Co-Education","تعليم غير مختلط",
"Undefined","غير محدد",
"")</f>
        <v>إناث</v>
      </c>
      <c r="J55" t="str" cm="1">
        <f t="array" ref="J55">_xlfn.SWITCH(B55,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55" t="str" cm="1">
        <f t="array" ref="K55">_xlfn.SWITCH(C55,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55" t="str" cm="1">
        <f t="array" ref="L55">_xlfn.SWITCH(G55,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5" t="str" cm="1">
        <f t="array" ref="M55">_xlfn.SWITCH(H55,
"Emirati","إماراتي",
"Non-Emirati","غير إماراتي",
"")</f>
        <v/>
      </c>
    </row>
    <row r="56" spans="1:13" x14ac:dyDescent="0.25">
      <c r="A56" t="s">
        <v>26</v>
      </c>
      <c r="B56" t="s">
        <v>48</v>
      </c>
      <c r="C56" t="s">
        <v>22</v>
      </c>
      <c r="D56" t="s">
        <v>63</v>
      </c>
      <c r="E56" t="s">
        <v>78</v>
      </c>
      <c r="F56" t="s">
        <v>67</v>
      </c>
      <c r="I56" t="str" cm="1">
        <f t="array" ref="I56">_xlfn.SWITCH(A56,
"Male","ذكور",
"Female","إناث",
"Unreported","غير مُبلّغ",
"Co-Education","تعليم مختلط",
"Non Co-Education","تعليم غير مختلط",
"Undefined","غير محدد",
"")</f>
        <v>إناث</v>
      </c>
      <c r="J56" t="str" cm="1">
        <f t="array" ref="J56">_xlfn.SWITCH(B56,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56" t="str" cm="1">
        <f t="array" ref="K56">_xlfn.SWITCH(C56,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56" t="str" cm="1">
        <f t="array" ref="L56">_xlfn.SWITCH(G56,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6" t="str" cm="1">
        <f t="array" ref="M56">_xlfn.SWITCH(H56,
"Emirati","إماراتي",
"Non-Emirati","غير إماراتي",
"")</f>
        <v/>
      </c>
    </row>
    <row r="57" spans="1:13" x14ac:dyDescent="0.25">
      <c r="A57" t="s">
        <v>26</v>
      </c>
      <c r="B57" t="s">
        <v>16</v>
      </c>
      <c r="C57" t="s">
        <v>8</v>
      </c>
      <c r="D57" t="s">
        <v>99</v>
      </c>
      <c r="E57" t="s">
        <v>91</v>
      </c>
      <c r="F57" t="s">
        <v>99</v>
      </c>
      <c r="I57" t="str" cm="1">
        <f t="array" ref="I57">_xlfn.SWITCH(A57,
"Male","ذكور",
"Female","إناث",
"Unreported","غير مُبلّغ",
"Co-Education","تعليم مختلط",
"Non Co-Education","تعليم غير مختلط",
"Undefined","غير محدد",
"")</f>
        <v>إناث</v>
      </c>
      <c r="J57" t="str" cm="1">
        <f t="array" ref="J57">_xlfn.SWITCH(B57,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57" t="str" cm="1">
        <f t="array" ref="K57">_xlfn.SWITCH(C57,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57" t="str" cm="1">
        <f t="array" ref="L57">_xlfn.SWITCH(G57,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7" t="str" cm="1">
        <f t="array" ref="M57">_xlfn.SWITCH(H57,
"Emirati","إماراتي",
"Non-Emirati","غير إماراتي",
"")</f>
        <v/>
      </c>
    </row>
    <row r="58" spans="1:13" x14ac:dyDescent="0.25">
      <c r="A58" t="s">
        <v>26</v>
      </c>
      <c r="B58" t="s">
        <v>21</v>
      </c>
      <c r="C58" t="s">
        <v>17</v>
      </c>
      <c r="D58" t="s">
        <v>23</v>
      </c>
      <c r="E58" t="s">
        <v>23</v>
      </c>
      <c r="F58" t="s">
        <v>23</v>
      </c>
      <c r="I58" t="str" cm="1">
        <f t="array" ref="I58">_xlfn.SWITCH(A58,
"Male","ذكور",
"Female","إناث",
"Unreported","غير مُبلّغ",
"Co-Education","تعليم مختلط",
"Non Co-Education","تعليم غير مختلط",
"Undefined","غير محدد",
"")</f>
        <v>إناث</v>
      </c>
      <c r="J58" t="str" cm="1">
        <f t="array" ref="J58">_xlfn.SWITCH(B58,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58" t="str" cm="1">
        <f t="array" ref="K58">_xlfn.SWITCH(C58,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58" t="str" cm="1">
        <f t="array" ref="L58">_xlfn.SWITCH(G58,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8" t="str" cm="1">
        <f t="array" ref="M58">_xlfn.SWITCH(H58,
"Emirati","إماراتي",
"Non-Emirati","غير إماراتي",
"")</f>
        <v/>
      </c>
    </row>
    <row r="59" spans="1:13" x14ac:dyDescent="0.25">
      <c r="A59" t="s">
        <v>26</v>
      </c>
      <c r="B59" t="s">
        <v>24</v>
      </c>
      <c r="C59" t="s">
        <v>36</v>
      </c>
      <c r="D59" t="s">
        <v>23</v>
      </c>
      <c r="E59" t="s">
        <v>23</v>
      </c>
      <c r="F59" t="s">
        <v>23</v>
      </c>
      <c r="I59" t="str" cm="1">
        <f t="array" ref="I59">_xlfn.SWITCH(A59,
"Male","ذكور",
"Female","إناث",
"Unreported","غير مُبلّغ",
"Co-Education","تعليم مختلط",
"Non Co-Education","تعليم غير مختلط",
"Undefined","غير محدد",
"")</f>
        <v>إناث</v>
      </c>
      <c r="J59" t="str" cm="1">
        <f t="array" ref="J59">_xlfn.SWITCH(B59,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59" t="str" cm="1">
        <f t="array" ref="K59">_xlfn.SWITCH(C59,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59" t="str" cm="1">
        <f t="array" ref="L59">_xlfn.SWITCH(G59,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59" t="str" cm="1">
        <f t="array" ref="M59">_xlfn.SWITCH(H59,
"Emirati","إماراتي",
"Non-Emirati","غير إماراتي",
"")</f>
        <v/>
      </c>
    </row>
    <row r="60" spans="1:13" x14ac:dyDescent="0.25">
      <c r="A60" t="s">
        <v>6</v>
      </c>
      <c r="B60" t="s">
        <v>42</v>
      </c>
      <c r="C60" t="s">
        <v>36</v>
      </c>
      <c r="D60" t="s">
        <v>100</v>
      </c>
      <c r="E60" t="s">
        <v>101</v>
      </c>
      <c r="F60" t="s">
        <v>23</v>
      </c>
      <c r="I60" t="str" cm="1">
        <f t="array" ref="I60">_xlfn.SWITCH(A60,
"Male","ذكور",
"Female","إناث",
"Unreported","غير مُبلّغ",
"Co-Education","تعليم مختلط",
"Non Co-Education","تعليم غير مختلط",
"Undefined","غير محدد",
"")</f>
        <v>ذكور</v>
      </c>
      <c r="J60" t="str" cm="1">
        <f t="array" ref="J60">_xlfn.SWITCH(B60,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60" t="str" cm="1">
        <f t="array" ref="K60">_xlfn.SWITCH(C60,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60" t="str" cm="1">
        <f t="array" ref="L60">_xlfn.SWITCH(G60,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0" t="str" cm="1">
        <f t="array" ref="M60">_xlfn.SWITCH(H60,
"Emirati","إماراتي",
"Non-Emirati","غير إماراتي",
"")</f>
        <v/>
      </c>
    </row>
    <row r="61" spans="1:13" x14ac:dyDescent="0.25">
      <c r="A61" t="s">
        <v>6</v>
      </c>
      <c r="B61" t="s">
        <v>42</v>
      </c>
      <c r="C61" t="s">
        <v>17</v>
      </c>
      <c r="D61" t="s">
        <v>102</v>
      </c>
      <c r="E61" t="s">
        <v>103</v>
      </c>
      <c r="F61" t="s">
        <v>23</v>
      </c>
      <c r="I61" t="str" cm="1">
        <f t="array" ref="I61">_xlfn.SWITCH(A61,
"Male","ذكور",
"Female","إناث",
"Unreported","غير مُبلّغ",
"Co-Education","تعليم مختلط",
"Non Co-Education","تعليم غير مختلط",
"Undefined","غير محدد",
"")</f>
        <v>ذكور</v>
      </c>
      <c r="J61" t="str" cm="1">
        <f t="array" ref="J61">_xlfn.SWITCH(B61,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61" t="str" cm="1">
        <f t="array" ref="K61">_xlfn.SWITCH(C61,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61" t="str" cm="1">
        <f t="array" ref="L61">_xlfn.SWITCH(G61,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1" t="str" cm="1">
        <f t="array" ref="M61">_xlfn.SWITCH(H61,
"Emirati","إماراتي",
"Non-Emirati","غير إماراتي",
"")</f>
        <v/>
      </c>
    </row>
    <row r="62" spans="1:13" x14ac:dyDescent="0.25">
      <c r="A62" t="s">
        <v>6</v>
      </c>
      <c r="B62" t="s">
        <v>48</v>
      </c>
      <c r="C62" t="s">
        <v>36</v>
      </c>
      <c r="D62" t="s">
        <v>62</v>
      </c>
      <c r="E62" t="s">
        <v>98</v>
      </c>
      <c r="F62" t="s">
        <v>90</v>
      </c>
      <c r="I62" t="str" cm="1">
        <f t="array" ref="I62">_xlfn.SWITCH(A62,
"Male","ذكور",
"Female","إناث",
"Unreported","غير مُبلّغ",
"Co-Education","تعليم مختلط",
"Non Co-Education","تعليم غير مختلط",
"Undefined","غير محدد",
"")</f>
        <v>ذكور</v>
      </c>
      <c r="J62" t="str" cm="1">
        <f t="array" ref="J62">_xlfn.SWITCH(B62,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62" t="str" cm="1">
        <f t="array" ref="K62">_xlfn.SWITCH(C62,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62" t="str" cm="1">
        <f t="array" ref="L62">_xlfn.SWITCH(G62,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2" t="str" cm="1">
        <f t="array" ref="M62">_xlfn.SWITCH(H62,
"Emirati","إماراتي",
"Non-Emirati","غير إماراتي",
"")</f>
        <v/>
      </c>
    </row>
    <row r="63" spans="1:13" x14ac:dyDescent="0.25">
      <c r="A63" t="s">
        <v>6</v>
      </c>
      <c r="B63" t="s">
        <v>21</v>
      </c>
      <c r="C63" t="s">
        <v>8</v>
      </c>
      <c r="D63" t="s">
        <v>104</v>
      </c>
      <c r="E63" t="s">
        <v>105</v>
      </c>
      <c r="F63" t="s">
        <v>106</v>
      </c>
      <c r="I63" t="str" cm="1">
        <f t="array" ref="I63">_xlfn.SWITCH(A63,
"Male","ذكور",
"Female","إناث",
"Unreported","غير مُبلّغ",
"Co-Education","تعليم مختلط",
"Non Co-Education","تعليم غير مختلط",
"Undefined","غير محدد",
"")</f>
        <v>ذكور</v>
      </c>
      <c r="J63" t="str" cm="1">
        <f t="array" ref="J63">_xlfn.SWITCH(B63,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63" t="str" cm="1">
        <f t="array" ref="K63">_xlfn.SWITCH(C63,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63" t="str" cm="1">
        <f t="array" ref="L63">_xlfn.SWITCH(G63,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3" t="str" cm="1">
        <f t="array" ref="M63">_xlfn.SWITCH(H63,
"Emirati","إماراتي",
"Non-Emirati","غير إماراتي",
"")</f>
        <v/>
      </c>
    </row>
    <row r="64" spans="1:13" x14ac:dyDescent="0.25">
      <c r="A64" t="s">
        <v>6</v>
      </c>
      <c r="B64" t="s">
        <v>34</v>
      </c>
      <c r="C64" t="s">
        <v>25</v>
      </c>
      <c r="D64" t="s">
        <v>23</v>
      </c>
      <c r="E64" t="s">
        <v>23</v>
      </c>
      <c r="F64" t="s">
        <v>15</v>
      </c>
      <c r="I64" t="str" cm="1">
        <f t="array" ref="I64">_xlfn.SWITCH(A64,
"Male","ذكور",
"Female","إناث",
"Unreported","غير مُبلّغ",
"Co-Education","تعليم مختلط",
"Non Co-Education","تعليم غير مختلط",
"Undefined","غير محدد",
"")</f>
        <v>ذكور</v>
      </c>
      <c r="J64" t="str" cm="1">
        <f t="array" ref="J64">_xlfn.SWITCH(B64,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64" t="str" cm="1">
        <f t="array" ref="K64">_xlfn.SWITCH(C64,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64" t="str" cm="1">
        <f t="array" ref="L64">_xlfn.SWITCH(G64,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4" t="str" cm="1">
        <f t="array" ref="M64">_xlfn.SWITCH(H64,
"Emirati","إماراتي",
"Non-Emirati","غير إماراتي",
"")</f>
        <v/>
      </c>
    </row>
    <row r="65" spans="1:13" x14ac:dyDescent="0.25">
      <c r="A65" t="s">
        <v>26</v>
      </c>
      <c r="B65" t="s">
        <v>51</v>
      </c>
      <c r="C65" t="s">
        <v>8</v>
      </c>
      <c r="D65" t="s">
        <v>56</v>
      </c>
      <c r="E65" t="s">
        <v>49</v>
      </c>
      <c r="F65" t="s">
        <v>23</v>
      </c>
      <c r="I65" t="str" cm="1">
        <f t="array" ref="I65">_xlfn.SWITCH(A65,
"Male","ذكور",
"Female","إناث",
"Unreported","غير مُبلّغ",
"Co-Education","تعليم مختلط",
"Non Co-Education","تعليم غير مختلط",
"Undefined","غير محدد",
"")</f>
        <v>إناث</v>
      </c>
      <c r="J65" t="str" cm="1">
        <f t="array" ref="J65">_xlfn.SWITCH(B65,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65" t="str" cm="1">
        <f t="array" ref="K65">_xlfn.SWITCH(C65,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65" t="str" cm="1">
        <f t="array" ref="L65">_xlfn.SWITCH(G65,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5" t="str" cm="1">
        <f t="array" ref="M65">_xlfn.SWITCH(H65,
"Emirati","إماراتي",
"Non-Emirati","غير إماراتي",
"")</f>
        <v/>
      </c>
    </row>
    <row r="66" spans="1:13" x14ac:dyDescent="0.25">
      <c r="A66" t="s">
        <v>26</v>
      </c>
      <c r="B66" t="s">
        <v>42</v>
      </c>
      <c r="C66" t="s">
        <v>22</v>
      </c>
      <c r="D66" t="s">
        <v>107</v>
      </c>
      <c r="E66" t="s">
        <v>108</v>
      </c>
      <c r="F66" t="s">
        <v>23</v>
      </c>
      <c r="I66" t="str" cm="1">
        <f t="array" ref="I66">_xlfn.SWITCH(A66,
"Male","ذكور",
"Female","إناث",
"Unreported","غير مُبلّغ",
"Co-Education","تعليم مختلط",
"Non Co-Education","تعليم غير مختلط",
"Undefined","غير محدد",
"")</f>
        <v>إناث</v>
      </c>
      <c r="J66" t="str" cm="1">
        <f t="array" ref="J66">_xlfn.SWITCH(B66,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66" t="str" cm="1">
        <f t="array" ref="K66">_xlfn.SWITCH(C66,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66" t="str" cm="1">
        <f t="array" ref="L66">_xlfn.SWITCH(G66,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6" t="str" cm="1">
        <f t="array" ref="M66">_xlfn.SWITCH(H66,
"Emirati","إماراتي",
"Non-Emirati","غير إماراتي",
"")</f>
        <v/>
      </c>
    </row>
    <row r="67" spans="1:13" x14ac:dyDescent="0.25">
      <c r="A67" t="s">
        <v>26</v>
      </c>
      <c r="B67" t="s">
        <v>27</v>
      </c>
      <c r="C67" t="s">
        <v>36</v>
      </c>
      <c r="D67" t="s">
        <v>91</v>
      </c>
      <c r="E67" t="s">
        <v>61</v>
      </c>
      <c r="F67" t="s">
        <v>88</v>
      </c>
      <c r="I67" t="str" cm="1">
        <f t="array" ref="I67">_xlfn.SWITCH(A67,
"Male","ذكور",
"Female","إناث",
"Unreported","غير مُبلّغ",
"Co-Education","تعليم مختلط",
"Non Co-Education","تعليم غير مختلط",
"Undefined","غير محدد",
"")</f>
        <v>إناث</v>
      </c>
      <c r="J67" t="str" cm="1">
        <f t="array" ref="J67">_xlfn.SWITCH(B67,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سمعية</v>
      </c>
      <c r="K67" t="str" cm="1">
        <f t="array" ref="K67">_xlfn.SWITCH(C67,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67" t="str" cm="1">
        <f t="array" ref="L67">_xlfn.SWITCH(G67,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7" t="str" cm="1">
        <f t="array" ref="M67">_xlfn.SWITCH(H67,
"Emirati","إماراتي",
"Non-Emirati","غير إماراتي",
"")</f>
        <v/>
      </c>
    </row>
    <row r="68" spans="1:13" x14ac:dyDescent="0.25">
      <c r="A68" t="s">
        <v>26</v>
      </c>
      <c r="B68" t="s">
        <v>16</v>
      </c>
      <c r="C68" t="s">
        <v>36</v>
      </c>
      <c r="D68" t="s">
        <v>109</v>
      </c>
      <c r="E68" t="s">
        <v>110</v>
      </c>
      <c r="F68" t="s">
        <v>111</v>
      </c>
      <c r="I68" t="str" cm="1">
        <f t="array" ref="I68">_xlfn.SWITCH(A68,
"Male","ذكور",
"Female","إناث",
"Unreported","غير مُبلّغ",
"Co-Education","تعليم مختلط",
"Non Co-Education","تعليم غير مختلط",
"Undefined","غير محدد",
"")</f>
        <v>إناث</v>
      </c>
      <c r="J68" t="str" cm="1">
        <f t="array" ref="J68">_xlfn.SWITCH(B68,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إعاقات متعددة</v>
      </c>
      <c r="K68" t="str" cm="1">
        <f t="array" ref="K68">_xlfn.SWITCH(C68,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68" t="str" cm="1">
        <f t="array" ref="L68">_xlfn.SWITCH(G68,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8" t="str" cm="1">
        <f t="array" ref="M68">_xlfn.SWITCH(H68,
"Emirati","إماراتي",
"Non-Emirati","غير إماراتي",
"")</f>
        <v/>
      </c>
    </row>
    <row r="69" spans="1:13" x14ac:dyDescent="0.25">
      <c r="A69" t="s">
        <v>26</v>
      </c>
      <c r="B69" t="s">
        <v>24</v>
      </c>
      <c r="C69" t="s">
        <v>8</v>
      </c>
      <c r="D69" t="s">
        <v>15</v>
      </c>
      <c r="E69" t="s">
        <v>23</v>
      </c>
      <c r="F69" t="s">
        <v>23</v>
      </c>
      <c r="I69" t="str" cm="1">
        <f t="array" ref="I69">_xlfn.SWITCH(A69,
"Male","ذكور",
"Female","إناث",
"Unreported","غير مُبلّغ",
"Co-Education","تعليم مختلط",
"Non Co-Education","تعليم غير مختلط",
"Undefined","غير محدد",
"")</f>
        <v>إناث</v>
      </c>
      <c r="J69" t="str" cm="1">
        <f t="array" ref="J69">_xlfn.SWITCH(B69,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69" t="str" cm="1">
        <f t="array" ref="K69">_xlfn.SWITCH(C69,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69" t="str" cm="1">
        <f t="array" ref="L69">_xlfn.SWITCH(G69,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69" t="str" cm="1">
        <f t="array" ref="M69">_xlfn.SWITCH(H69,
"Emirati","إماراتي",
"Non-Emirati","غير إماراتي",
"")</f>
        <v/>
      </c>
    </row>
    <row r="70" spans="1:13" x14ac:dyDescent="0.25">
      <c r="A70" t="s">
        <v>6</v>
      </c>
      <c r="B70" t="s">
        <v>42</v>
      </c>
      <c r="C70" t="s">
        <v>8</v>
      </c>
      <c r="D70" t="s">
        <v>112</v>
      </c>
      <c r="E70" t="s">
        <v>96</v>
      </c>
      <c r="F70" t="s">
        <v>23</v>
      </c>
      <c r="I70" t="str" cm="1">
        <f t="array" ref="I70">_xlfn.SWITCH(A70,
"Male","ذكور",
"Female","إناث",
"Unreported","غير مُبلّغ",
"Co-Education","تعليم مختلط",
"Non Co-Education","تعليم غير مختلط",
"Undefined","غير محدد",
"")</f>
        <v>ذكور</v>
      </c>
      <c r="J70" t="str" cm="1">
        <f t="array" ref="J70">_xlfn.SWITCH(B70,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70" t="str" cm="1">
        <f t="array" ref="K70">_xlfn.SWITCH(C70,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70" t="str" cm="1">
        <f t="array" ref="L70">_xlfn.SWITCH(G70,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0" t="str" cm="1">
        <f t="array" ref="M70">_xlfn.SWITCH(H70,
"Emirati","إماراتي",
"Non-Emirati","غير إماراتي",
"")</f>
        <v/>
      </c>
    </row>
    <row r="71" spans="1:13" x14ac:dyDescent="0.25">
      <c r="A71" t="s">
        <v>6</v>
      </c>
      <c r="B71" t="s">
        <v>7</v>
      </c>
      <c r="C71" t="s">
        <v>25</v>
      </c>
      <c r="D71" t="s">
        <v>113</v>
      </c>
      <c r="E71" t="s">
        <v>114</v>
      </c>
      <c r="F71" t="s">
        <v>115</v>
      </c>
      <c r="I71" t="str" cm="1">
        <f t="array" ref="I71">_xlfn.SWITCH(A71,
"Male","ذكور",
"Female","إناث",
"Unreported","غير مُبلّغ",
"Co-Education","تعليم مختلط",
"Non Co-Education","تعليم غير مختلط",
"Undefined","غير محدد",
"")</f>
        <v>ذكور</v>
      </c>
      <c r="J71" t="str" cm="1">
        <f t="array" ref="J71">_xlfn.SWITCH(B71,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71" t="str" cm="1">
        <f t="array" ref="K71">_xlfn.SWITCH(C71,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71" t="str" cm="1">
        <f t="array" ref="L71">_xlfn.SWITCH(G71,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1" t="str" cm="1">
        <f t="array" ref="M71">_xlfn.SWITCH(H71,
"Emirati","إماراتي",
"Non-Emirati","غير إماراتي",
"")</f>
        <v/>
      </c>
    </row>
    <row r="72" spans="1:13" x14ac:dyDescent="0.25">
      <c r="A72" t="s">
        <v>6</v>
      </c>
      <c r="B72" t="s">
        <v>48</v>
      </c>
      <c r="C72" t="s">
        <v>8</v>
      </c>
      <c r="D72" t="s">
        <v>91</v>
      </c>
      <c r="E72" t="s">
        <v>30</v>
      </c>
      <c r="F72" t="s">
        <v>67</v>
      </c>
      <c r="I72" t="str" cm="1">
        <f t="array" ref="I72">_xlfn.SWITCH(A72,
"Male","ذكور",
"Female","إناث",
"Unreported","غير مُبلّغ",
"Co-Education","تعليم مختلط",
"Non Co-Education","تعليم غير مختلط",
"Undefined","غير محدد",
"")</f>
        <v>ذكور</v>
      </c>
      <c r="J72" t="str" cm="1">
        <f t="array" ref="J72">_xlfn.SWITCH(B72,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72" t="str" cm="1">
        <f t="array" ref="K72">_xlfn.SWITCH(C72,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72" t="str" cm="1">
        <f t="array" ref="L72">_xlfn.SWITCH(G72,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2" t="str" cm="1">
        <f t="array" ref="M72">_xlfn.SWITCH(H72,
"Emirati","إماراتي",
"Non-Emirati","غير إماراتي",
"")</f>
        <v/>
      </c>
    </row>
    <row r="73" spans="1:13" x14ac:dyDescent="0.25">
      <c r="A73" t="s">
        <v>6</v>
      </c>
      <c r="B73" t="s">
        <v>12</v>
      </c>
      <c r="C73" t="s">
        <v>25</v>
      </c>
      <c r="D73" t="s">
        <v>23</v>
      </c>
      <c r="E73" t="s">
        <v>23</v>
      </c>
      <c r="F73" t="s">
        <v>23</v>
      </c>
      <c r="I73" t="str" cm="1">
        <f t="array" ref="I73">_xlfn.SWITCH(A73,
"Male","ذكور",
"Female","إناث",
"Unreported","غير مُبلّغ",
"Co-Education","تعليم مختلط",
"Non Co-Education","تعليم غير مختلط",
"Undefined","غير محدد",
"")</f>
        <v>ذكور</v>
      </c>
      <c r="J73" t="str" cm="1">
        <f t="array" ref="J73">_xlfn.SWITCH(B73,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73" t="str" cm="1">
        <f t="array" ref="K73">_xlfn.SWITCH(C73,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73" t="str" cm="1">
        <f t="array" ref="L73">_xlfn.SWITCH(G73,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3" t="str" cm="1">
        <f t="array" ref="M73">_xlfn.SWITCH(H73,
"Emirati","إماراتي",
"Non-Emirati","غير إماراتي",
"")</f>
        <v/>
      </c>
    </row>
    <row r="74" spans="1:13" x14ac:dyDescent="0.25">
      <c r="A74" t="s">
        <v>26</v>
      </c>
      <c r="B74" t="s">
        <v>48</v>
      </c>
      <c r="C74" t="s">
        <v>25</v>
      </c>
      <c r="D74" t="s">
        <v>64</v>
      </c>
      <c r="E74" t="s">
        <v>89</v>
      </c>
      <c r="F74" t="s">
        <v>64</v>
      </c>
      <c r="I74" t="str" cm="1">
        <f t="array" ref="I74">_xlfn.SWITCH(A74,
"Male","ذكور",
"Female","إناث",
"Unreported","غير مُبلّغ",
"Co-Education","تعليم مختلط",
"Non Co-Education","تعليم غير مختلط",
"Undefined","غير محدد",
"")</f>
        <v>إناث</v>
      </c>
      <c r="J74" t="str" cm="1">
        <f t="array" ref="J74">_xlfn.SWITCH(B74,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74" t="str" cm="1">
        <f t="array" ref="K74">_xlfn.SWITCH(C74,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74" t="str" cm="1">
        <f t="array" ref="L74">_xlfn.SWITCH(G74,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4" t="str" cm="1">
        <f t="array" ref="M74">_xlfn.SWITCH(H74,
"Emirati","إماراتي",
"Non-Emirati","غير إماراتي",
"")</f>
        <v/>
      </c>
    </row>
    <row r="75" spans="1:13" x14ac:dyDescent="0.25">
      <c r="A75" t="s">
        <v>26</v>
      </c>
      <c r="B75" t="s">
        <v>21</v>
      </c>
      <c r="C75" t="s">
        <v>25</v>
      </c>
      <c r="D75" t="s">
        <v>23</v>
      </c>
      <c r="E75" t="s">
        <v>23</v>
      </c>
      <c r="F75" t="s">
        <v>23</v>
      </c>
      <c r="I75" t="str" cm="1">
        <f t="array" ref="I75">_xlfn.SWITCH(A75,
"Male","ذكور",
"Female","إناث",
"Unreported","غير مُبلّغ",
"Co-Education","تعليم مختلط",
"Non Co-Education","تعليم غير مختلط",
"Undefined","غير محدد",
"")</f>
        <v>إناث</v>
      </c>
      <c r="J75" t="str" cm="1">
        <f t="array" ref="J75">_xlfn.SWITCH(B75,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75" t="str" cm="1">
        <f t="array" ref="K75">_xlfn.SWITCH(C75,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75" t="str" cm="1">
        <f t="array" ref="L75">_xlfn.SWITCH(G75,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5" t="str" cm="1">
        <f t="array" ref="M75">_xlfn.SWITCH(H75,
"Emirati","إماراتي",
"Non-Emirati","غير إماراتي",
"")</f>
        <v/>
      </c>
    </row>
    <row r="76" spans="1:13" x14ac:dyDescent="0.25">
      <c r="A76" t="s">
        <v>26</v>
      </c>
      <c r="B76" t="s">
        <v>24</v>
      </c>
      <c r="C76" t="s">
        <v>17</v>
      </c>
      <c r="D76" t="s">
        <v>15</v>
      </c>
      <c r="E76" t="s">
        <v>23</v>
      </c>
      <c r="F76" t="s">
        <v>23</v>
      </c>
      <c r="I76" t="str" cm="1">
        <f t="array" ref="I76">_xlfn.SWITCH(A76,
"Male","ذكور",
"Female","إناث",
"Unreported","غير مُبلّغ",
"Co-Education","تعليم مختلط",
"Non Co-Education","تعليم غير مختلط",
"Undefined","غير محدد",
"")</f>
        <v>إناث</v>
      </c>
      <c r="J76" t="str" cm="1">
        <f t="array" ref="J76">_xlfn.SWITCH(B76,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76" t="str" cm="1">
        <f t="array" ref="K76">_xlfn.SWITCH(C76,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76" t="str" cm="1">
        <f t="array" ref="L76">_xlfn.SWITCH(G76,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6" t="str" cm="1">
        <f t="array" ref="M76">_xlfn.SWITCH(H76,
"Emirati","إماراتي",
"Non-Emirati","غير إماراتي",
"")</f>
        <v/>
      </c>
    </row>
    <row r="77" spans="1:13" x14ac:dyDescent="0.25">
      <c r="A77" t="s">
        <v>6</v>
      </c>
      <c r="B77" t="s">
        <v>42</v>
      </c>
      <c r="C77" t="s">
        <v>25</v>
      </c>
      <c r="D77" t="s">
        <v>116</v>
      </c>
      <c r="E77" t="s">
        <v>117</v>
      </c>
      <c r="F77" t="s">
        <v>23</v>
      </c>
      <c r="I77" t="str" cm="1">
        <f t="array" ref="I77">_xlfn.SWITCH(A77,
"Male","ذكور",
"Female","إناث",
"Unreported","غير مُبلّغ",
"Co-Education","تعليم مختلط",
"Non Co-Education","تعليم غير مختلط",
"Undefined","غير محدد",
"")</f>
        <v>ذكور</v>
      </c>
      <c r="J77" t="str" cm="1">
        <f t="array" ref="J77">_xlfn.SWITCH(B77,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77" t="str" cm="1">
        <f t="array" ref="K77">_xlfn.SWITCH(C77,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77" t="str" cm="1">
        <f t="array" ref="L77">_xlfn.SWITCH(G77,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7" t="str" cm="1">
        <f t="array" ref="M77">_xlfn.SWITCH(H77,
"Emirati","إماراتي",
"Non-Emirati","غير إماراتي",
"")</f>
        <v/>
      </c>
    </row>
    <row r="78" spans="1:13" x14ac:dyDescent="0.25">
      <c r="A78" t="s">
        <v>6</v>
      </c>
      <c r="B78" t="s">
        <v>48</v>
      </c>
      <c r="C78" t="s">
        <v>17</v>
      </c>
      <c r="D78" t="s">
        <v>61</v>
      </c>
      <c r="E78" t="s">
        <v>61</v>
      </c>
      <c r="F78" t="s">
        <v>63</v>
      </c>
      <c r="I78" t="str" cm="1">
        <f t="array" ref="I78">_xlfn.SWITCH(A78,
"Male","ذكور",
"Female","إناث",
"Unreported","غير مُبلّغ",
"Co-Education","تعليم مختلط",
"Non Co-Education","تعليم غير مختلط",
"Undefined","غير محدد",
"")</f>
        <v>ذكور</v>
      </c>
      <c r="J78" t="str" cm="1">
        <f t="array" ref="J78">_xlfn.SWITCH(B78,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78" t="str" cm="1">
        <f t="array" ref="K78">_xlfn.SWITCH(C78,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78" t="str" cm="1">
        <f t="array" ref="L78">_xlfn.SWITCH(G78,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8" t="str" cm="1">
        <f t="array" ref="M78">_xlfn.SWITCH(H78,
"Emirati","إماراتي",
"Non-Emirati","غير إماراتي",
"")</f>
        <v/>
      </c>
    </row>
    <row r="79" spans="1:13" x14ac:dyDescent="0.25">
      <c r="A79" t="s">
        <v>6</v>
      </c>
      <c r="B79" t="s">
        <v>48</v>
      </c>
      <c r="C79" t="s">
        <v>25</v>
      </c>
      <c r="D79" t="s">
        <v>90</v>
      </c>
      <c r="E79" t="s">
        <v>77</v>
      </c>
      <c r="F79" t="s">
        <v>13</v>
      </c>
      <c r="I79" t="str" cm="1">
        <f t="array" ref="I79">_xlfn.SWITCH(A79,
"Male","ذكور",
"Female","إناث",
"Unreported","غير مُبلّغ",
"Co-Education","تعليم مختلط",
"Non Co-Education","تعليم غير مختلط",
"Undefined","غير محدد",
"")</f>
        <v>ذكور</v>
      </c>
      <c r="J79" t="str" cm="1">
        <f t="array" ref="J79">_xlfn.SWITCH(B79,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79" t="str" cm="1">
        <f t="array" ref="K79">_xlfn.SWITCH(C79,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79" t="str" cm="1">
        <f t="array" ref="L79">_xlfn.SWITCH(G79,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79" t="str" cm="1">
        <f t="array" ref="M79">_xlfn.SWITCH(H79,
"Emirati","إماراتي",
"Non-Emirati","غير إماراتي",
"")</f>
        <v/>
      </c>
    </row>
    <row r="80" spans="1:13" x14ac:dyDescent="0.25">
      <c r="A80" t="s">
        <v>26</v>
      </c>
      <c r="B80" t="s">
        <v>51</v>
      </c>
      <c r="C80" t="s">
        <v>17</v>
      </c>
      <c r="D80" t="s">
        <v>70</v>
      </c>
      <c r="E80" t="s">
        <v>118</v>
      </c>
      <c r="F80" t="s">
        <v>23</v>
      </c>
      <c r="I80" t="str" cm="1">
        <f t="array" ref="I80">_xlfn.SWITCH(A80,
"Male","ذكور",
"Female","إناث",
"Unreported","غير مُبلّغ",
"Co-Education","تعليم مختلط",
"Non Co-Education","تعليم غير مختلط",
"Undefined","غير محدد",
"")</f>
        <v>إناث</v>
      </c>
      <c r="J80" t="str" cm="1">
        <f t="array" ref="J80">_xlfn.SWITCH(B80,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80" t="str" cm="1">
        <f t="array" ref="K80">_xlfn.SWITCH(C80,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80" t="str" cm="1">
        <f t="array" ref="L80">_xlfn.SWITCH(G80,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0" t="str" cm="1">
        <f t="array" ref="M80">_xlfn.SWITCH(H80,
"Emirati","إماراتي",
"Non-Emirati","غير إماراتي",
"")</f>
        <v/>
      </c>
    </row>
    <row r="81" spans="1:13" x14ac:dyDescent="0.25">
      <c r="A81" t="s">
        <v>26</v>
      </c>
      <c r="B81" t="s">
        <v>42</v>
      </c>
      <c r="C81" t="s">
        <v>17</v>
      </c>
      <c r="D81" t="s">
        <v>119</v>
      </c>
      <c r="E81" t="s">
        <v>120</v>
      </c>
      <c r="F81" t="s">
        <v>23</v>
      </c>
      <c r="I81" t="str" cm="1">
        <f t="array" ref="I81">_xlfn.SWITCH(A81,
"Male","ذكور",
"Female","إناث",
"Unreported","غير مُبلّغ",
"Co-Education","تعليم مختلط",
"Non Co-Education","تعليم غير مختلط",
"Undefined","غير محدد",
"")</f>
        <v>إناث</v>
      </c>
      <c r="J81" t="str" cm="1">
        <f t="array" ref="J81">_xlfn.SWITCH(B81,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81" t="str" cm="1">
        <f t="array" ref="K81">_xlfn.SWITCH(C81,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81" t="str" cm="1">
        <f t="array" ref="L81">_xlfn.SWITCH(G81,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1" t="str" cm="1">
        <f t="array" ref="M81">_xlfn.SWITCH(H81,
"Emirati","إماراتي",
"Non-Emirati","غير إماراتي",
"")</f>
        <v/>
      </c>
    </row>
    <row r="82" spans="1:13" x14ac:dyDescent="0.25">
      <c r="A82" t="s">
        <v>26</v>
      </c>
      <c r="B82" t="s">
        <v>42</v>
      </c>
      <c r="C82" t="s">
        <v>25</v>
      </c>
      <c r="D82" t="s">
        <v>121</v>
      </c>
      <c r="E82" t="s">
        <v>122</v>
      </c>
      <c r="F82" t="s">
        <v>23</v>
      </c>
      <c r="I82" t="str" cm="1">
        <f t="array" ref="I82">_xlfn.SWITCH(A82,
"Male","ذكور",
"Female","إناث",
"Unreported","غير مُبلّغ",
"Co-Education","تعليم مختلط",
"Non Co-Education","تعليم غير مختلط",
"Undefined","غير محدد",
"")</f>
        <v>إناث</v>
      </c>
      <c r="J82" t="str" cm="1">
        <f t="array" ref="J82">_xlfn.SWITCH(B82,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82" t="str" cm="1">
        <f t="array" ref="K82">_xlfn.SWITCH(C82,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82" t="str" cm="1">
        <f t="array" ref="L82">_xlfn.SWITCH(G82,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2" t="str" cm="1">
        <f t="array" ref="M82">_xlfn.SWITCH(H82,
"Emirati","إماراتي",
"Non-Emirati","غير إماراتي",
"")</f>
        <v/>
      </c>
    </row>
    <row r="83" spans="1:13" x14ac:dyDescent="0.25">
      <c r="A83" t="s">
        <v>26</v>
      </c>
      <c r="B83" t="s">
        <v>34</v>
      </c>
      <c r="C83" t="s">
        <v>22</v>
      </c>
      <c r="D83" t="s">
        <v>23</v>
      </c>
      <c r="E83" t="s">
        <v>23</v>
      </c>
      <c r="F83" t="s">
        <v>23</v>
      </c>
      <c r="I83" t="str" cm="1">
        <f t="array" ref="I83">_xlfn.SWITCH(A83,
"Male","ذكور",
"Female","إناث",
"Unreported","غير مُبلّغ",
"Co-Education","تعليم مختلط",
"Non Co-Education","تعليم غير مختلط",
"Undefined","غير محدد",
"")</f>
        <v>إناث</v>
      </c>
      <c r="J83" t="str" cm="1">
        <f t="array" ref="J83">_xlfn.SWITCH(B83,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83" t="str" cm="1">
        <f t="array" ref="K83">_xlfn.SWITCH(C83,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83" t="str" cm="1">
        <f t="array" ref="L83">_xlfn.SWITCH(G83,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3" t="str" cm="1">
        <f t="array" ref="M83">_xlfn.SWITCH(H83,
"Emirati","إماراتي",
"Non-Emirati","غير إماراتي",
"")</f>
        <v/>
      </c>
    </row>
    <row r="84" spans="1:13" x14ac:dyDescent="0.25">
      <c r="A84" t="s">
        <v>6</v>
      </c>
      <c r="B84" t="s">
        <v>7</v>
      </c>
      <c r="C84" t="s">
        <v>17</v>
      </c>
      <c r="D84" t="s">
        <v>123</v>
      </c>
      <c r="E84" t="s">
        <v>124</v>
      </c>
      <c r="F84" t="s">
        <v>125</v>
      </c>
      <c r="I84" t="str" cm="1">
        <f t="array" ref="I84">_xlfn.SWITCH(A84,
"Male","ذكور",
"Female","إناث",
"Unreported","غير مُبلّغ",
"Co-Education","تعليم مختلط",
"Non Co-Education","تعليم غير مختلط",
"Undefined","غير محدد",
"")</f>
        <v>ذكور</v>
      </c>
      <c r="J84" t="str" cm="1">
        <f t="array" ref="J84">_xlfn.SWITCH(B84,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84" t="str" cm="1">
        <f t="array" ref="K84">_xlfn.SWITCH(C84,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84" t="str" cm="1">
        <f t="array" ref="L84">_xlfn.SWITCH(G84,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4" t="str" cm="1">
        <f t="array" ref="M84">_xlfn.SWITCH(H84,
"Emirati","إماراتي",
"Non-Emirati","غير إماراتي",
"")</f>
        <v/>
      </c>
    </row>
    <row r="85" spans="1:13" x14ac:dyDescent="0.25">
      <c r="A85" t="s">
        <v>6</v>
      </c>
      <c r="B85" t="s">
        <v>12</v>
      </c>
      <c r="C85" t="s">
        <v>17</v>
      </c>
      <c r="D85" t="s">
        <v>23</v>
      </c>
      <c r="E85" t="s">
        <v>23</v>
      </c>
      <c r="F85" t="s">
        <v>23</v>
      </c>
      <c r="I85" t="str" cm="1">
        <f t="array" ref="I85">_xlfn.SWITCH(A85,
"Male","ذكور",
"Female","إناث",
"Unreported","غير مُبلّغ",
"Co-Education","تعليم مختلط",
"Non Co-Education","تعليم غير مختلط",
"Undefined","غير محدد",
"")</f>
        <v>ذكور</v>
      </c>
      <c r="J85" t="str" cm="1">
        <f t="array" ref="J85">_xlfn.SWITCH(B85,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85" t="str" cm="1">
        <f t="array" ref="K85">_xlfn.SWITCH(C85,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85" t="str" cm="1">
        <f t="array" ref="L85">_xlfn.SWITCH(G85,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5" t="str" cm="1">
        <f t="array" ref="M85">_xlfn.SWITCH(H85,
"Emirati","إماراتي",
"Non-Emirati","غير إماراتي",
"")</f>
        <v/>
      </c>
    </row>
    <row r="86" spans="1:13" x14ac:dyDescent="0.25">
      <c r="A86" t="s">
        <v>6</v>
      </c>
      <c r="B86" t="s">
        <v>21</v>
      </c>
      <c r="C86" t="s">
        <v>17</v>
      </c>
      <c r="D86" t="s">
        <v>23</v>
      </c>
      <c r="E86" t="s">
        <v>23</v>
      </c>
      <c r="F86" t="s">
        <v>23</v>
      </c>
      <c r="I86" t="str" cm="1">
        <f t="array" ref="I86">_xlfn.SWITCH(A86,
"Male","ذكور",
"Female","إناث",
"Unreported","غير مُبلّغ",
"Co-Education","تعليم مختلط",
"Non Co-Education","تعليم غير مختلط",
"Undefined","غير محدد",
"")</f>
        <v>ذكور</v>
      </c>
      <c r="J86" t="str" cm="1">
        <f t="array" ref="J86">_xlfn.SWITCH(B86,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86" t="str" cm="1">
        <f t="array" ref="K86">_xlfn.SWITCH(C86,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86" t="str" cm="1">
        <f t="array" ref="L86">_xlfn.SWITCH(G86,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6" t="str" cm="1">
        <f t="array" ref="M86">_xlfn.SWITCH(H86,
"Emirati","إماراتي",
"Non-Emirati","غير إماراتي",
"")</f>
        <v/>
      </c>
    </row>
    <row r="87" spans="1:13" x14ac:dyDescent="0.25">
      <c r="A87" t="s">
        <v>6</v>
      </c>
      <c r="B87" t="s">
        <v>34</v>
      </c>
      <c r="C87" t="s">
        <v>8</v>
      </c>
      <c r="D87" t="s">
        <v>13</v>
      </c>
      <c r="E87" t="s">
        <v>23</v>
      </c>
      <c r="F87" t="s">
        <v>35</v>
      </c>
      <c r="I87" t="str" cm="1">
        <f t="array" ref="I87">_xlfn.SWITCH(A87,
"Male","ذكور",
"Female","إناث",
"Unreported","غير مُبلّغ",
"Co-Education","تعليم مختلط",
"Non Co-Education","تعليم غير مختلط",
"Undefined","غير محدد",
"")</f>
        <v>ذكور</v>
      </c>
      <c r="J87" t="str" cm="1">
        <f t="array" ref="J87">_xlfn.SWITCH(B87,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87" t="str" cm="1">
        <f t="array" ref="K87">_xlfn.SWITCH(C87,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87" t="str" cm="1">
        <f t="array" ref="L87">_xlfn.SWITCH(G87,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7" t="str" cm="1">
        <f t="array" ref="M87">_xlfn.SWITCH(H87,
"Emirati","إماراتي",
"Non-Emirati","غير إماراتي",
"")</f>
        <v/>
      </c>
    </row>
    <row r="88" spans="1:13" x14ac:dyDescent="0.25">
      <c r="A88" t="s">
        <v>6</v>
      </c>
      <c r="B88" t="s">
        <v>34</v>
      </c>
      <c r="C88" t="s">
        <v>22</v>
      </c>
      <c r="D88" t="s">
        <v>23</v>
      </c>
      <c r="E88" t="s">
        <v>23</v>
      </c>
      <c r="F88" t="s">
        <v>23</v>
      </c>
      <c r="I88" t="str" cm="1">
        <f t="array" ref="I88">_xlfn.SWITCH(A88,
"Male","ذكور",
"Female","إناث",
"Unreported","غير مُبلّغ",
"Co-Education","تعليم مختلط",
"Non Co-Education","تعليم غير مختلط",
"Undefined","غير محدد",
"")</f>
        <v>ذكور</v>
      </c>
      <c r="J88" t="str" cm="1">
        <f t="array" ref="J88">_xlfn.SWITCH(B88,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88" t="str" cm="1">
        <f t="array" ref="K88">_xlfn.SWITCH(C88,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88" t="str" cm="1">
        <f t="array" ref="L88">_xlfn.SWITCH(G88,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8" t="str" cm="1">
        <f t="array" ref="M88">_xlfn.SWITCH(H88,
"Emirati","إماراتي",
"Non-Emirati","غير إماراتي",
"")</f>
        <v/>
      </c>
    </row>
    <row r="89" spans="1:13" x14ac:dyDescent="0.25">
      <c r="A89" t="s">
        <v>26</v>
      </c>
      <c r="B89" t="s">
        <v>7</v>
      </c>
      <c r="C89" t="s">
        <v>36</v>
      </c>
      <c r="D89" t="s">
        <v>121</v>
      </c>
      <c r="E89" t="s">
        <v>126</v>
      </c>
      <c r="F89" t="s">
        <v>127</v>
      </c>
      <c r="I89" t="str" cm="1">
        <f t="array" ref="I89">_xlfn.SWITCH(A89,
"Male","ذكور",
"Female","إناث",
"Unreported","غير مُبلّغ",
"Co-Education","تعليم مختلط",
"Non Co-Education","تعليم غير مختلط",
"Undefined","غير محدد",
"")</f>
        <v>إناث</v>
      </c>
      <c r="J89" t="str" cm="1">
        <f t="array" ref="J89">_xlfn.SWITCH(B89,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89" t="str" cm="1">
        <f t="array" ref="K89">_xlfn.SWITCH(C89,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89" t="str" cm="1">
        <f t="array" ref="L89">_xlfn.SWITCH(G89,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89" t="str" cm="1">
        <f t="array" ref="M89">_xlfn.SWITCH(H89,
"Emirati","إماراتي",
"Non-Emirati","غير إماراتي",
"")</f>
        <v/>
      </c>
    </row>
    <row r="90" spans="1:13" x14ac:dyDescent="0.25">
      <c r="A90" t="s">
        <v>26</v>
      </c>
      <c r="B90" t="s">
        <v>48</v>
      </c>
      <c r="C90" t="s">
        <v>17</v>
      </c>
      <c r="D90" t="s">
        <v>78</v>
      </c>
      <c r="E90" t="s">
        <v>90</v>
      </c>
      <c r="F90" t="s">
        <v>67</v>
      </c>
      <c r="I90" t="str" cm="1">
        <f t="array" ref="I90">_xlfn.SWITCH(A90,
"Male","ذكور",
"Female","إناث",
"Unreported","غير مُبلّغ",
"Co-Education","تعليم مختلط",
"Non Co-Education","تعليم غير مختلط",
"Undefined","غير محدد",
"")</f>
        <v>إناث</v>
      </c>
      <c r="J90" t="str" cm="1">
        <f t="array" ref="J90">_xlfn.SWITCH(B90,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جسدية</v>
      </c>
      <c r="K90" t="str" cm="1">
        <f t="array" ref="K90">_xlfn.SWITCH(C90,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90" t="str" cm="1">
        <f t="array" ref="L90">_xlfn.SWITCH(G90,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0" t="str" cm="1">
        <f t="array" ref="M90">_xlfn.SWITCH(H90,
"Emirati","إماراتي",
"Non-Emirati","غير إماراتي",
"")</f>
        <v/>
      </c>
    </row>
    <row r="91" spans="1:13" x14ac:dyDescent="0.25">
      <c r="A91" t="s">
        <v>26</v>
      </c>
      <c r="B91" t="s">
        <v>12</v>
      </c>
      <c r="C91" t="s">
        <v>8</v>
      </c>
      <c r="D91" t="s">
        <v>64</v>
      </c>
      <c r="E91" t="s">
        <v>89</v>
      </c>
      <c r="F91" t="s">
        <v>15</v>
      </c>
      <c r="I91" t="str" cm="1">
        <f t="array" ref="I91">_xlfn.SWITCH(A91,
"Male","ذكور",
"Female","إناث",
"Unreported","غير مُبلّغ",
"Co-Education","تعليم مختلط",
"Non Co-Education","تعليم غير مختلط",
"Undefined","غير محدد",
"")</f>
        <v>إناث</v>
      </c>
      <c r="J91" t="str" cm="1">
        <f t="array" ref="J91">_xlfn.SWITCH(B91,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91" t="str" cm="1">
        <f t="array" ref="K91">_xlfn.SWITCH(C91,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91" t="str" cm="1">
        <f t="array" ref="L91">_xlfn.SWITCH(G91,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1" t="str" cm="1">
        <f t="array" ref="M91">_xlfn.SWITCH(H91,
"Emirati","إماراتي",
"Non-Emirati","غير إماراتي",
"")</f>
        <v/>
      </c>
    </row>
    <row r="92" spans="1:13" x14ac:dyDescent="0.25">
      <c r="A92" t="s">
        <v>26</v>
      </c>
      <c r="B92" t="s">
        <v>12</v>
      </c>
      <c r="C92" t="s">
        <v>22</v>
      </c>
      <c r="D92" t="s">
        <v>64</v>
      </c>
      <c r="E92" t="s">
        <v>35</v>
      </c>
      <c r="F92" t="s">
        <v>35</v>
      </c>
      <c r="I92" t="str" cm="1">
        <f t="array" ref="I92">_xlfn.SWITCH(A92,
"Male","ذكور",
"Female","إناث",
"Unreported","غير مُبلّغ",
"Co-Education","تعليم مختلط",
"Non Co-Education","تعليم غير مختلط",
"Undefined","غير محدد",
"")</f>
        <v>إناث</v>
      </c>
      <c r="J92" t="str" cm="1">
        <f t="array" ref="J92">_xlfn.SWITCH(B92,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92" t="str" cm="1">
        <f t="array" ref="K92">_xlfn.SWITCH(C92,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92" t="str" cm="1">
        <f t="array" ref="L92">_xlfn.SWITCH(G92,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2" t="str" cm="1">
        <f t="array" ref="M92">_xlfn.SWITCH(H92,
"Emirati","إماراتي",
"Non-Emirati","غير إماراتي",
"")</f>
        <v/>
      </c>
    </row>
    <row r="93" spans="1:13" x14ac:dyDescent="0.25">
      <c r="A93" t="s">
        <v>26</v>
      </c>
      <c r="B93" t="s">
        <v>42</v>
      </c>
      <c r="C93" t="s">
        <v>36</v>
      </c>
      <c r="D93" t="s">
        <v>128</v>
      </c>
      <c r="E93" t="s">
        <v>129</v>
      </c>
      <c r="F93" t="s">
        <v>23</v>
      </c>
      <c r="I93" t="str" cm="1">
        <f t="array" ref="I93">_xlfn.SWITCH(A93,
"Male","ذكور",
"Female","إناث",
"Unreported","غير مُبلّغ",
"Co-Education","تعليم مختلط",
"Non Co-Education","تعليم غير مختلط",
"Undefined","غير محدد",
"")</f>
        <v>إناث</v>
      </c>
      <c r="J93" t="str" cm="1">
        <f t="array" ref="J93">_xlfn.SWITCH(B93,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أخرى</v>
      </c>
      <c r="K93" t="str" cm="1">
        <f t="array" ref="K93">_xlfn.SWITCH(C93,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93" t="str" cm="1">
        <f t="array" ref="L93">_xlfn.SWITCH(G93,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3" t="str" cm="1">
        <f t="array" ref="M93">_xlfn.SWITCH(H93,
"Emirati","إماراتي",
"Non-Emirati","غير إماراتي",
"")</f>
        <v/>
      </c>
    </row>
    <row r="94" spans="1:13" x14ac:dyDescent="0.25">
      <c r="A94" t="s">
        <v>26</v>
      </c>
      <c r="B94" t="s">
        <v>7</v>
      </c>
      <c r="C94" t="s">
        <v>8</v>
      </c>
      <c r="D94" t="s">
        <v>58</v>
      </c>
      <c r="E94" t="s">
        <v>130</v>
      </c>
      <c r="F94" t="s">
        <v>131</v>
      </c>
      <c r="I94" t="str" cm="1">
        <f t="array" ref="I94">_xlfn.SWITCH(A94,
"Male","ذكور",
"Female","إناث",
"Unreported","غير مُبلّغ",
"Co-Education","تعليم مختلط",
"Non Co-Education","تعليم غير مختلط",
"Undefined","غير محدد",
"")</f>
        <v>إناث</v>
      </c>
      <c r="J94" t="str" cm="1">
        <f t="array" ref="J94">_xlfn.SWITCH(B94,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94" t="str" cm="1">
        <f t="array" ref="K94">_xlfn.SWITCH(C94,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94" t="str" cm="1">
        <f t="array" ref="L94">_xlfn.SWITCH(G94,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4" t="str" cm="1">
        <f t="array" ref="M94">_xlfn.SWITCH(H94,
"Emirati","إماراتي",
"Non-Emirati","غير إماراتي",
"")</f>
        <v/>
      </c>
    </row>
    <row r="95" spans="1:13" x14ac:dyDescent="0.25">
      <c r="A95" t="s">
        <v>26</v>
      </c>
      <c r="B95" t="s">
        <v>7</v>
      </c>
      <c r="C95" t="s">
        <v>22</v>
      </c>
      <c r="D95" t="s">
        <v>13</v>
      </c>
      <c r="E95" t="s">
        <v>78</v>
      </c>
      <c r="F95" t="s">
        <v>132</v>
      </c>
      <c r="I95" t="str" cm="1">
        <f t="array" ref="I95">_xlfn.SWITCH(A95,
"Male","ذكور",
"Female","إناث",
"Unreported","غير مُبلّغ",
"Co-Education","تعليم مختلط",
"Non Co-Education","تعليم غير مختلط",
"Undefined","غير محدد",
"")</f>
        <v>إناث</v>
      </c>
      <c r="J95" t="str" cm="1">
        <f t="array" ref="J95">_xlfn.SWITCH(B95,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التوحد</v>
      </c>
      <c r="K95" t="str" cm="1">
        <f t="array" ref="K95">_xlfn.SWITCH(C95,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95" t="str" cm="1">
        <f t="array" ref="L95">_xlfn.SWITCH(G95,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5" t="str" cm="1">
        <f t="array" ref="M95">_xlfn.SWITCH(H95,
"Emirati","إماراتي",
"Non-Emirati","غير إماراتي",
"")</f>
        <v/>
      </c>
    </row>
    <row r="96" spans="1:13" x14ac:dyDescent="0.25">
      <c r="A96" t="s">
        <v>26</v>
      </c>
      <c r="B96" t="s">
        <v>12</v>
      </c>
      <c r="C96" t="s">
        <v>36</v>
      </c>
      <c r="D96" t="s">
        <v>35</v>
      </c>
      <c r="E96" t="s">
        <v>15</v>
      </c>
      <c r="F96" t="s">
        <v>23</v>
      </c>
      <c r="I96" t="str" cm="1">
        <f t="array" ref="I96">_xlfn.SWITCH(A96,
"Male","ذكور",
"Female","إناث",
"Unreported","غير مُبلّغ",
"Co-Education","تعليم مختلط",
"Non Co-Education","تعليم غير مختلط",
"Undefined","غير محدد",
"")</f>
        <v>إناث</v>
      </c>
      <c r="J96" t="str" cm="1">
        <f t="array" ref="J96">_xlfn.SWITCH(B96,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بصرية</v>
      </c>
      <c r="K96" t="str" cm="1">
        <f t="array" ref="K96">_xlfn.SWITCH(C96,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96" t="str" cm="1">
        <f t="array" ref="L96">_xlfn.SWITCH(G96,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6" t="str" cm="1">
        <f t="array" ref="M96">_xlfn.SWITCH(H96,
"Emirati","إماراتي",
"Non-Emirati","غير إماراتي",
"")</f>
        <v/>
      </c>
    </row>
    <row r="97" spans="1:13" x14ac:dyDescent="0.25">
      <c r="A97" t="s">
        <v>26</v>
      </c>
      <c r="B97" t="s">
        <v>34</v>
      </c>
      <c r="C97" t="s">
        <v>25</v>
      </c>
      <c r="D97" t="s">
        <v>23</v>
      </c>
      <c r="E97" t="s">
        <v>23</v>
      </c>
      <c r="F97" t="s">
        <v>23</v>
      </c>
      <c r="I97" t="str" cm="1">
        <f t="array" ref="I97">_xlfn.SWITCH(A97,
"Male","ذكور",
"Female","إناث",
"Unreported","غير مُبلّغ",
"Co-Education","تعليم مختلط",
"Non Co-Education","تعليم غير مختلط",
"Undefined","غير محدد",
"")</f>
        <v>إناث</v>
      </c>
      <c r="J97" t="str" cm="1">
        <f t="array" ref="J97">_xlfn.SWITCH(B97,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97" t="str" cm="1">
        <f t="array" ref="K97">_xlfn.SWITCH(C97,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97" t="str" cm="1">
        <f t="array" ref="L97">_xlfn.SWITCH(G97,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7" t="str" cm="1">
        <f t="array" ref="M97">_xlfn.SWITCH(H97,
"Emirati","إماراتي",
"Non-Emirati","غير إماراتي",
"")</f>
        <v/>
      </c>
    </row>
    <row r="98" spans="1:13" x14ac:dyDescent="0.25">
      <c r="A98" t="s">
        <v>26</v>
      </c>
      <c r="B98" t="s">
        <v>51</v>
      </c>
      <c r="C98" t="s">
        <v>22</v>
      </c>
      <c r="D98" t="s">
        <v>90</v>
      </c>
      <c r="E98" t="s">
        <v>132</v>
      </c>
      <c r="F98" t="s">
        <v>23</v>
      </c>
      <c r="I98" t="str" cm="1">
        <f t="array" ref="I98">_xlfn.SWITCH(A98,
"Male","ذكور",
"Female","إناث",
"Unreported","غير مُبلّغ",
"Co-Education","تعليم مختلط",
"Non Co-Education","تعليم غير مختلط",
"Undefined","غير محدد",
"")</f>
        <v>إناث</v>
      </c>
      <c r="J98" t="str" cm="1">
        <f t="array" ref="J98">_xlfn.SWITCH(B98,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 - متلازمة داون</v>
      </c>
      <c r="K98" t="str" cm="1">
        <f t="array" ref="K98">_xlfn.SWITCH(C98,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98" t="str" cm="1">
        <f t="array" ref="L98">_xlfn.SWITCH(G98,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8" t="str" cm="1">
        <f t="array" ref="M98">_xlfn.SWITCH(H98,
"Emirati","إماراتي",
"Non-Emirati","غير إماراتي",
"")</f>
        <v/>
      </c>
    </row>
    <row r="99" spans="1:13" x14ac:dyDescent="0.25">
      <c r="A99" t="s">
        <v>26</v>
      </c>
      <c r="B99" t="s">
        <v>24</v>
      </c>
      <c r="C99" t="s">
        <v>22</v>
      </c>
      <c r="D99" t="s">
        <v>23</v>
      </c>
      <c r="E99" t="s">
        <v>23</v>
      </c>
      <c r="F99" t="s">
        <v>23</v>
      </c>
      <c r="I99" t="str" cm="1">
        <f t="array" ref="I99">_xlfn.SWITCH(A99,
"Male","ذكور",
"Female","إناث",
"Unreported","غير مُبلّغ",
"Co-Education","تعليم مختلط",
"Non Co-Education","تعليم غير مختلط",
"Undefined","غير محدد",
"")</f>
        <v>إناث</v>
      </c>
      <c r="J99" t="str" cm="1">
        <f t="array" ref="J99">_xlfn.SWITCH(B99,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نمو عصبي (اضطراب فرط الحركة وتشتت الانتباه)</v>
      </c>
      <c r="K99" t="str" cm="1">
        <f t="array" ref="K99">_xlfn.SWITCH(C99,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99" t="str" cm="1">
        <f t="array" ref="L99">_xlfn.SWITCH(G99,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99" t="str" cm="1">
        <f t="array" ref="M99">_xlfn.SWITCH(H99,
"Emirati","إماراتي",
"Non-Emirati","غير إماراتي",
"")</f>
        <v/>
      </c>
    </row>
    <row r="100" spans="1:13" x14ac:dyDescent="0.25">
      <c r="A100" t="s">
        <v>26</v>
      </c>
      <c r="B100" t="s">
        <v>95</v>
      </c>
      <c r="C100" t="s">
        <v>8</v>
      </c>
      <c r="D100" t="s">
        <v>23</v>
      </c>
      <c r="E100" t="s">
        <v>23</v>
      </c>
      <c r="F100" t="s">
        <v>23</v>
      </c>
      <c r="I100" t="str" cm="1">
        <f t="array" ref="I100">_xlfn.SWITCH(A100,
"Male","ذكور",
"Female","إناث",
"Unreported","غير مُبلّغ",
"Co-Education","تعليم مختلط",
"Non Co-Education","تعليم غير مختلط",
"Undefined","غير محدد",
"")</f>
        <v>إناث</v>
      </c>
      <c r="J100" t="str" cm="1">
        <f t="array" ref="J100">_xlfn.SWITCH(B100,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00" t="str" cm="1">
        <f t="array" ref="K100">_xlfn.SWITCH(C100,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100" t="str" cm="1">
        <f t="array" ref="L100">_xlfn.SWITCH(G100,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0" t="str" cm="1">
        <f t="array" ref="M100">_xlfn.SWITCH(H100,
"Emirati","إماراتي",
"Non-Emirati","غير إماراتي",
"")</f>
        <v/>
      </c>
    </row>
    <row r="101" spans="1:13" x14ac:dyDescent="0.25">
      <c r="A101" t="s">
        <v>6</v>
      </c>
      <c r="B101" t="s">
        <v>34</v>
      </c>
      <c r="C101" t="s">
        <v>17</v>
      </c>
      <c r="D101" t="s">
        <v>15</v>
      </c>
      <c r="E101" t="s">
        <v>23</v>
      </c>
      <c r="F101" t="s">
        <v>15</v>
      </c>
      <c r="I101" t="str" cm="1">
        <f t="array" ref="I101">_xlfn.SWITCH(A101,
"Male","ذكور",
"Female","إناث",
"Unreported","غير مُبلّغ",
"Co-Education","تعليم مختلط",
"Non Co-Education","تعليم غير مختلط",
"Undefined","غير محدد",
"")</f>
        <v>ذكور</v>
      </c>
      <c r="J101" t="str" cm="1">
        <f t="array" ref="J101">_xlfn.SWITCH(B101,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101" t="str" cm="1">
        <f t="array" ref="K101">_xlfn.SWITCH(C101,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01" t="str" cm="1">
        <f t="array" ref="L101">_xlfn.SWITCH(G101,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1" t="str" cm="1">
        <f t="array" ref="M101">_xlfn.SWITCH(H101,
"Emirati","إماراتي",
"Non-Emirati","غير إماراتي",
"")</f>
        <v/>
      </c>
    </row>
    <row r="102" spans="1:13" x14ac:dyDescent="0.25">
      <c r="A102" t="s">
        <v>26</v>
      </c>
      <c r="B102" t="s">
        <v>21</v>
      </c>
      <c r="C102" t="s">
        <v>36</v>
      </c>
      <c r="D102" t="s">
        <v>15</v>
      </c>
      <c r="E102" t="s">
        <v>74</v>
      </c>
      <c r="F102" t="s">
        <v>89</v>
      </c>
      <c r="I102" t="str" cm="1">
        <f t="array" ref="I102">_xlfn.SWITCH(A102,
"Male","ذكور",
"Female","إناث",
"Unreported","غير مُبلّغ",
"Co-Education","تعليم مختلط",
"Non Co-Education","تعليم غير مختلط",
"Undefined","غير محدد",
"")</f>
        <v>إناث</v>
      </c>
      <c r="J102" t="str" cm="1">
        <f t="array" ref="J102">_xlfn.SWITCH(B102,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تأخر نمائي</v>
      </c>
      <c r="K102" t="str" cm="1">
        <f t="array" ref="K102">_xlfn.SWITCH(C102,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02" t="str" cm="1">
        <f t="array" ref="L102">_xlfn.SWITCH(G102,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2" t="str" cm="1">
        <f t="array" ref="M102">_xlfn.SWITCH(H102,
"Emirati","إماراتي",
"Non-Emirati","غير إماراتي",
"")</f>
        <v/>
      </c>
    </row>
    <row r="103" spans="1:13" x14ac:dyDescent="0.25">
      <c r="A103" t="s">
        <v>26</v>
      </c>
      <c r="B103" t="s">
        <v>34</v>
      </c>
      <c r="C103" t="s">
        <v>36</v>
      </c>
      <c r="D103" t="s">
        <v>23</v>
      </c>
      <c r="E103" t="s">
        <v>23</v>
      </c>
      <c r="F103" t="s">
        <v>23</v>
      </c>
      <c r="I103" t="str" cm="1">
        <f t="array" ref="I103">_xlfn.SWITCH(A103,
"Male","ذكور",
"Female","إناث",
"Unreported","غير مُبلّغ",
"Co-Education","تعليم مختلط",
"Non Co-Education","تعليم غير مختلط",
"Undefined","غير محدد",
"")</f>
        <v>إناث</v>
      </c>
      <c r="J103" t="str" cm="1">
        <f t="array" ref="J103">_xlfn.SWITCH(B103,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اضطراب تواصل</v>
      </c>
      <c r="K103" t="str" cm="1">
        <f t="array" ref="K103">_xlfn.SWITCH(C103,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03" t="str" cm="1">
        <f t="array" ref="L103">_xlfn.SWITCH(G103,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3" t="str" cm="1">
        <f t="array" ref="M103">_xlfn.SWITCH(H103,
"Emirati","إماراتي",
"Non-Emirati","غير إماراتي",
"")</f>
        <v/>
      </c>
    </row>
    <row r="104" spans="1:13" x14ac:dyDescent="0.25">
      <c r="A104" t="s">
        <v>26</v>
      </c>
      <c r="B104" t="s">
        <v>95</v>
      </c>
      <c r="C104" t="s">
        <v>17</v>
      </c>
      <c r="D104" t="s">
        <v>23</v>
      </c>
      <c r="E104" t="s">
        <v>23</v>
      </c>
      <c r="F104" t="s">
        <v>23</v>
      </c>
      <c r="I104" t="str" cm="1">
        <f t="array" ref="I104">_xlfn.SWITCH(A104,
"Male","ذكور",
"Female","إناث",
"Unreported","غير مُبلّغ",
"Co-Education","تعليم مختلط",
"Non Co-Education","تعليم غير مختلط",
"Undefined","غير محدد",
"")</f>
        <v>إناث</v>
      </c>
      <c r="J104" t="str" cm="1">
        <f t="array" ref="J104">_xlfn.SWITCH(B104,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04" t="str" cm="1">
        <f t="array" ref="K104">_xlfn.SWITCH(C104,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04" t="str" cm="1">
        <f t="array" ref="L104">_xlfn.SWITCH(G104,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4" t="str" cm="1">
        <f t="array" ref="M104">_xlfn.SWITCH(H104,
"Emirati","إماراتي",
"Non-Emirati","غير إماراتي",
"")</f>
        <v/>
      </c>
    </row>
    <row r="105" spans="1:13" x14ac:dyDescent="0.25">
      <c r="A105" t="s">
        <v>26</v>
      </c>
      <c r="B105" t="s">
        <v>133</v>
      </c>
      <c r="C105" t="s">
        <v>36</v>
      </c>
      <c r="D105" t="s">
        <v>23</v>
      </c>
      <c r="E105" t="s">
        <v>23</v>
      </c>
      <c r="F105" t="s">
        <v>134</v>
      </c>
      <c r="I105" t="str" cm="1">
        <f t="array" ref="I105">_xlfn.SWITCH(A105,
"Male","ذكور",
"Female","إناث",
"Unreported","غير مُبلّغ",
"Co-Education","تعليم مختلط",
"Non Co-Education","تعليم غير مختلط",
"Undefined","غير محدد",
"")</f>
        <v>إناث</v>
      </c>
      <c r="J105" t="str" cm="1">
        <f t="array" ref="J105">_xlfn.SWITCH(B105,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05" t="str" cm="1">
        <f t="array" ref="K105">_xlfn.SWITCH(C105,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05" t="str" cm="1">
        <f t="array" ref="L105">_xlfn.SWITCH(G105,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5" t="str" cm="1">
        <f t="array" ref="M105">_xlfn.SWITCH(H105,
"Emirati","إماراتي",
"Non-Emirati","غير إماراتي",
"")</f>
        <v/>
      </c>
    </row>
    <row r="106" spans="1:13" x14ac:dyDescent="0.25">
      <c r="A106" t="s">
        <v>26</v>
      </c>
      <c r="B106" t="s">
        <v>95</v>
      </c>
      <c r="C106" t="s">
        <v>36</v>
      </c>
      <c r="D106" t="s">
        <v>23</v>
      </c>
      <c r="E106" t="s">
        <v>23</v>
      </c>
      <c r="F106" t="s">
        <v>23</v>
      </c>
      <c r="I106" t="str" cm="1">
        <f t="array" ref="I106">_xlfn.SWITCH(A106,
"Male","ذكور",
"Female","إناث",
"Unreported","غير مُبلّغ",
"Co-Education","تعليم مختلط",
"Non Co-Education","تعليم غير مختلط",
"Undefined","غير محدد",
"")</f>
        <v>إناث</v>
      </c>
      <c r="J106" t="str" cm="1">
        <f t="array" ref="J106">_xlfn.SWITCH(B106,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06" t="str" cm="1">
        <f t="array" ref="K106">_xlfn.SWITCH(C106,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06" t="str" cm="1">
        <f t="array" ref="L106">_xlfn.SWITCH(G106,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6" t="str" cm="1">
        <f t="array" ref="M106">_xlfn.SWITCH(H106,
"Emirati","إماراتي",
"Non-Emirati","غير إماراتي",
"")</f>
        <v/>
      </c>
    </row>
    <row r="107" spans="1:13" x14ac:dyDescent="0.25">
      <c r="A107" t="s">
        <v>6</v>
      </c>
      <c r="B107" t="s">
        <v>133</v>
      </c>
      <c r="C107" t="s">
        <v>8</v>
      </c>
      <c r="D107" t="s">
        <v>23</v>
      </c>
      <c r="E107" t="s">
        <v>23</v>
      </c>
      <c r="F107" t="s">
        <v>135</v>
      </c>
      <c r="I107" t="str" cm="1">
        <f t="array" ref="I107">_xlfn.SWITCH(A107,
"Male","ذكور",
"Female","إناث",
"Unreported","غير مُبلّغ",
"Co-Education","تعليم مختلط",
"Non Co-Education","تعليم غير مختلط",
"Undefined","غير محدد",
"")</f>
        <v>ذكور</v>
      </c>
      <c r="J107" t="str" cm="1">
        <f t="array" ref="J107">_xlfn.SWITCH(B107,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07" t="str" cm="1">
        <f t="array" ref="K107">_xlfn.SWITCH(C107,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107" t="str" cm="1">
        <f t="array" ref="L107">_xlfn.SWITCH(G107,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7" t="str" cm="1">
        <f t="array" ref="M107">_xlfn.SWITCH(H107,
"Emirati","إماراتي",
"Non-Emirati","غير إماراتي",
"")</f>
        <v/>
      </c>
    </row>
    <row r="108" spans="1:13" x14ac:dyDescent="0.25">
      <c r="A108" t="s">
        <v>6</v>
      </c>
      <c r="B108" t="s">
        <v>95</v>
      </c>
      <c r="C108" t="s">
        <v>22</v>
      </c>
      <c r="D108" t="s">
        <v>23</v>
      </c>
      <c r="E108" t="s">
        <v>23</v>
      </c>
      <c r="F108" t="s">
        <v>15</v>
      </c>
      <c r="I108" t="str" cm="1">
        <f t="array" ref="I108">_xlfn.SWITCH(A108,
"Male","ذكور",
"Female","إناث",
"Unreported","غير مُبلّغ",
"Co-Education","تعليم مختلط",
"Non Co-Education","تعليم غير مختلط",
"Undefined","غير محدد",
"")</f>
        <v>ذكور</v>
      </c>
      <c r="J108" t="str" cm="1">
        <f t="array" ref="J108">_xlfn.SWITCH(B108,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08" t="str" cm="1">
        <f t="array" ref="K108">_xlfn.SWITCH(C108,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108" t="str" cm="1">
        <f t="array" ref="L108">_xlfn.SWITCH(G108,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8" t="str" cm="1">
        <f t="array" ref="M108">_xlfn.SWITCH(H108,
"Emirati","إماراتي",
"Non-Emirati","غير إماراتي",
"")</f>
        <v/>
      </c>
    </row>
    <row r="109" spans="1:13" x14ac:dyDescent="0.25">
      <c r="A109" t="s">
        <v>6</v>
      </c>
      <c r="B109" t="s">
        <v>95</v>
      </c>
      <c r="C109" t="s">
        <v>25</v>
      </c>
      <c r="D109" t="s">
        <v>23</v>
      </c>
      <c r="E109" t="s">
        <v>23</v>
      </c>
      <c r="F109" t="s">
        <v>23</v>
      </c>
      <c r="I109" t="str" cm="1">
        <f t="array" ref="I109">_xlfn.SWITCH(A109,
"Male","ذكور",
"Female","إناث",
"Unreported","غير مُبلّغ",
"Co-Education","تعليم مختلط",
"Non Co-Education","تعليم غير مختلط",
"Undefined","غير محدد",
"")</f>
        <v>ذكور</v>
      </c>
      <c r="J109" t="str" cm="1">
        <f t="array" ref="J109">_xlfn.SWITCH(B109,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09" t="str" cm="1">
        <f t="array" ref="K109">_xlfn.SWITCH(C109,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09" t="str" cm="1">
        <f t="array" ref="L109">_xlfn.SWITCH(G109,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09" t="str" cm="1">
        <f t="array" ref="M109">_xlfn.SWITCH(H109,
"Emirati","إماراتي",
"Non-Emirati","غير إماراتي",
"")</f>
        <v/>
      </c>
    </row>
    <row r="110" spans="1:13" x14ac:dyDescent="0.25">
      <c r="A110" t="s">
        <v>26</v>
      </c>
      <c r="B110" t="s">
        <v>133</v>
      </c>
      <c r="C110" t="s">
        <v>8</v>
      </c>
      <c r="D110" t="s">
        <v>23</v>
      </c>
      <c r="E110" t="s">
        <v>23</v>
      </c>
      <c r="F110" t="s">
        <v>20</v>
      </c>
      <c r="I110" t="str" cm="1">
        <f t="array" ref="I110">_xlfn.SWITCH(A110,
"Male","ذكور",
"Female","إناث",
"Unreported","غير مُبلّغ",
"Co-Education","تعليم مختلط",
"Non Co-Education","تعليم غير مختلط",
"Undefined","غير محدد",
"")</f>
        <v>إناث</v>
      </c>
      <c r="J110" t="str" cm="1">
        <f t="array" ref="J110">_xlfn.SWITCH(B110,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0" t="str" cm="1">
        <f t="array" ref="K110">_xlfn.SWITCH(C110,
"0 To 5 Years","من 0 إلى 5 سنوات",
"6 To 10 Years","من 6 إلى 10 سنوات",
"11 To 15 Years","من 11 إلى 15 سنة",
"16 To 20 Years","من 16 إلى 20 سنة",
"21 Years And Above","21 سنة وما فوق",
"")</f>
        <v>من 0 إلى 5 سنوات</v>
      </c>
      <c r="L110" t="str" cm="1">
        <f t="array" ref="L110">_xlfn.SWITCH(G110,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0" t="str" cm="1">
        <f t="array" ref="M110">_xlfn.SWITCH(H110,
"Emirati","إماراتي",
"Non-Emirati","غير إماراتي",
"")</f>
        <v/>
      </c>
    </row>
    <row r="111" spans="1:13" x14ac:dyDescent="0.25">
      <c r="A111" t="s">
        <v>26</v>
      </c>
      <c r="B111" t="s">
        <v>95</v>
      </c>
      <c r="C111" t="s">
        <v>25</v>
      </c>
      <c r="D111" t="s">
        <v>23</v>
      </c>
      <c r="E111" t="s">
        <v>23</v>
      </c>
      <c r="F111" t="s">
        <v>23</v>
      </c>
      <c r="I111" t="str" cm="1">
        <f t="array" ref="I111">_xlfn.SWITCH(A111,
"Male","ذكور",
"Female","إناث",
"Unreported","غير مُبلّغ",
"Co-Education","تعليم مختلط",
"Non Co-Education","تعليم غير مختلط",
"Undefined","غير محدد",
"")</f>
        <v>إناث</v>
      </c>
      <c r="J111" t="str" cm="1">
        <f t="array" ref="J111">_xlfn.SWITCH(B111,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11" t="str" cm="1">
        <f t="array" ref="K111">_xlfn.SWITCH(C111,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11" t="str" cm="1">
        <f t="array" ref="L111">_xlfn.SWITCH(G111,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1" t="str" cm="1">
        <f t="array" ref="M111">_xlfn.SWITCH(H111,
"Emirati","إماراتي",
"Non-Emirati","غير إماراتي",
"")</f>
        <v/>
      </c>
    </row>
    <row r="112" spans="1:13" x14ac:dyDescent="0.25">
      <c r="A112" t="s">
        <v>26</v>
      </c>
      <c r="B112" t="s">
        <v>95</v>
      </c>
      <c r="C112" t="s">
        <v>22</v>
      </c>
      <c r="D112" t="s">
        <v>23</v>
      </c>
      <c r="E112" t="s">
        <v>23</v>
      </c>
      <c r="F112" t="s">
        <v>23</v>
      </c>
      <c r="I112" t="str" cm="1">
        <f t="array" ref="I112">_xlfn.SWITCH(A112,
"Male","ذكور",
"Female","إناث",
"Unreported","غير مُبلّغ",
"Co-Education","تعليم مختلط",
"Non Co-Education","تعليم غير مختلط",
"Undefined","غير محدد",
"")</f>
        <v>إناث</v>
      </c>
      <c r="J112" t="str" cm="1">
        <f t="array" ref="J112">_xlfn.SWITCH(B112,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12" t="str" cm="1">
        <f t="array" ref="K112">_xlfn.SWITCH(C112,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112" t="str" cm="1">
        <f t="array" ref="L112">_xlfn.SWITCH(G112,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2" t="str" cm="1">
        <f t="array" ref="M112">_xlfn.SWITCH(H112,
"Emirati","إماراتي",
"Non-Emirati","غير إماراتي",
"")</f>
        <v/>
      </c>
    </row>
    <row r="113" spans="1:13" x14ac:dyDescent="0.25">
      <c r="A113" t="s">
        <v>26</v>
      </c>
      <c r="B113" t="s">
        <v>133</v>
      </c>
      <c r="C113" t="s">
        <v>25</v>
      </c>
      <c r="D113" t="s">
        <v>23</v>
      </c>
      <c r="E113" t="s">
        <v>23</v>
      </c>
      <c r="F113" t="s">
        <v>136</v>
      </c>
      <c r="I113" t="str" cm="1">
        <f t="array" ref="I113">_xlfn.SWITCH(A113,
"Male","ذكور",
"Female","إناث",
"Unreported","غير مُبلّغ",
"Co-Education","تعليم مختلط",
"Non Co-Education","تعليم غير مختلط",
"Undefined","غير محدد",
"")</f>
        <v>إناث</v>
      </c>
      <c r="J113" t="str" cm="1">
        <f t="array" ref="J113">_xlfn.SWITCH(B113,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3" t="str" cm="1">
        <f t="array" ref="K113">_xlfn.SWITCH(C113,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13" t="str" cm="1">
        <f t="array" ref="L113">_xlfn.SWITCH(G113,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3" t="str" cm="1">
        <f t="array" ref="M113">_xlfn.SWITCH(H113,
"Emirati","إماراتي",
"Non-Emirati","غير إماراتي",
"")</f>
        <v/>
      </c>
    </row>
    <row r="114" spans="1:13" x14ac:dyDescent="0.25">
      <c r="A114" t="s">
        <v>6</v>
      </c>
      <c r="B114" t="s">
        <v>95</v>
      </c>
      <c r="C114" t="s">
        <v>17</v>
      </c>
      <c r="D114" t="s">
        <v>23</v>
      </c>
      <c r="E114" t="s">
        <v>23</v>
      </c>
      <c r="F114" t="s">
        <v>23</v>
      </c>
      <c r="I114" t="str" cm="1">
        <f t="array" ref="I114">_xlfn.SWITCH(A114,
"Male","ذكور",
"Female","إناث",
"Unreported","غير مُبلّغ",
"Co-Education","تعليم مختلط",
"Non Co-Education","تعليم غير مختلط",
"Undefined","غير محدد",
"")</f>
        <v>ذكور</v>
      </c>
      <c r="J114" t="str" cm="1">
        <f t="array" ref="J114">_xlfn.SWITCH(B114,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14" t="str" cm="1">
        <f t="array" ref="K114">_xlfn.SWITCH(C114,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14" t="str" cm="1">
        <f t="array" ref="L114">_xlfn.SWITCH(G114,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4" t="str" cm="1">
        <f t="array" ref="M114">_xlfn.SWITCH(H114,
"Emirati","إماراتي",
"Non-Emirati","غير إماراتي",
"")</f>
        <v/>
      </c>
    </row>
    <row r="115" spans="1:13" x14ac:dyDescent="0.25">
      <c r="A115" t="s">
        <v>6</v>
      </c>
      <c r="B115" t="s">
        <v>133</v>
      </c>
      <c r="C115" t="s">
        <v>25</v>
      </c>
      <c r="D115" t="s">
        <v>23</v>
      </c>
      <c r="E115" t="s">
        <v>23</v>
      </c>
      <c r="F115" t="s">
        <v>137</v>
      </c>
      <c r="I115" t="str" cm="1">
        <f t="array" ref="I115">_xlfn.SWITCH(A115,
"Male","ذكور",
"Female","إناث",
"Unreported","غير مُبلّغ",
"Co-Education","تعليم مختلط",
"Non Co-Education","تعليم غير مختلط",
"Undefined","غير محدد",
"")</f>
        <v>ذكور</v>
      </c>
      <c r="J115" t="str" cm="1">
        <f t="array" ref="J115">_xlfn.SWITCH(B115,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5" t="str" cm="1">
        <f t="array" ref="K115">_xlfn.SWITCH(C115,
"0 To 5 Years","من 0 إلى 5 سنوات",
"6 To 10 Years","من 6 إلى 10 سنوات",
"11 To 15 Years","من 11 إلى 15 سنة",
"16 To 20 Years","من 16 إلى 20 سنة",
"21 Years And Above","21 سنة وما فوق",
"")</f>
        <v>من 16 إلى 20 سنة</v>
      </c>
      <c r="L115" t="str" cm="1">
        <f t="array" ref="L115">_xlfn.SWITCH(G115,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5" t="str" cm="1">
        <f t="array" ref="M115">_xlfn.SWITCH(H115,
"Emirati","إماراتي",
"Non-Emirati","غير إماراتي",
"")</f>
        <v/>
      </c>
    </row>
    <row r="116" spans="1:13" x14ac:dyDescent="0.25">
      <c r="A116" t="s">
        <v>26</v>
      </c>
      <c r="B116" t="s">
        <v>133</v>
      </c>
      <c r="C116" t="s">
        <v>17</v>
      </c>
      <c r="D116" t="s">
        <v>23</v>
      </c>
      <c r="E116" t="s">
        <v>23</v>
      </c>
      <c r="F116" t="s">
        <v>138</v>
      </c>
      <c r="I116" t="str" cm="1">
        <f t="array" ref="I116">_xlfn.SWITCH(A116,
"Male","ذكور",
"Female","إناث",
"Unreported","غير مُبلّغ",
"Co-Education","تعليم مختلط",
"Non Co-Education","تعليم غير مختلط",
"Undefined","غير محدد",
"")</f>
        <v>إناث</v>
      </c>
      <c r="J116" t="str" cm="1">
        <f t="array" ref="J116">_xlfn.SWITCH(B116,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6" t="str" cm="1">
        <f t="array" ref="K116">_xlfn.SWITCH(C116,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16" t="str" cm="1">
        <f t="array" ref="L116">_xlfn.SWITCH(G116,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6" t="str" cm="1">
        <f t="array" ref="M116">_xlfn.SWITCH(H116,
"Emirati","إماراتي",
"Non-Emirati","غير إماراتي",
"")</f>
        <v/>
      </c>
    </row>
    <row r="117" spans="1:13" x14ac:dyDescent="0.25">
      <c r="A117" t="s">
        <v>6</v>
      </c>
      <c r="B117" t="s">
        <v>133</v>
      </c>
      <c r="C117" t="s">
        <v>36</v>
      </c>
      <c r="D117" t="s">
        <v>23</v>
      </c>
      <c r="E117" t="s">
        <v>23</v>
      </c>
      <c r="F117" t="s">
        <v>139</v>
      </c>
      <c r="I117" t="str" cm="1">
        <f t="array" ref="I117">_xlfn.SWITCH(A117,
"Male","ذكور",
"Female","إناث",
"Unreported","غير مُبلّغ",
"Co-Education","تعليم مختلط",
"Non Co-Education","تعليم غير مختلط",
"Undefined","غير محدد",
"")</f>
        <v>ذكور</v>
      </c>
      <c r="J117" t="str" cm="1">
        <f t="array" ref="J117">_xlfn.SWITCH(B117,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7" t="str" cm="1">
        <f t="array" ref="K117">_xlfn.SWITCH(C117,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17" t="str" cm="1">
        <f t="array" ref="L117">_xlfn.SWITCH(G117,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7" t="str" cm="1">
        <f t="array" ref="M117">_xlfn.SWITCH(H117,
"Emirati","إماراتي",
"Non-Emirati","غير إماراتي",
"")</f>
        <v/>
      </c>
    </row>
    <row r="118" spans="1:13" x14ac:dyDescent="0.25">
      <c r="A118" t="s">
        <v>6</v>
      </c>
      <c r="B118" t="s">
        <v>133</v>
      </c>
      <c r="C118" t="s">
        <v>22</v>
      </c>
      <c r="D118" t="s">
        <v>23</v>
      </c>
      <c r="E118" t="s">
        <v>23</v>
      </c>
      <c r="F118" t="s">
        <v>140</v>
      </c>
      <c r="I118" t="str" cm="1">
        <f t="array" ref="I118">_xlfn.SWITCH(A118,
"Male","ذكور",
"Female","إناث",
"Unreported","غير مُبلّغ",
"Co-Education","تعليم مختلط",
"Non Co-Education","تعليم غير مختلط",
"Undefined","غير محدد",
"")</f>
        <v>ذكور</v>
      </c>
      <c r="J118" t="str" cm="1">
        <f t="array" ref="J118">_xlfn.SWITCH(B118,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8" t="str" cm="1">
        <f t="array" ref="K118">_xlfn.SWITCH(C118,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118" t="str" cm="1">
        <f t="array" ref="L118">_xlfn.SWITCH(G118,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8" t="str" cm="1">
        <f t="array" ref="M118">_xlfn.SWITCH(H118,
"Emirati","إماراتي",
"Non-Emirati","غير إماراتي",
"")</f>
        <v/>
      </c>
    </row>
    <row r="119" spans="1:13" x14ac:dyDescent="0.25">
      <c r="A119" t="s">
        <v>6</v>
      </c>
      <c r="B119" t="s">
        <v>133</v>
      </c>
      <c r="C119" t="s">
        <v>17</v>
      </c>
      <c r="D119" t="s">
        <v>23</v>
      </c>
      <c r="E119" t="s">
        <v>23</v>
      </c>
      <c r="F119" t="s">
        <v>141</v>
      </c>
      <c r="I119" t="str" cm="1">
        <f t="array" ref="I119">_xlfn.SWITCH(A119,
"Male","ذكور",
"Female","إناث",
"Unreported","غير مُبلّغ",
"Co-Education","تعليم مختلط",
"Non Co-Education","تعليم غير مختلط",
"Undefined","غير محدد",
"")</f>
        <v>ذكور</v>
      </c>
      <c r="J119" t="str" cm="1">
        <f t="array" ref="J119">_xlfn.SWITCH(B119,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19" t="str" cm="1">
        <f t="array" ref="K119">_xlfn.SWITCH(C119,
"0 To 5 Years","من 0 إلى 5 سنوات",
"6 To 10 Years","من 6 إلى 10 سنوات",
"11 To 15 Years","من 11 إلى 15 سنة",
"16 To 20 Years","من 16 إلى 20 سنة",
"21 Years And Above","21 سنة وما فوق",
"")</f>
        <v>من 11 إلى 15 سنة</v>
      </c>
      <c r="L119" t="str" cm="1">
        <f t="array" ref="L119">_xlfn.SWITCH(G119,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19" t="str" cm="1">
        <f t="array" ref="M119">_xlfn.SWITCH(H119,
"Emirati","إماراتي",
"Non-Emirati","غير إماراتي",
"")</f>
        <v/>
      </c>
    </row>
    <row r="120" spans="1:13" x14ac:dyDescent="0.25">
      <c r="A120" t="s">
        <v>6</v>
      </c>
      <c r="B120" t="s">
        <v>95</v>
      </c>
      <c r="C120" t="s">
        <v>36</v>
      </c>
      <c r="D120" t="s">
        <v>23</v>
      </c>
      <c r="E120" t="s">
        <v>23</v>
      </c>
      <c r="F120" t="s">
        <v>23</v>
      </c>
      <c r="I120" t="str" cm="1">
        <f t="array" ref="I120">_xlfn.SWITCH(A120,
"Male","ذكور",
"Female","إناث",
"Unreported","غير مُبلّغ",
"Co-Education","تعليم مختلط",
"Non Co-Education","تعليم غير مختلط",
"Undefined","غير محدد",
"")</f>
        <v>ذكور</v>
      </c>
      <c r="J120" t="str" cm="1">
        <f t="array" ref="J120">_xlfn.SWITCH(B120,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صعوبات تعلم</v>
      </c>
      <c r="K120" t="str" cm="1">
        <f t="array" ref="K120">_xlfn.SWITCH(C120,
"0 To 5 Years","من 0 إلى 5 سنوات",
"6 To 10 Years","من 6 إلى 10 سنوات",
"11 To 15 Years","من 11 إلى 15 سنة",
"16 To 20 Years","من 16 إلى 20 سنة",
"21 Years And Above","21 سنة وما فوق",
"")</f>
        <v>من 6 إلى 10 سنوات</v>
      </c>
      <c r="L120" t="str" cm="1">
        <f t="array" ref="L120">_xlfn.SWITCH(G120,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20" t="str" cm="1">
        <f t="array" ref="M120">_xlfn.SWITCH(H120,
"Emirati","إماراتي",
"Non-Emirati","غير إماراتي",
"")</f>
        <v/>
      </c>
    </row>
    <row r="121" spans="1:13" x14ac:dyDescent="0.25">
      <c r="A121" t="s">
        <v>26</v>
      </c>
      <c r="B121" t="s">
        <v>133</v>
      </c>
      <c r="C121" t="s">
        <v>22</v>
      </c>
      <c r="D121" t="s">
        <v>23</v>
      </c>
      <c r="E121" t="s">
        <v>23</v>
      </c>
      <c r="F121" t="s">
        <v>142</v>
      </c>
      <c r="I121" t="str" cm="1">
        <f t="array" ref="I121">_xlfn.SWITCH(A121,
"Male","ذكور",
"Female","إناث",
"Unreported","غير مُبلّغ",
"Co-Education","تعليم مختلط",
"Non Co-Education","تعليم غير مختلط",
"Undefined","غير محدد",
"")</f>
        <v>إناث</v>
      </c>
      <c r="J121" t="str" cm="1">
        <f t="array" ref="J121">_xlfn.SWITCH(B121,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>إعاقة ذهنية</v>
      </c>
      <c r="K121" t="str" cm="1">
        <f t="array" ref="K121">_xlfn.SWITCH(C121,
"0 To 5 Years","من 0 إلى 5 سنوات",
"6 To 10 Years","من 6 إلى 10 سنوات",
"11 To 15 Years","من 11 إلى 15 سنة",
"16 To 20 Years","من 16 إلى 20 سنة",
"21 Years And Above","21 سنة وما فوق",
"")</f>
        <v>21 سنة وما فوق</v>
      </c>
      <c r="L121" t="str" cm="1">
        <f t="array" ref="L121">_xlfn.SWITCH(G121,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M121" t="str" cm="1">
        <f t="array" ref="M121">_xlfn.SWITCH(H121,
"Emirati","إماراتي",
"Non-Emirati","غير إماراتي",
"")</f>
        <v/>
      </c>
    </row>
    <row r="122" spans="1:13" x14ac:dyDescent="0.25">
      <c r="A122" t="s">
        <v>6</v>
      </c>
      <c r="D122">
        <v>1644</v>
      </c>
      <c r="E122">
        <v>1740</v>
      </c>
      <c r="F122">
        <v>1902</v>
      </c>
      <c r="G122" t="s">
        <v>144</v>
      </c>
      <c r="I122" t="str" cm="1">
        <f t="array" ref="I122">_xlfn.SWITCH(A122,
"Male","ذكور",
"Female","إناث",
"Unreported","غير مُبلّغ",
"Co-Education","تعليم مختلط",
"Non Co-Education","تعليم غير مختلط",
"Undefined","غير محدد",
"")</f>
        <v>ذكور</v>
      </c>
      <c r="J122" t="str" cm="1">
        <f t="array" ref="J122">_xlfn.SWITCH(B122,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2" t="str" cm="1">
        <f t="array" ref="K122">_xlfn.SWITCH(C122,
"0 To 5 Years","من 0 إلى 5 سنوات",
"6 To 10 Years","من 6 إلى 10 سنوات",
"11 To 15 Years","من 11 إلى 15 سنة",
"16 To 20 Years","من 16 إلى 20 سنة",
"21 Years And Above","21 سنة وما فوق",
"")</f>
        <v/>
      </c>
      <c r="L122" t="str" cm="1">
        <f t="array" ref="L122">_xlfn.SWITCH(G122,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2" t="str" cm="1">
        <f t="array" ref="M122">_xlfn.SWITCH(H122,
"Emirati","إماراتي",
"Non-Emirati","غير إماراتي",
"")</f>
        <v/>
      </c>
    </row>
    <row r="123" spans="1:13" x14ac:dyDescent="0.25">
      <c r="A123" t="s">
        <v>26</v>
      </c>
      <c r="D123">
        <v>344</v>
      </c>
      <c r="E123">
        <v>411</v>
      </c>
      <c r="F123">
        <v>405</v>
      </c>
      <c r="G123" t="s">
        <v>145</v>
      </c>
      <c r="I123" t="str" cm="1">
        <f t="array" ref="I123">_xlfn.SWITCH(A123,
"Male","ذكور",
"Female","إناث",
"Unreported","غير مُبلّغ",
"Co-Education","تعليم مختلط",
"Non Co-Education","تعليم غير مختلط",
"Undefined","غير محدد",
"")</f>
        <v>إناث</v>
      </c>
      <c r="J123" t="str" cm="1">
        <f t="array" ref="J123">_xlfn.SWITCH(B123,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3" t="str" cm="1">
        <f t="array" ref="K123">_xlfn.SWITCH(C123,
"0 To 5 Years","من 0 إلى 5 سنوات",
"6 To 10 Years","من 6 إلى 10 سنوات",
"11 To 15 Years","من 11 إلى 15 سنة",
"16 To 20 Years","من 16 إلى 20 سنة",
"21 Years And Above","21 سنة وما فوق",
"")</f>
        <v/>
      </c>
      <c r="L123" t="str" cm="1">
        <f t="array" ref="L123">_xlfn.SWITCH(G123,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" t="str" cm="1">
        <f t="array" ref="M123">_xlfn.SWITCH(H123,
"Emirati","إماراتي",
"Non-Emirati","غير إماراتي",
"")</f>
        <v/>
      </c>
    </row>
    <row r="124" spans="1:13" x14ac:dyDescent="0.25">
      <c r="A124" t="s">
        <v>26</v>
      </c>
      <c r="D124">
        <v>62</v>
      </c>
      <c r="E124">
        <v>48</v>
      </c>
      <c r="F124">
        <v>63</v>
      </c>
      <c r="G124" t="s">
        <v>146</v>
      </c>
      <c r="I124" t="str" cm="1">
        <f t="array" ref="I124">_xlfn.SWITCH(A124,
"Male","ذكور",
"Female","إناث",
"Unreported","غير مُبلّغ",
"Co-Education","تعليم مختلط",
"Non Co-Education","تعليم غير مختلط",
"Undefined","غير محدد",
"")</f>
        <v>إناث</v>
      </c>
      <c r="J124" t="str" cm="1">
        <f t="array" ref="J124">_xlfn.SWITCH(B124,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4" t="str" cm="1">
        <f t="array" ref="K124">_xlfn.SWITCH(C124,
"0 To 5 Years","من 0 إلى 5 سنوات",
"6 To 10 Years","من 6 إلى 10 سنوات",
"11 To 15 Years","من 11 إلى 15 سنة",
"16 To 20 Years","من 16 إلى 20 سنة",
"21 Years And Above","21 سنة وما فوق",
"")</f>
        <v/>
      </c>
      <c r="L124" t="str" cm="1">
        <f t="array" ref="L124">_xlfn.SWITCH(G124,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24" t="str" cm="1">
        <f t="array" ref="M124">_xlfn.SWITCH(H124,
"Emirati","إماراتي",
"Non-Emirati","غير إماراتي",
"")</f>
        <v/>
      </c>
    </row>
    <row r="125" spans="1:13" x14ac:dyDescent="0.25">
      <c r="A125" t="s">
        <v>6</v>
      </c>
      <c r="D125">
        <v>717</v>
      </c>
      <c r="E125">
        <v>788</v>
      </c>
      <c r="F125">
        <v>819</v>
      </c>
      <c r="G125" t="s">
        <v>147</v>
      </c>
      <c r="I125" t="str" cm="1">
        <f t="array" ref="I125">_xlfn.SWITCH(A125,
"Male","ذكور",
"Female","إناث",
"Unreported","غير مُبلّغ",
"Co-Education","تعليم مختلط",
"Non Co-Education","تعليم غير مختلط",
"Undefined","غير محدد",
"")</f>
        <v>ذكور</v>
      </c>
      <c r="J125" t="str" cm="1">
        <f t="array" ref="J125">_xlfn.SWITCH(B125,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5" t="str" cm="1">
        <f t="array" ref="K125">_xlfn.SWITCH(C125,
"0 To 5 Years","من 0 إلى 5 سنوات",
"6 To 10 Years","من 6 إلى 10 سنوات",
"11 To 15 Years","من 11 إلى 15 سنة",
"16 To 20 Years","من 16 إلى 20 سنة",
"21 Years And Above","21 سنة وما فوق",
"")</f>
        <v/>
      </c>
      <c r="L125" t="str" cm="1">
        <f t="array" ref="L125">_xlfn.SWITCH(G125,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5" t="str" cm="1">
        <f t="array" ref="M125">_xlfn.SWITCH(H125,
"Emirati","إماراتي",
"Non-Emirati","غير إماراتي",
"")</f>
        <v/>
      </c>
    </row>
    <row r="126" spans="1:13" x14ac:dyDescent="0.25">
      <c r="A126" t="s">
        <v>6</v>
      </c>
      <c r="D126">
        <v>3468</v>
      </c>
      <c r="E126">
        <v>3787</v>
      </c>
      <c r="F126">
        <v>4105</v>
      </c>
      <c r="G126" t="s">
        <v>148</v>
      </c>
      <c r="I126" t="str" cm="1">
        <f t="array" ref="I126">_xlfn.SWITCH(A126,
"Male","ذكور",
"Female","إناث",
"Unreported","غير مُبلّغ",
"Co-Education","تعليم مختلط",
"Non Co-Education","تعليم غير مختلط",
"Undefined","غير محدد",
"")</f>
        <v>ذكور</v>
      </c>
      <c r="J126" t="str" cm="1">
        <f t="array" ref="J126">_xlfn.SWITCH(B126,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6" t="str" cm="1">
        <f t="array" ref="K126">_xlfn.SWITCH(C126,
"0 To 5 Years","من 0 إلى 5 سنوات",
"6 To 10 Years","من 6 إلى 10 سنوات",
"11 To 15 Years","من 11 إلى 15 سنة",
"16 To 20 Years","من 16 إلى 20 سنة",
"21 Years And Above","21 سنة وما فوق",
"")</f>
        <v/>
      </c>
      <c r="L126" t="str" cm="1">
        <f t="array" ref="L126">_xlfn.SWITCH(G126,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  <c r="M126" t="str" cm="1">
        <f t="array" ref="M126">_xlfn.SWITCH(H126,
"Emirati","إماراتي",
"Non-Emirati","غير إماراتي",
"")</f>
        <v/>
      </c>
    </row>
    <row r="127" spans="1:13" x14ac:dyDescent="0.25">
      <c r="A127" t="s">
        <v>6</v>
      </c>
      <c r="D127">
        <v>680</v>
      </c>
      <c r="E127">
        <v>805</v>
      </c>
      <c r="F127">
        <v>837</v>
      </c>
      <c r="G127" t="s">
        <v>145</v>
      </c>
      <c r="I127" t="str" cm="1">
        <f t="array" ref="I127">_xlfn.SWITCH(A127,
"Male","ذكور",
"Female","إناث",
"Unreported","غير مُبلّغ",
"Co-Education","تعليم مختلط",
"Non Co-Education","تعليم غير مختلط",
"Undefined","غير محدد",
"")</f>
        <v>ذكور</v>
      </c>
      <c r="J127" t="str" cm="1">
        <f t="array" ref="J127">_xlfn.SWITCH(B127,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7" t="str" cm="1">
        <f t="array" ref="K127">_xlfn.SWITCH(C127,
"0 To 5 Years","من 0 إلى 5 سنوات",
"6 To 10 Years","من 6 إلى 10 سنوات",
"11 To 15 Years","من 11 إلى 15 سنة",
"16 To 20 Years","من 16 إلى 20 سنة",
"21 Years And Above","21 سنة وما فوق",
"")</f>
        <v/>
      </c>
      <c r="L127" t="str" cm="1">
        <f t="array" ref="L127">_xlfn.SWITCH(G127,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" t="str" cm="1">
        <f t="array" ref="M127">_xlfn.SWITCH(H127,
"Emirati","إماراتي",
"Non-Emirati","غير إماراتي",
"")</f>
        <v/>
      </c>
    </row>
    <row r="128" spans="1:13" x14ac:dyDescent="0.25">
      <c r="A128" t="s">
        <v>26</v>
      </c>
      <c r="D128">
        <v>77</v>
      </c>
      <c r="E128">
        <v>79</v>
      </c>
      <c r="F128">
        <v>93</v>
      </c>
      <c r="G128" t="s">
        <v>149</v>
      </c>
      <c r="I128" t="str" cm="1">
        <f t="array" ref="I128">_xlfn.SWITCH(A128,
"Male","ذكور",
"Female","إناث",
"Unreported","غير مُبلّغ",
"Co-Education","تعليم مختلط",
"Non Co-Education","تعليم غير مختلط",
"Undefined","غير محدد",
"")</f>
        <v>إناث</v>
      </c>
      <c r="J128" t="str" cm="1">
        <f t="array" ref="J128">_xlfn.SWITCH(B128,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8" t="str" cm="1">
        <f t="array" ref="K128">_xlfn.SWITCH(C128,
"0 To 5 Years","من 0 إلى 5 سنوات",
"6 To 10 Years","من 6 إلى 10 سنوات",
"11 To 15 Years","من 11 إلى 15 سنة",
"16 To 20 Years","من 16 إلى 20 سنة",
"21 Years And Above","21 سنة وما فوق",
"")</f>
        <v/>
      </c>
      <c r="L128" t="str" cm="1">
        <f t="array" ref="L128">_xlfn.SWITCH(G128,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28" t="str" cm="1">
        <f t="array" ref="M128">_xlfn.SWITCH(H128,
"Emirati","إماراتي",
"Non-Emirati","غير إماراتي",
"")</f>
        <v/>
      </c>
    </row>
    <row r="129" spans="1:13" x14ac:dyDescent="0.25">
      <c r="A129" t="s">
        <v>6</v>
      </c>
      <c r="D129">
        <v>157</v>
      </c>
      <c r="E129">
        <v>166</v>
      </c>
      <c r="F129">
        <v>223</v>
      </c>
      <c r="G129" t="s">
        <v>150</v>
      </c>
      <c r="I129" t="str" cm="1">
        <f t="array" ref="I129">_xlfn.SWITCH(A129,
"Male","ذكور",
"Female","إناث",
"Unreported","غير مُبلّغ",
"Co-Education","تعليم مختلط",
"Non Co-Education","تعليم غير مختلط",
"Undefined","غير محدد",
"")</f>
        <v>ذكور</v>
      </c>
      <c r="J129" t="str" cm="1">
        <f t="array" ref="J129">_xlfn.SWITCH(B129,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29" t="str" cm="1">
        <f t="array" ref="K129">_xlfn.SWITCH(C129,
"0 To 5 Years","من 0 إلى 5 سنوات",
"6 To 10 Years","من 6 إلى 10 سنوات",
"11 To 15 Years","من 11 إلى 15 سنة",
"16 To 20 Years","من 16 إلى 20 سنة",
"21 Years And Above","21 سنة وما فوق",
"")</f>
        <v/>
      </c>
      <c r="L129" t="str" cm="1">
        <f t="array" ref="L129">_xlfn.SWITCH(G129,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29" t="str" cm="1">
        <f t="array" ref="M129">_xlfn.SWITCH(H129,
"Emirati","إماراتي",
"Non-Emirati","غير إماراتي",
"")</f>
        <v/>
      </c>
    </row>
    <row r="130" spans="1:13" x14ac:dyDescent="0.25">
      <c r="A130" t="s">
        <v>6</v>
      </c>
      <c r="D130">
        <v>101</v>
      </c>
      <c r="E130">
        <v>82</v>
      </c>
      <c r="F130">
        <v>106</v>
      </c>
      <c r="G130" t="s">
        <v>146</v>
      </c>
      <c r="I130" t="str" cm="1">
        <f t="array" ref="I130">_xlfn.SWITCH(A130,
"Male","ذكور",
"Female","إناث",
"Unreported","غير مُبلّغ",
"Co-Education","تعليم مختلط",
"Non Co-Education","تعليم غير مختلط",
"Undefined","غير محدد",
"")</f>
        <v>ذكور</v>
      </c>
      <c r="J130" t="str" cm="1">
        <f t="array" ref="J130">_xlfn.SWITCH(B130,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0" t="str" cm="1">
        <f t="array" ref="K130">_xlfn.SWITCH(C130,
"0 To 5 Years","من 0 إلى 5 سنوات",
"6 To 10 Years","من 6 إلى 10 سنوات",
"11 To 15 Years","من 11 إلى 15 سنة",
"16 To 20 Years","من 16 إلى 20 سنة",
"21 Years And Above","21 سنة وما فوق",
"")</f>
        <v/>
      </c>
      <c r="L130" t="str" cm="1">
        <f t="array" ref="L130">_xlfn.SWITCH(G130,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30" t="str" cm="1">
        <f t="array" ref="M130">_xlfn.SWITCH(H130,
"Emirati","إماراتي",
"Non-Emirati","غير إماراتي",
"")</f>
        <v/>
      </c>
    </row>
    <row r="131" spans="1:13" x14ac:dyDescent="0.25">
      <c r="A131" t="s">
        <v>26</v>
      </c>
      <c r="D131">
        <v>400</v>
      </c>
      <c r="E131">
        <v>416</v>
      </c>
      <c r="F131">
        <v>420</v>
      </c>
      <c r="G131" t="s">
        <v>147</v>
      </c>
      <c r="I131" t="str" cm="1">
        <f t="array" ref="I131">_xlfn.SWITCH(A131,
"Male","ذكور",
"Female","إناث",
"Unreported","غير مُبلّغ",
"Co-Education","تعليم مختلط",
"Non Co-Education","تعليم غير مختلط",
"Undefined","غير محدد",
"")</f>
        <v>إناث</v>
      </c>
      <c r="J131" t="str" cm="1">
        <f t="array" ref="J131">_xlfn.SWITCH(B131,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1" t="str" cm="1">
        <f t="array" ref="K131">_xlfn.SWITCH(C131,
"0 To 5 Years","من 0 إلى 5 سنوات",
"6 To 10 Years","من 6 إلى 10 سنوات",
"11 To 15 Years","من 11 إلى 15 سنة",
"16 To 20 Years","من 16 إلى 20 سنة",
"21 Years And Above","21 سنة وما فوق",
"")</f>
        <v/>
      </c>
      <c r="L131" t="str" cm="1">
        <f t="array" ref="L131">_xlfn.SWITCH(G131,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1" t="str" cm="1">
        <f t="array" ref="M131">_xlfn.SWITCH(H131,
"Emirati","إماراتي",
"Non-Emirati","غير إماراتي",
"")</f>
        <v/>
      </c>
    </row>
    <row r="132" spans="1:13" x14ac:dyDescent="0.25">
      <c r="A132" t="s">
        <v>26</v>
      </c>
      <c r="D132">
        <v>19</v>
      </c>
      <c r="E132">
        <v>27</v>
      </c>
      <c r="F132">
        <v>20</v>
      </c>
      <c r="G132" t="s">
        <v>151</v>
      </c>
      <c r="I132" t="str" cm="1">
        <f t="array" ref="I132">_xlfn.SWITCH(A132,
"Male","ذكور",
"Female","إناث",
"Unreported","غير مُبلّغ",
"Co-Education","تعليم مختلط",
"Non Co-Education","تعليم غير مختلط",
"Undefined","غير محدد",
"")</f>
        <v>إناث</v>
      </c>
      <c r="J132" t="str" cm="1">
        <f t="array" ref="J132">_xlfn.SWITCH(B132,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2" t="str" cm="1">
        <f t="array" ref="K132">_xlfn.SWITCH(C132,
"0 To 5 Years","من 0 إلى 5 سنوات",
"6 To 10 Years","من 6 إلى 10 سنوات",
"11 To 15 Years","من 11 إلى 15 سنة",
"16 To 20 Years","من 16 إلى 20 سنة",
"21 Years And Above","21 سنة وما فوق",
"")</f>
        <v/>
      </c>
      <c r="L132" t="str" cm="1">
        <f t="array" ref="L132">_xlfn.SWITCH(G132,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32" t="str" cm="1">
        <f t="array" ref="M132">_xlfn.SWITCH(H132,
"Emirati","إماراتي",
"Non-Emirati","غير إماراتي",
"")</f>
        <v/>
      </c>
    </row>
    <row r="133" spans="1:13" x14ac:dyDescent="0.25">
      <c r="A133" t="s">
        <v>26</v>
      </c>
      <c r="D133">
        <v>858</v>
      </c>
      <c r="E133">
        <v>910</v>
      </c>
      <c r="F133">
        <v>960</v>
      </c>
      <c r="G133" t="s">
        <v>144</v>
      </c>
      <c r="I133" t="str" cm="1">
        <f t="array" ref="I133">_xlfn.SWITCH(A133,
"Male","ذكور",
"Female","إناث",
"Unreported","غير مُبلّغ",
"Co-Education","تعليم مختلط",
"Non Co-Education","تعليم غير مختلط",
"Undefined","غير محدد",
"")</f>
        <v>إناث</v>
      </c>
      <c r="J133" t="str" cm="1">
        <f t="array" ref="J133">_xlfn.SWITCH(B133,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3" t="str" cm="1">
        <f t="array" ref="K133">_xlfn.SWITCH(C133,
"0 To 5 Years","من 0 إلى 5 سنوات",
"6 To 10 Years","من 6 إلى 10 سنوات",
"11 To 15 Years","من 11 إلى 15 سنة",
"16 To 20 Years","من 16 إلى 20 سنة",
"21 Years And Above","21 سنة وما فوق",
"")</f>
        <v/>
      </c>
      <c r="L133" t="str" cm="1">
        <f t="array" ref="L133">_xlfn.SWITCH(G133,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3" t="str" cm="1">
        <f t="array" ref="M133">_xlfn.SWITCH(H133,
"Emirati","إماراتي",
"Non-Emirati","غير إماراتي",
"")</f>
        <v/>
      </c>
    </row>
    <row r="134" spans="1:13" x14ac:dyDescent="0.25">
      <c r="A134" t="s">
        <v>26</v>
      </c>
      <c r="D134">
        <v>1826</v>
      </c>
      <c r="E134">
        <v>1966</v>
      </c>
      <c r="F134">
        <v>2045</v>
      </c>
      <c r="G134" t="s">
        <v>148</v>
      </c>
      <c r="I134" t="str" cm="1">
        <f t="array" ref="I134">_xlfn.SWITCH(A134,
"Male","ذكور",
"Female","إناث",
"Unreported","غير مُبلّغ",
"Co-Education","تعليم مختلط",
"Non Co-Education","تعليم غير مختلط",
"Undefined","غير محدد",
"")</f>
        <v>إناث</v>
      </c>
      <c r="J134" t="str" cm="1">
        <f t="array" ref="J134">_xlfn.SWITCH(B134,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4" t="str" cm="1">
        <f t="array" ref="K134">_xlfn.SWITCH(C134,
"0 To 5 Years","من 0 إلى 5 سنوات",
"6 To 10 Years","من 6 إلى 10 سنوات",
"11 To 15 Years","من 11 إلى 15 سنة",
"16 To 20 Years","من 16 إلى 20 سنة",
"21 Years And Above","21 سنة وما فوق",
"")</f>
        <v/>
      </c>
      <c r="L134" t="str" cm="1">
        <f t="array" ref="L134">_xlfn.SWITCH(G134,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  <c r="M134" t="str" cm="1">
        <f t="array" ref="M134">_xlfn.SWITCH(H134,
"Emirati","إماراتي",
"Non-Emirati","غير إماراتي",
"")</f>
        <v/>
      </c>
    </row>
    <row r="135" spans="1:13" x14ac:dyDescent="0.25">
      <c r="A135" t="s">
        <v>6</v>
      </c>
      <c r="D135">
        <v>107</v>
      </c>
      <c r="E135">
        <v>130</v>
      </c>
      <c r="F135">
        <v>154</v>
      </c>
      <c r="G135" t="s">
        <v>149</v>
      </c>
      <c r="I135" t="str" cm="1">
        <f t="array" ref="I135">_xlfn.SWITCH(A135,
"Male","ذكور",
"Female","إناث",
"Unreported","غير مُبلّغ",
"Co-Education","تعليم مختلط",
"Non Co-Education","تعليم غير مختلط",
"Undefined","غير محدد",
"")</f>
        <v>ذكور</v>
      </c>
      <c r="J135" t="str" cm="1">
        <f t="array" ref="J135">_xlfn.SWITCH(B135,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5" t="str" cm="1">
        <f t="array" ref="K135">_xlfn.SWITCH(C135,
"0 To 5 Years","من 0 إلى 5 سنوات",
"6 To 10 Years","من 6 إلى 10 سنوات",
"11 To 15 Years","من 11 إلى 15 سنة",
"16 To 20 Years","من 16 إلى 20 سنة",
"21 Years And Above","21 سنة وما فوق",
"")</f>
        <v/>
      </c>
      <c r="L135" t="str" cm="1">
        <f t="array" ref="L135">_xlfn.SWITCH(G135,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35" t="str" cm="1">
        <f t="array" ref="M135">_xlfn.SWITCH(H135,
"Emirati","إماراتي",
"Non-Emirati","غير إماراتي",
"")</f>
        <v/>
      </c>
    </row>
    <row r="136" spans="1:13" x14ac:dyDescent="0.25">
      <c r="A136" t="s">
        <v>26</v>
      </c>
      <c r="D136">
        <v>66</v>
      </c>
      <c r="E136">
        <v>75</v>
      </c>
      <c r="F136">
        <v>84</v>
      </c>
      <c r="G136" t="s">
        <v>150</v>
      </c>
      <c r="I136" t="str" cm="1">
        <f t="array" ref="I136">_xlfn.SWITCH(A136,
"Male","ذكور",
"Female","إناث",
"Unreported","غير مُبلّغ",
"Co-Education","تعليم مختلط",
"Non Co-Education","تعليم غير مختلط",
"Undefined","غير محدد",
"")</f>
        <v>إناث</v>
      </c>
      <c r="J136" t="str" cm="1">
        <f t="array" ref="J136">_xlfn.SWITCH(B136,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6" t="str" cm="1">
        <f t="array" ref="K136">_xlfn.SWITCH(C136,
"0 To 5 Years","من 0 إلى 5 سنوات",
"6 To 10 Years","من 6 إلى 10 سنوات",
"11 To 15 Years","من 11 إلى 15 سنة",
"16 To 20 Years","من 16 إلى 20 سنة",
"21 Years And Above","21 سنة وما فوق",
"")</f>
        <v/>
      </c>
      <c r="L136" t="str" cm="1">
        <f t="array" ref="L136">_xlfn.SWITCH(G136,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36" t="str" cm="1">
        <f t="array" ref="M136">_xlfn.SWITCH(H136,
"Emirati","إماراتي",
"Non-Emirati","غير إماراتي",
"")</f>
        <v/>
      </c>
    </row>
    <row r="137" spans="1:13" x14ac:dyDescent="0.25">
      <c r="A137" t="s">
        <v>6</v>
      </c>
      <c r="D137">
        <v>62</v>
      </c>
      <c r="E137">
        <v>76</v>
      </c>
      <c r="F137">
        <v>64</v>
      </c>
      <c r="G137" t="s">
        <v>151</v>
      </c>
      <c r="I137" t="str" cm="1">
        <f t="array" ref="I137">_xlfn.SWITCH(A137,
"Male","ذكور",
"Female","إناث",
"Unreported","غير مُبلّغ",
"Co-Education","تعليم مختلط",
"Non Co-Education","تعليم غير مختلط",
"Undefined","غير محدد",
"")</f>
        <v>ذكور</v>
      </c>
      <c r="J137" t="str" cm="1">
        <f t="array" ref="J137">_xlfn.SWITCH(B137,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7" t="str" cm="1">
        <f t="array" ref="K137">_xlfn.SWITCH(C137,
"0 To 5 Years","من 0 إلى 5 سنوات",
"6 To 10 Years","من 6 إلى 10 سنوات",
"11 To 15 Years","من 11 إلى 15 سنة",
"16 To 20 Years","من 16 إلى 20 سنة",
"21 Years And Above","21 سنة وما فوق",
"")</f>
        <v/>
      </c>
      <c r="L137" t="str" cm="1">
        <f t="array" ref="L137">_xlfn.SWITCH(G137,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37" t="str" cm="1">
        <f t="array" ref="M137">_xlfn.SWITCH(H137,
"Emirati","إماراتي",
"Non-Emirati","غير إماراتي",
"")</f>
        <v/>
      </c>
    </row>
    <row r="138" spans="1:13" x14ac:dyDescent="0.25">
      <c r="D138">
        <v>607</v>
      </c>
      <c r="E138">
        <v>732</v>
      </c>
      <c r="F138">
        <v>755</v>
      </c>
      <c r="G138" t="s">
        <v>145</v>
      </c>
      <c r="H138" t="s">
        <v>163</v>
      </c>
      <c r="I138" t="str" cm="1">
        <f t="array" ref="I138">_xlfn.SWITCH(A138,
"Male","ذكور",
"Female","إناث",
"Unreported","غير مُبلّغ",
"Co-Education","تعليم مختلط",
"Non Co-Education","تعليم غير مختلط",
"Undefined","غير محدد",
"")</f>
        <v/>
      </c>
      <c r="J138" t="str" cm="1">
        <f t="array" ref="J138">_xlfn.SWITCH(B138,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8" t="str" cm="1">
        <f t="array" ref="K138">_xlfn.SWITCH(C138,
"0 To 5 Years","من 0 إلى 5 سنوات",
"6 To 10 Years","من 6 إلى 10 سنوات",
"11 To 15 Years","من 11 إلى 15 سنة",
"16 To 20 Years","من 16 إلى 20 سنة",
"21 Years And Above","21 سنة وما فوق",
"")</f>
        <v/>
      </c>
      <c r="L138" t="str" cm="1">
        <f t="array" ref="L138">_xlfn.SWITCH(G138,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8" t="str" cm="1">
        <f t="array" ref="M138">_xlfn.SWITCH(H138,
"Emirati","إماراتي",
"Non-Emirati","غير إماراتي",
"")</f>
        <v>غير إماراتي</v>
      </c>
    </row>
    <row r="139" spans="1:13" x14ac:dyDescent="0.25">
      <c r="D139">
        <v>487</v>
      </c>
      <c r="E139">
        <v>525</v>
      </c>
      <c r="F139">
        <v>546</v>
      </c>
      <c r="G139" t="s">
        <v>147</v>
      </c>
      <c r="H139" t="s">
        <v>162</v>
      </c>
      <c r="I139" t="str" cm="1">
        <f t="array" ref="I139">_xlfn.SWITCH(A139,
"Male","ذكور",
"Female","إناث",
"Unreported","غير مُبلّغ",
"Co-Education","تعليم مختلط",
"Non Co-Education","تعليم غير مختلط",
"Undefined","غير محدد",
"")</f>
        <v/>
      </c>
      <c r="J139" t="str" cm="1">
        <f t="array" ref="J139">_xlfn.SWITCH(B139,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39" t="str" cm="1">
        <f t="array" ref="K139">_xlfn.SWITCH(C139,
"0 To 5 Years","من 0 إلى 5 سنوات",
"6 To 10 Years","من 6 إلى 10 سنوات",
"11 To 15 Years","من 11 إلى 15 سنة",
"16 To 20 Years","من 16 إلى 20 سنة",
"21 Years And Above","21 سنة وما فوق",
"")</f>
        <v/>
      </c>
      <c r="L139" t="str" cm="1">
        <f t="array" ref="L139">_xlfn.SWITCH(G139,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9" t="str" cm="1">
        <f t="array" ref="M139">_xlfn.SWITCH(H139,
"Emirati","إماراتي",
"Non-Emirati","غير إماراتي",
"")</f>
        <v>إماراتي</v>
      </c>
    </row>
    <row r="140" spans="1:13" x14ac:dyDescent="0.25">
      <c r="D140">
        <v>1865</v>
      </c>
      <c r="E140">
        <v>1993</v>
      </c>
      <c r="F140">
        <v>2003</v>
      </c>
      <c r="G140" t="s">
        <v>144</v>
      </c>
      <c r="H140" t="s">
        <v>162</v>
      </c>
      <c r="I140" t="str" cm="1">
        <f t="array" ref="I140">_xlfn.SWITCH(A140,
"Male","ذكور",
"Female","إناث",
"Unreported","غير مُبلّغ",
"Co-Education","تعليم مختلط",
"Non Co-Education","تعليم غير مختلط",
"Undefined","غير محدد",
"")</f>
        <v/>
      </c>
      <c r="J140" t="str" cm="1">
        <f t="array" ref="J140">_xlfn.SWITCH(B140,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0" t="str" cm="1">
        <f t="array" ref="K140">_xlfn.SWITCH(C140,
"0 To 5 Years","من 0 إلى 5 سنوات",
"6 To 10 Years","من 6 إلى 10 سنوات",
"11 To 15 Years","من 11 إلى 15 سنة",
"16 To 20 Years","من 16 إلى 20 سنة",
"21 Years And Above","21 سنة وما فوق",
"")</f>
        <v/>
      </c>
      <c r="L140" t="str" cm="1">
        <f t="array" ref="L140">_xlfn.SWITCH(G140,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0" t="str" cm="1">
        <f t="array" ref="M140">_xlfn.SWITCH(H140,
"Emirati","إماراتي",
"Non-Emirati","غير إماراتي",
"")</f>
        <v>إماراتي</v>
      </c>
    </row>
    <row r="141" spans="1:13" x14ac:dyDescent="0.25">
      <c r="D141">
        <v>181</v>
      </c>
      <c r="E141">
        <v>206</v>
      </c>
      <c r="F141">
        <v>243</v>
      </c>
      <c r="G141" t="s">
        <v>149</v>
      </c>
      <c r="H141" t="s">
        <v>162</v>
      </c>
      <c r="I141" t="str" cm="1">
        <f t="array" ref="I141">_xlfn.SWITCH(A141,
"Male","ذكور",
"Female","إناث",
"Unreported","غير مُبلّغ",
"Co-Education","تعليم مختلط",
"Non Co-Education","تعليم غير مختلط",
"Undefined","غير محدد",
"")</f>
        <v/>
      </c>
      <c r="J141" t="str" cm="1">
        <f t="array" ref="J141">_xlfn.SWITCH(B141,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1" t="str" cm="1">
        <f t="array" ref="K141">_xlfn.SWITCH(C141,
"0 To 5 Years","من 0 إلى 5 سنوات",
"6 To 10 Years","من 6 إلى 10 سنوات",
"11 To 15 Years","من 11 إلى 15 سنة",
"16 To 20 Years","من 16 إلى 20 سنة",
"21 Years And Above","21 سنة وما فوق",
"")</f>
        <v/>
      </c>
      <c r="L141" t="str" cm="1">
        <f t="array" ref="L141">_xlfn.SWITCH(G141,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41" t="str" cm="1">
        <f t="array" ref="M141">_xlfn.SWITCH(H141,
"Emirati","إماراتي",
"Non-Emirati","غير إماراتي",
"")</f>
        <v>إماراتي</v>
      </c>
    </row>
    <row r="142" spans="1:13" x14ac:dyDescent="0.25">
      <c r="D142">
        <v>6</v>
      </c>
      <c r="E142">
        <v>8</v>
      </c>
      <c r="F142">
        <v>6</v>
      </c>
      <c r="G142" t="s">
        <v>151</v>
      </c>
      <c r="H142" t="s">
        <v>163</v>
      </c>
      <c r="I142" t="str" cm="1">
        <f t="array" ref="I142">_xlfn.SWITCH(A142,
"Male","ذكور",
"Female","إناث",
"Unreported","غير مُبلّغ",
"Co-Education","تعليم مختلط",
"Non Co-Education","تعليم غير مختلط",
"Undefined","غير محدد",
"")</f>
        <v/>
      </c>
      <c r="J142" t="str" cm="1">
        <f t="array" ref="J142">_xlfn.SWITCH(B142,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2" t="str" cm="1">
        <f t="array" ref="K142">_xlfn.SWITCH(C142,
"0 To 5 Years","من 0 إلى 5 سنوات",
"6 To 10 Years","من 6 إلى 10 سنوات",
"11 To 15 Years","من 11 إلى 15 سنة",
"16 To 20 Years","من 16 إلى 20 سنة",
"21 Years And Above","21 سنة وما فوق",
"")</f>
        <v/>
      </c>
      <c r="L142" t="str" cm="1">
        <f t="array" ref="L142">_xlfn.SWITCH(G142,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42" t="str" cm="1">
        <f t="array" ref="M142">_xlfn.SWITCH(H142,
"Emirati","إماراتي",
"Non-Emirati","غير إماراتي",
"")</f>
        <v>غير إماراتي</v>
      </c>
    </row>
    <row r="143" spans="1:13" x14ac:dyDescent="0.25">
      <c r="D143">
        <v>75</v>
      </c>
      <c r="E143">
        <v>95</v>
      </c>
      <c r="F143">
        <v>78</v>
      </c>
      <c r="G143" t="s">
        <v>151</v>
      </c>
      <c r="H143" t="s">
        <v>162</v>
      </c>
      <c r="I143" t="str" cm="1">
        <f t="array" ref="I143">_xlfn.SWITCH(A143,
"Male","ذكور",
"Female","إناث",
"Unreported","غير مُبلّغ",
"Co-Education","تعليم مختلط",
"Non Co-Education","تعليم غير مختلط",
"Undefined","غير محدد",
"")</f>
        <v/>
      </c>
      <c r="J143" t="str" cm="1">
        <f t="array" ref="J143">_xlfn.SWITCH(B143,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3" t="str" cm="1">
        <f t="array" ref="K143">_xlfn.SWITCH(C143,
"0 To 5 Years","من 0 إلى 5 سنوات",
"6 To 10 Years","من 6 إلى 10 سنوات",
"11 To 15 Years","من 11 إلى 15 سنة",
"16 To 20 Years","من 16 إلى 20 سنة",
"21 Years And Above","21 سنة وما فوق",
"")</f>
        <v/>
      </c>
      <c r="L143" t="str" cm="1">
        <f t="array" ref="L143">_xlfn.SWITCH(G143,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43" t="str" cm="1">
        <f t="array" ref="M143">_xlfn.SWITCH(H143,
"Emirati","إماراتي",
"Non-Emirati","غير إماراتي",
"")</f>
        <v>إماراتي</v>
      </c>
    </row>
    <row r="144" spans="1:13" x14ac:dyDescent="0.25">
      <c r="D144">
        <v>417</v>
      </c>
      <c r="E144">
        <v>484</v>
      </c>
      <c r="F144">
        <v>487</v>
      </c>
      <c r="G144" t="s">
        <v>145</v>
      </c>
      <c r="H144" t="s">
        <v>162</v>
      </c>
      <c r="I144" t="str" cm="1">
        <f t="array" ref="I144">_xlfn.SWITCH(A144,
"Male","ذكور",
"Female","إناث",
"Unreported","غير مُبلّغ",
"Co-Education","تعليم مختلط",
"Non Co-Education","تعليم غير مختلط",
"Undefined","غير محدد",
"")</f>
        <v/>
      </c>
      <c r="J144" t="str" cm="1">
        <f t="array" ref="J144">_xlfn.SWITCH(B144,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4" t="str" cm="1">
        <f t="array" ref="K144">_xlfn.SWITCH(C144,
"0 To 5 Years","من 0 إلى 5 سنوات",
"6 To 10 Years","من 6 إلى 10 سنوات",
"11 To 15 Years","من 11 إلى 15 سنة",
"16 To 20 Years","من 16 إلى 20 سنة",
"21 Years And Above","21 سنة وما فوق",
"")</f>
        <v/>
      </c>
      <c r="L144" t="str" cm="1">
        <f t="array" ref="L144">_xlfn.SWITCH(G144,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4" t="str" cm="1">
        <f t="array" ref="M144">_xlfn.SWITCH(H144,
"Emirati","إماراتي",
"Non-Emirati","غير إماراتي",
"")</f>
        <v>إماراتي</v>
      </c>
    </row>
    <row r="145" spans="4:13" x14ac:dyDescent="0.25">
      <c r="D145">
        <v>19</v>
      </c>
      <c r="E145">
        <v>26</v>
      </c>
      <c r="F145">
        <v>36</v>
      </c>
      <c r="G145" t="s">
        <v>150</v>
      </c>
      <c r="H145" t="s">
        <v>163</v>
      </c>
      <c r="I145" t="str" cm="1">
        <f t="array" ref="I145">_xlfn.SWITCH(A145,
"Male","ذكور",
"Female","إناث",
"Unreported","غير مُبلّغ",
"Co-Education","تعليم مختلط",
"Non Co-Education","تعليم غير مختلط",
"Undefined","غير محدد",
"")</f>
        <v/>
      </c>
      <c r="J145" t="str" cm="1">
        <f t="array" ref="J145">_xlfn.SWITCH(B145,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5" t="str" cm="1">
        <f t="array" ref="K145">_xlfn.SWITCH(C145,
"0 To 5 Years","من 0 إلى 5 سنوات",
"6 To 10 Years","من 6 إلى 10 سنوات",
"11 To 15 Years","من 11 إلى 15 سنة",
"16 To 20 Years","من 16 إلى 20 سنة",
"21 Years And Above","21 سنة وما فوق",
"")</f>
        <v/>
      </c>
      <c r="L145" t="str" cm="1">
        <f t="array" ref="L145">_xlfn.SWITCH(G145,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5" t="str" cm="1">
        <f t="array" ref="M145">_xlfn.SWITCH(H145,
"Emirati","إماراتي",
"Non-Emirati","غير إماراتي",
"")</f>
        <v>غير إماراتي</v>
      </c>
    </row>
    <row r="146" spans="4:13" x14ac:dyDescent="0.25">
      <c r="D146">
        <v>1934</v>
      </c>
      <c r="E146">
        <v>2134</v>
      </c>
      <c r="F146">
        <v>2396</v>
      </c>
      <c r="G146" t="s">
        <v>148</v>
      </c>
      <c r="H146" t="s">
        <v>163</v>
      </c>
      <c r="I146" t="str" cm="1">
        <f t="array" ref="I146">_xlfn.SWITCH(A146,
"Male","ذكور",
"Female","إناث",
"Unreported","غير مُبلّغ",
"Co-Education","تعليم مختلط",
"Non Co-Education","تعليم غير مختلط",
"Undefined","غير محدد",
"")</f>
        <v/>
      </c>
      <c r="J146" t="str" cm="1">
        <f t="array" ref="J146">_xlfn.SWITCH(B146,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6" t="str" cm="1">
        <f t="array" ref="K146">_xlfn.SWITCH(C146,
"0 To 5 Years","من 0 إلى 5 سنوات",
"6 To 10 Years","من 6 إلى 10 سنوات",
"11 To 15 Years","من 11 إلى 15 سنة",
"16 To 20 Years","من 16 إلى 20 سنة",
"21 Years And Above","21 سنة وما فوق",
"")</f>
        <v/>
      </c>
      <c r="L146" t="str" cm="1">
        <f t="array" ref="L146">_xlfn.SWITCH(G146,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  <c r="M146" t="str" cm="1">
        <f t="array" ref="M146">_xlfn.SWITCH(H146,
"Emirati","إماراتي",
"Non-Emirati","غير إماراتي",
"")</f>
        <v>غير إماراتي</v>
      </c>
    </row>
    <row r="147" spans="4:13" x14ac:dyDescent="0.25">
      <c r="D147">
        <v>32</v>
      </c>
      <c r="E147">
        <v>29</v>
      </c>
      <c r="F147">
        <v>43</v>
      </c>
      <c r="G147" t="s">
        <v>146</v>
      </c>
      <c r="H147" t="s">
        <v>163</v>
      </c>
      <c r="I147" t="str" cm="1">
        <f t="array" ref="I147">_xlfn.SWITCH(A147,
"Male","ذكور",
"Female","إناث",
"Unreported","غير مُبلّغ",
"Co-Education","تعليم مختلط",
"Non Co-Education","تعليم غير مختلط",
"Undefined","غير محدد",
"")</f>
        <v/>
      </c>
      <c r="J147" t="str" cm="1">
        <f t="array" ref="J147">_xlfn.SWITCH(B147,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7" t="str" cm="1">
        <f t="array" ref="K147">_xlfn.SWITCH(C147,
"0 To 5 Years","من 0 إلى 5 سنوات",
"6 To 10 Years","من 6 إلى 10 سنوات",
"11 To 15 Years","من 11 إلى 15 سنة",
"16 To 20 Years","من 16 إلى 20 سنة",
"21 Years And Above","21 سنة وما فوق",
"")</f>
        <v/>
      </c>
      <c r="L147" t="str" cm="1">
        <f t="array" ref="L147">_xlfn.SWITCH(G147,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7" t="str" cm="1">
        <f t="array" ref="M147">_xlfn.SWITCH(H147,
"Emirati","إماراتي",
"Non-Emirati","غير إماراتي",
"")</f>
        <v>غير إماراتي</v>
      </c>
    </row>
    <row r="148" spans="4:13" x14ac:dyDescent="0.25">
      <c r="D148">
        <v>204</v>
      </c>
      <c r="E148">
        <v>215</v>
      </c>
      <c r="F148">
        <v>271</v>
      </c>
      <c r="G148" t="s">
        <v>150</v>
      </c>
      <c r="H148" t="s">
        <v>162</v>
      </c>
      <c r="I148" t="str" cm="1">
        <f t="array" ref="I148">_xlfn.SWITCH(A148,
"Male","ذكور",
"Female","إناث",
"Unreported","غير مُبلّغ",
"Co-Education","تعليم مختلط",
"Non Co-Education","تعليم غير مختلط",
"Undefined","غير محدد",
"")</f>
        <v/>
      </c>
      <c r="J148" t="str" cm="1">
        <f t="array" ref="J148">_xlfn.SWITCH(B148,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8" t="str" cm="1">
        <f t="array" ref="K148">_xlfn.SWITCH(C148,
"0 To 5 Years","من 0 إلى 5 سنوات",
"6 To 10 Years","من 6 إلى 10 سنوات",
"11 To 15 Years","من 11 إلى 15 سنة",
"16 To 20 Years","من 16 إلى 20 سنة",
"21 Years And Above","21 سنة وما فوق",
"")</f>
        <v/>
      </c>
      <c r="L148" t="str" cm="1">
        <f t="array" ref="L148">_xlfn.SWITCH(G148,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8" t="str" cm="1">
        <f t="array" ref="M148">_xlfn.SWITCH(H148,
"Emirati","إماراتي",
"Non-Emirati","غير إماراتي",
"")</f>
        <v>إماراتي</v>
      </c>
    </row>
    <row r="149" spans="4:13" x14ac:dyDescent="0.25">
      <c r="D149">
        <v>131</v>
      </c>
      <c r="E149">
        <v>101</v>
      </c>
      <c r="F149">
        <v>126</v>
      </c>
      <c r="G149" t="s">
        <v>146</v>
      </c>
      <c r="H149" t="s">
        <v>162</v>
      </c>
      <c r="I149" t="str" cm="1">
        <f t="array" ref="I149">_xlfn.SWITCH(A149,
"Male","ذكور",
"Female","إناث",
"Unreported","غير مُبلّغ",
"Co-Education","تعليم مختلط",
"Non Co-Education","تعليم غير مختلط",
"Undefined","غير محدد",
"")</f>
        <v/>
      </c>
      <c r="J149" t="str" cm="1">
        <f t="array" ref="J149">_xlfn.SWITCH(B149,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49" t="str" cm="1">
        <f t="array" ref="K149">_xlfn.SWITCH(C149,
"0 To 5 Years","من 0 إلى 5 سنوات",
"6 To 10 Years","من 6 إلى 10 سنوات",
"11 To 15 Years","من 11 إلى 15 سنة",
"16 To 20 Years","من 16 إلى 20 سنة",
"21 Years And Above","21 سنة وما فوق",
"")</f>
        <v/>
      </c>
      <c r="L149" t="str" cm="1">
        <f t="array" ref="L149">_xlfn.SWITCH(G149,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9" t="str" cm="1">
        <f t="array" ref="M149">_xlfn.SWITCH(H149,
"Emirati","إماراتي",
"Non-Emirati","غير إماراتي",
"")</f>
        <v>إماراتي</v>
      </c>
    </row>
    <row r="150" spans="4:13" x14ac:dyDescent="0.25">
      <c r="D150">
        <v>637</v>
      </c>
      <c r="E150">
        <v>657</v>
      </c>
      <c r="F150">
        <v>859</v>
      </c>
      <c r="G150" t="s">
        <v>144</v>
      </c>
      <c r="H150" t="s">
        <v>163</v>
      </c>
      <c r="I150" t="str" cm="1">
        <f t="array" ref="I150">_xlfn.SWITCH(A150,
"Male","ذكور",
"Female","إناث",
"Unreported","غير مُبلّغ",
"Co-Education","تعليم مختلط",
"Non Co-Education","تعليم غير مختلط",
"Undefined","غير محدد",
"")</f>
        <v/>
      </c>
      <c r="J150" t="str" cm="1">
        <f t="array" ref="J150">_xlfn.SWITCH(B150,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50" t="str" cm="1">
        <f t="array" ref="K150">_xlfn.SWITCH(C150,
"0 To 5 Years","من 0 إلى 5 سنوات",
"6 To 10 Years","من 6 إلى 10 سنوات",
"11 To 15 Years","من 11 إلى 15 سنة",
"16 To 20 Years","من 16 إلى 20 سنة",
"21 Years And Above","21 سنة وما فوق",
"")</f>
        <v/>
      </c>
      <c r="L150" t="str" cm="1">
        <f t="array" ref="L150">_xlfn.SWITCH(G150,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0" t="str" cm="1">
        <f t="array" ref="M150">_xlfn.SWITCH(H150,
"Emirati","إماراتي",
"Non-Emirati","غير إماراتي",
"")</f>
        <v>غير إماراتي</v>
      </c>
    </row>
    <row r="151" spans="4:13" x14ac:dyDescent="0.25">
      <c r="D151">
        <v>3</v>
      </c>
      <c r="E151">
        <v>3</v>
      </c>
      <c r="F151">
        <v>4</v>
      </c>
      <c r="G151" t="s">
        <v>149</v>
      </c>
      <c r="H151" t="s">
        <v>163</v>
      </c>
      <c r="I151" t="str" cm="1">
        <f t="array" ref="I151">_xlfn.SWITCH(A151,
"Male","ذكور",
"Female","إناث",
"Unreported","غير مُبلّغ",
"Co-Education","تعليم مختلط",
"Non Co-Education","تعليم غير مختلط",
"Undefined","غير محدد",
"")</f>
        <v/>
      </c>
      <c r="J151" t="str" cm="1">
        <f t="array" ref="J151">_xlfn.SWITCH(B151,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51" t="str" cm="1">
        <f t="array" ref="K151">_xlfn.SWITCH(C151,
"0 To 5 Years","من 0 إلى 5 سنوات",
"6 To 10 Years","من 6 إلى 10 سنوات",
"11 To 15 Years","من 11 إلى 15 سنة",
"16 To 20 Years","من 16 إلى 20 سنة",
"21 Years And Above","21 سنة وما فوق",
"")</f>
        <v/>
      </c>
      <c r="L151" t="str" cm="1">
        <f t="array" ref="L151">_xlfn.SWITCH(G151,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1" t="str" cm="1">
        <f t="array" ref="M151">_xlfn.SWITCH(H151,
"Emirati","إماراتي",
"Non-Emirati","غير إماراتي",
"")</f>
        <v>غير إماراتي</v>
      </c>
    </row>
    <row r="152" spans="4:13" x14ac:dyDescent="0.25">
      <c r="D152">
        <v>3360</v>
      </c>
      <c r="E152">
        <v>3619</v>
      </c>
      <c r="F152">
        <v>3754</v>
      </c>
      <c r="G152" t="s">
        <v>148</v>
      </c>
      <c r="H152" t="s">
        <v>162</v>
      </c>
      <c r="I152" t="str" cm="1">
        <f t="array" ref="I152">_xlfn.SWITCH(A152,
"Male","ذكور",
"Female","إناث",
"Unreported","غير مُبلّغ",
"Co-Education","تعليم مختلط",
"Non Co-Education","تعليم غير مختلط",
"Undefined","غير محدد",
"")</f>
        <v/>
      </c>
      <c r="J152" t="str" cm="1">
        <f t="array" ref="J152">_xlfn.SWITCH(B152,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52" t="str" cm="1">
        <f t="array" ref="K152">_xlfn.SWITCH(C152,
"0 To 5 Years","من 0 إلى 5 سنوات",
"6 To 10 Years","من 6 إلى 10 سنوات",
"11 To 15 Years","من 11 إلى 15 سنة",
"16 To 20 Years","من 16 إلى 20 سنة",
"21 Years And Above","21 سنة وما فوق",
"")</f>
        <v/>
      </c>
      <c r="L152" t="str" cm="1">
        <f t="array" ref="L152">_xlfn.SWITCH(G152,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  <c r="M152" t="str" cm="1">
        <f t="array" ref="M152">_xlfn.SWITCH(H152,
"Emirati","إماراتي",
"Non-Emirati","غير إماراتي",
"")</f>
        <v>إماراتي</v>
      </c>
    </row>
    <row r="153" spans="4:13" x14ac:dyDescent="0.25">
      <c r="D153">
        <v>630</v>
      </c>
      <c r="E153">
        <v>679</v>
      </c>
      <c r="F153">
        <v>693</v>
      </c>
      <c r="G153" t="s">
        <v>147</v>
      </c>
      <c r="H153" t="s">
        <v>163</v>
      </c>
      <c r="I153" t="str" cm="1">
        <f t="array" ref="I153">_xlfn.SWITCH(A153,
"Male","ذكور",
"Female","إناث",
"Unreported","غير مُبلّغ",
"Co-Education","تعليم مختلط",
"Non Co-Education","تعليم غير مختلط",
"Undefined","غير محدد",
"")</f>
        <v/>
      </c>
      <c r="J153" t="str" cm="1">
        <f t="array" ref="J153">_xlfn.SWITCH(B153,
"Autism","التوحد",
"Visual Disability","إعاقة بصرية",
"Multi - Disability","إعاقات متعددة",
"Developmental Delay","تأخر نمائي",
"Neurodevelopmental Disorder (Adhd)","اضطراب نمو عصبي (اضطراب فرط الحركة وتشتت الانتباه)",
"Hearing Disability","إعاقة سمعية",
"Communication Disorder","اضطراب تواصل",
"Intellectual - Others","إعاقة ذهنية - أخرى",
"Physical Disability","إعاقة جسدية",
"Intellectual - Down Syndrome","إعاقة ذهنية - متلازمة داون",
"Learning Difficulties","صعوبات تعلم",
"Intellectual","إعاقة ذهنية",
"")</f>
        <v/>
      </c>
      <c r="K153" t="str" cm="1">
        <f t="array" ref="K153">_xlfn.SWITCH(C153,
"0 To 5 Years","من 0 إلى 5 سنوات",
"6 To 10 Years","من 6 إلى 10 سنوات",
"11 To 15 Years","من 11 إلى 15 سنة",
"16 To 20 Years","من 16 إلى 20 سنة",
"21 Years And Above","21 سنة وما فوق",
"")</f>
        <v/>
      </c>
      <c r="L153" t="str" cm="1">
        <f t="array" ref="L153">_xlfn.SWITCH(G153,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3" t="str" cm="1">
        <f t="array" ref="M153">_xlfn.SWITCH(H153,
"Emirati","إماراتي",
"Non-Emirati","غير إماراتي",
"")</f>
        <v>غير إماراتي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C4BC-D6DC-4AE6-9A7F-57FA5FA4A294}">
  <dimension ref="A1:H33"/>
  <sheetViews>
    <sheetView workbookViewId="0">
      <selection activeCell="F2" sqref="F2"/>
    </sheetView>
  </sheetViews>
  <sheetFormatPr defaultRowHeight="15" x14ac:dyDescent="0.25"/>
  <cols>
    <col min="1" max="1" width="18.85546875" bestFit="1" customWidth="1"/>
    <col min="2" max="2" width="11.140625" bestFit="1" customWidth="1"/>
    <col min="3" max="3" width="8" bestFit="1" customWidth="1"/>
    <col min="4" max="4" width="15" bestFit="1" customWidth="1"/>
    <col min="5" max="5" width="15.140625" bestFit="1" customWidth="1"/>
    <col min="6" max="6" width="14" bestFit="1" customWidth="1"/>
    <col min="7" max="7" width="14.42578125" bestFit="1" customWidth="1"/>
    <col min="8" max="8" width="18.5703125" bestFit="1" customWidth="1"/>
  </cols>
  <sheetData>
    <row r="1" spans="1:8" x14ac:dyDescent="0.25">
      <c r="A1" t="s">
        <v>152</v>
      </c>
      <c r="B1" t="s">
        <v>0</v>
      </c>
      <c r="C1" t="s">
        <v>158</v>
      </c>
      <c r="D1" t="s">
        <v>159</v>
      </c>
      <c r="E1" t="s">
        <v>160</v>
      </c>
      <c r="F1" t="s">
        <v>171</v>
      </c>
      <c r="G1" t="s">
        <v>165</v>
      </c>
      <c r="H1" t="s">
        <v>169</v>
      </c>
    </row>
    <row r="2" spans="1:8" x14ac:dyDescent="0.25">
      <c r="A2" t="s">
        <v>157</v>
      </c>
      <c r="B2" t="s">
        <v>26</v>
      </c>
      <c r="C2">
        <v>2022</v>
      </c>
      <c r="D2">
        <v>844</v>
      </c>
      <c r="F2" t="str" cm="1">
        <f t="array" ref="F2">_xlfn.SWITCH(A2,
"Local Government","الحكومة المحلية",
"Federal Government","الحكومة الاتحادية",
"Private Sector","القطاع الخاص",
"Semi-Government","شبه حكومي",
"")</f>
        <v>الحكومة المحلية</v>
      </c>
      <c r="G2" t="str" cm="1">
        <f t="array" ref="G2">_xlfn.SWITCH(B2,
"Male","ذكور",
"Female","إناث",
"Unreported","غير مُبلّغ",
"Co-Education","تعليم مختلط",
"Non Co-Education","تعليم غير مختلط",
"Undefined","غير محدد",
"")</f>
        <v>إناث</v>
      </c>
      <c r="H2" t="str" cm="1">
        <f t="array" ref="H2">_xlfn.SWITCH(E2,
"Emirati","إماراتي",
"Non-Emirati","غير إماراتي",
"")</f>
        <v/>
      </c>
    </row>
    <row r="3" spans="1:8" x14ac:dyDescent="0.25">
      <c r="A3" t="s">
        <v>157</v>
      </c>
      <c r="B3" t="s">
        <v>26</v>
      </c>
      <c r="C3">
        <v>2023</v>
      </c>
      <c r="D3">
        <v>973</v>
      </c>
      <c r="F3" t="str" cm="1">
        <f t="array" ref="F3">_xlfn.SWITCH(A3,
"Local Government","الحكومة المحلية",
"Federal Government","الحكومة الاتحادية",
"Private Sector","القطاع الخاص",
"Semi-Government","شبه حكومي",
"")</f>
        <v>الحكومة المحلية</v>
      </c>
      <c r="G3" t="str" cm="1">
        <f t="array" ref="G3">_xlfn.SWITCH(B3,
"Male","ذكور",
"Female","إناث",
"Unreported","غير مُبلّغ",
"Co-Education","تعليم مختلط",
"Non Co-Education","تعليم غير مختلط",
"Undefined","غير محدد",
"")</f>
        <v>إناث</v>
      </c>
      <c r="H3" t="str" cm="1">
        <f t="array" ref="H3">_xlfn.SWITCH(E3,
"Emirati","إماراتي",
"Non-Emirati","غير إماراتي",
"")</f>
        <v/>
      </c>
    </row>
    <row r="4" spans="1:8" x14ac:dyDescent="0.25">
      <c r="A4" t="s">
        <v>153</v>
      </c>
      <c r="B4" t="s">
        <v>26</v>
      </c>
      <c r="C4">
        <v>2022</v>
      </c>
      <c r="D4">
        <v>228</v>
      </c>
      <c r="F4" t="str" cm="1">
        <f t="array" ref="F4">_xlfn.SWITCH(A4,
"Local Government","الحكومة المحلية",
"Federal Government","الحكومة الاتحادية",
"Private Sector","القطاع الخاص",
"Semi-Government","شبه حكومي",
"")</f>
        <v>الحكومة الاتحادية</v>
      </c>
      <c r="G4" t="str" cm="1">
        <f t="array" ref="G4">_xlfn.SWITCH(B4,
"Male","ذكور",
"Female","إناث",
"Unreported","غير مُبلّغ",
"Co-Education","تعليم مختلط",
"Non Co-Education","تعليم غير مختلط",
"Undefined","غير محدد",
"")</f>
        <v>إناث</v>
      </c>
      <c r="H4" t="str" cm="1">
        <f t="array" ref="H4">_xlfn.SWITCH(E4,
"Emirati","إماراتي",
"Non-Emirati","غير إماراتي",
"")</f>
        <v/>
      </c>
    </row>
    <row r="5" spans="1:8" x14ac:dyDescent="0.25">
      <c r="A5" t="s">
        <v>153</v>
      </c>
      <c r="B5" t="s">
        <v>26</v>
      </c>
      <c r="C5">
        <v>2023</v>
      </c>
      <c r="D5">
        <v>221</v>
      </c>
      <c r="F5" t="str" cm="1">
        <f t="array" ref="F5">_xlfn.SWITCH(A5,
"Local Government","الحكومة المحلية",
"Federal Government","الحكومة الاتحادية",
"Private Sector","القطاع الخاص",
"Semi-Government","شبه حكومي",
"")</f>
        <v>الحكومة الاتحادية</v>
      </c>
      <c r="G5" t="str" cm="1">
        <f t="array" ref="G5">_xlfn.SWITCH(B5,
"Male","ذكور",
"Female","إناث",
"Unreported","غير مُبلّغ",
"Co-Education","تعليم مختلط",
"Non Co-Education","تعليم غير مختلط",
"Undefined","غير محدد",
"")</f>
        <v>إناث</v>
      </c>
      <c r="H5" t="str" cm="1">
        <f t="array" ref="H5">_xlfn.SWITCH(E5,
"Emirati","إماراتي",
"Non-Emirati","غير إماراتي",
"")</f>
        <v/>
      </c>
    </row>
    <row r="6" spans="1:8" x14ac:dyDescent="0.25">
      <c r="A6" t="s">
        <v>161</v>
      </c>
      <c r="B6" t="s">
        <v>26</v>
      </c>
      <c r="C6">
        <v>2022</v>
      </c>
      <c r="D6">
        <v>486</v>
      </c>
      <c r="F6" t="str" cm="1">
        <f t="array" ref="F6">_xlfn.SWITCH(A6,
"Local Government","الحكومة المحلية",
"Federal Government","الحكومة الاتحادية",
"Private Sector","القطاع الخاص",
"Semi-Government","شبه حكومي",
"")</f>
        <v>القطاع الخاص</v>
      </c>
      <c r="G6" t="str" cm="1">
        <f t="array" ref="G6">_xlfn.SWITCH(B6,
"Male","ذكور",
"Female","إناث",
"Unreported","غير مُبلّغ",
"Co-Education","تعليم مختلط",
"Non Co-Education","تعليم غير مختلط",
"Undefined","غير محدد",
"")</f>
        <v>إناث</v>
      </c>
      <c r="H6" t="str" cm="1">
        <f t="array" ref="H6">_xlfn.SWITCH(E6,
"Emirati","إماراتي",
"Non-Emirati","غير إماراتي",
"")</f>
        <v/>
      </c>
    </row>
    <row r="7" spans="1:8" x14ac:dyDescent="0.25">
      <c r="A7" t="s">
        <v>161</v>
      </c>
      <c r="B7" t="s">
        <v>26</v>
      </c>
      <c r="C7">
        <v>2023</v>
      </c>
      <c r="D7">
        <v>557</v>
      </c>
      <c r="F7" t="str" cm="1">
        <f t="array" ref="F7">_xlfn.SWITCH(A7,
"Local Government","الحكومة المحلية",
"Federal Government","الحكومة الاتحادية",
"Private Sector","القطاع الخاص",
"Semi-Government","شبه حكومي",
"")</f>
        <v>القطاع الخاص</v>
      </c>
      <c r="G7" t="str" cm="1">
        <f t="array" ref="G7">_xlfn.SWITCH(B7,
"Male","ذكور",
"Female","إناث",
"Unreported","غير مُبلّغ",
"Co-Education","تعليم مختلط",
"Non Co-Education","تعليم غير مختلط",
"Undefined","غير محدد",
"")</f>
        <v>إناث</v>
      </c>
      <c r="H7" t="str" cm="1">
        <f t="array" ref="H7">_xlfn.SWITCH(E7,
"Emirati","إماراتي",
"Non-Emirati","غير إماراتي",
"")</f>
        <v/>
      </c>
    </row>
    <row r="8" spans="1:8" x14ac:dyDescent="0.25">
      <c r="A8" t="s">
        <v>156</v>
      </c>
      <c r="B8" t="s">
        <v>26</v>
      </c>
      <c r="C8">
        <v>2022</v>
      </c>
      <c r="D8">
        <v>505</v>
      </c>
      <c r="F8" t="str" cm="1">
        <f t="array" ref="F8">_xlfn.SWITCH(A8,
"Local Government","الحكومة المحلية",
"Federal Government","الحكومة الاتحادية",
"Private Sector","القطاع الخاص",
"Semi-Government","شبه حكومي",
"")</f>
        <v>شبه حكومي</v>
      </c>
      <c r="G8" t="str" cm="1">
        <f t="array" ref="G8">_xlfn.SWITCH(B8,
"Male","ذكور",
"Female","إناث",
"Unreported","غير مُبلّغ",
"Co-Education","تعليم مختلط",
"Non Co-Education","تعليم غير مختلط",
"Undefined","غير محدد",
"")</f>
        <v>إناث</v>
      </c>
      <c r="H8" t="str" cm="1">
        <f t="array" ref="H8">_xlfn.SWITCH(E8,
"Emirati","إماراتي",
"Non-Emirati","غير إماراتي",
"")</f>
        <v/>
      </c>
    </row>
    <row r="9" spans="1:8" x14ac:dyDescent="0.25">
      <c r="A9" t="s">
        <v>156</v>
      </c>
      <c r="B9" t="s">
        <v>26</v>
      </c>
      <c r="C9">
        <v>2023</v>
      </c>
      <c r="D9">
        <v>806</v>
      </c>
      <c r="F9" t="str" cm="1">
        <f t="array" ref="F9">_xlfn.SWITCH(A9,
"Local Government","الحكومة المحلية",
"Federal Government","الحكومة الاتحادية",
"Private Sector","القطاع الخاص",
"Semi-Government","شبه حكومي",
"")</f>
        <v>شبه حكومي</v>
      </c>
      <c r="G9" t="str" cm="1">
        <f t="array" ref="G9">_xlfn.SWITCH(B9,
"Male","ذكور",
"Female","إناث",
"Unreported","غير مُبلّغ",
"Co-Education","تعليم مختلط",
"Non Co-Education","تعليم غير مختلط",
"Undefined","غير محدد",
"")</f>
        <v>إناث</v>
      </c>
      <c r="H9" t="str" cm="1">
        <f t="array" ref="H9">_xlfn.SWITCH(E9,
"Emirati","إماراتي",
"Non-Emirati","غير إماراتي",
"")</f>
        <v/>
      </c>
    </row>
    <row r="10" spans="1:8" x14ac:dyDescent="0.25">
      <c r="A10" t="s">
        <v>156</v>
      </c>
      <c r="B10" t="s">
        <v>6</v>
      </c>
      <c r="C10">
        <v>2022</v>
      </c>
      <c r="D10">
        <v>182</v>
      </c>
      <c r="F10" t="str" cm="1">
        <f t="array" ref="F10">_xlfn.SWITCH(A10,
"Local Government","الحكومة المحلية",
"Federal Government","الحكومة الاتحادية",
"Private Sector","القطاع الخاص",
"Semi-Government","شبه حكومي",
"")</f>
        <v>شبه حكومي</v>
      </c>
      <c r="G10" t="str" cm="1">
        <f t="array" ref="G10">_xlfn.SWITCH(B10,
"Male","ذكور",
"Female","إناث",
"Unreported","غير مُبلّغ",
"Co-Education","تعليم مختلط",
"Non Co-Education","تعليم غير مختلط",
"Undefined","غير محدد",
"")</f>
        <v>ذكور</v>
      </c>
      <c r="H10" t="str" cm="1">
        <f t="array" ref="H10">_xlfn.SWITCH(E10,
"Emirati","إماراتي",
"Non-Emirati","غير إماراتي",
"")</f>
        <v/>
      </c>
    </row>
    <row r="11" spans="1:8" x14ac:dyDescent="0.25">
      <c r="A11" t="s">
        <v>156</v>
      </c>
      <c r="B11" t="s">
        <v>6</v>
      </c>
      <c r="C11">
        <v>2023</v>
      </c>
      <c r="D11">
        <v>299</v>
      </c>
      <c r="F11" t="str" cm="1">
        <f t="array" ref="F11">_xlfn.SWITCH(A11,
"Local Government","الحكومة المحلية",
"Federal Government","الحكومة الاتحادية",
"Private Sector","القطاع الخاص",
"Semi-Government","شبه حكومي",
"")</f>
        <v>شبه حكومي</v>
      </c>
      <c r="G11" t="str" cm="1">
        <f t="array" ref="G11">_xlfn.SWITCH(B11,
"Male","ذكور",
"Female","إناث",
"Unreported","غير مُبلّغ",
"Co-Education","تعليم مختلط",
"Non Co-Education","تعليم غير مختلط",
"Undefined","غير محدد",
"")</f>
        <v>ذكور</v>
      </c>
      <c r="H11" t="str" cm="1">
        <f t="array" ref="H11">_xlfn.SWITCH(E11,
"Emirati","إماراتي",
"Non-Emirati","غير إماراتي",
"")</f>
        <v/>
      </c>
    </row>
    <row r="12" spans="1:8" x14ac:dyDescent="0.25">
      <c r="A12" t="s">
        <v>153</v>
      </c>
      <c r="B12" t="s">
        <v>6</v>
      </c>
      <c r="C12">
        <v>2022</v>
      </c>
      <c r="D12">
        <v>48</v>
      </c>
      <c r="F12" t="str" cm="1">
        <f t="array" ref="F12">_xlfn.SWITCH(A12,
"Local Government","الحكومة المحلية",
"Federal Government","الحكومة الاتحادية",
"Private Sector","القطاع الخاص",
"Semi-Government","شبه حكومي",
"")</f>
        <v>الحكومة الاتحادية</v>
      </c>
      <c r="G12" t="str" cm="1">
        <f t="array" ref="G12">_xlfn.SWITCH(B12,
"Male","ذكور",
"Female","إناث",
"Unreported","غير مُبلّغ",
"Co-Education","تعليم مختلط",
"Non Co-Education","تعليم غير مختلط",
"Undefined","غير محدد",
"")</f>
        <v>ذكور</v>
      </c>
      <c r="H12" t="str" cm="1">
        <f t="array" ref="H12">_xlfn.SWITCH(E12,
"Emirati","إماراتي",
"Non-Emirati","غير إماراتي",
"")</f>
        <v/>
      </c>
    </row>
    <row r="13" spans="1:8" x14ac:dyDescent="0.25">
      <c r="A13" t="s">
        <v>153</v>
      </c>
      <c r="B13" t="s">
        <v>6</v>
      </c>
      <c r="C13">
        <v>2023</v>
      </c>
      <c r="D13">
        <v>49</v>
      </c>
      <c r="F13" t="str" cm="1">
        <f t="array" ref="F13">_xlfn.SWITCH(A13,
"Local Government","الحكومة المحلية",
"Federal Government","الحكومة الاتحادية",
"Private Sector","القطاع الخاص",
"Semi-Government","شبه حكومي",
"")</f>
        <v>الحكومة الاتحادية</v>
      </c>
      <c r="G13" t="str" cm="1">
        <f t="array" ref="G13">_xlfn.SWITCH(B13,
"Male","ذكور",
"Female","إناث",
"Unreported","غير مُبلّغ",
"Co-Education","تعليم مختلط",
"Non Co-Education","تعليم غير مختلط",
"Undefined","غير محدد",
"")</f>
        <v>ذكور</v>
      </c>
      <c r="H13" t="str" cm="1">
        <f t="array" ref="H13">_xlfn.SWITCH(E13,
"Emirati","إماراتي",
"Non-Emirati","غير إماراتي",
"")</f>
        <v/>
      </c>
    </row>
    <row r="14" spans="1:8" x14ac:dyDescent="0.25">
      <c r="A14" t="s">
        <v>157</v>
      </c>
      <c r="B14" t="s">
        <v>6</v>
      </c>
      <c r="C14">
        <v>2022</v>
      </c>
      <c r="D14">
        <v>321</v>
      </c>
      <c r="F14" t="str" cm="1">
        <f t="array" ref="F14">_xlfn.SWITCH(A14,
"Local Government","الحكومة المحلية",
"Federal Government","الحكومة الاتحادية",
"Private Sector","القطاع الخاص",
"Semi-Government","شبه حكومي",
"")</f>
        <v>الحكومة المحلية</v>
      </c>
      <c r="G14" t="str" cm="1">
        <f t="array" ref="G14">_xlfn.SWITCH(B14,
"Male","ذكور",
"Female","إناث",
"Unreported","غير مُبلّغ",
"Co-Education","تعليم مختلط",
"Non Co-Education","تعليم غير مختلط",
"Undefined","غير محدد",
"")</f>
        <v>ذكور</v>
      </c>
      <c r="H14" t="str" cm="1">
        <f t="array" ref="H14">_xlfn.SWITCH(E14,
"Emirati","إماراتي",
"Non-Emirati","غير إماراتي",
"")</f>
        <v/>
      </c>
    </row>
    <row r="15" spans="1:8" x14ac:dyDescent="0.25">
      <c r="A15" t="s">
        <v>157</v>
      </c>
      <c r="B15" t="s">
        <v>6</v>
      </c>
      <c r="C15">
        <v>2023</v>
      </c>
      <c r="D15">
        <v>393</v>
      </c>
      <c r="F15" t="str" cm="1">
        <f t="array" ref="F15">_xlfn.SWITCH(A15,
"Local Government","الحكومة المحلية",
"Federal Government","الحكومة الاتحادية",
"Private Sector","القطاع الخاص",
"Semi-Government","شبه حكومي",
"")</f>
        <v>الحكومة المحلية</v>
      </c>
      <c r="G15" t="str" cm="1">
        <f t="array" ref="G15">_xlfn.SWITCH(B15,
"Male","ذكور",
"Female","إناث",
"Unreported","غير مُبلّغ",
"Co-Education","تعليم مختلط",
"Non Co-Education","تعليم غير مختلط",
"Undefined","غير محدد",
"")</f>
        <v>ذكور</v>
      </c>
      <c r="H15" t="str" cm="1">
        <f t="array" ref="H15">_xlfn.SWITCH(E15,
"Emirati","إماراتي",
"Non-Emirati","غير إماراتي",
"")</f>
        <v/>
      </c>
    </row>
    <row r="16" spans="1:8" x14ac:dyDescent="0.25">
      <c r="A16" t="s">
        <v>161</v>
      </c>
      <c r="B16" t="s">
        <v>6</v>
      </c>
      <c r="C16">
        <v>2022</v>
      </c>
      <c r="D16">
        <v>335</v>
      </c>
      <c r="F16" t="str" cm="1">
        <f t="array" ref="F16">_xlfn.SWITCH(A16,
"Local Government","الحكومة المحلية",
"Federal Government","الحكومة الاتحادية",
"Private Sector","القطاع الخاص",
"Semi-Government","شبه حكومي",
"")</f>
        <v>القطاع الخاص</v>
      </c>
      <c r="G16" t="str" cm="1">
        <f t="array" ref="G16">_xlfn.SWITCH(B16,
"Male","ذكور",
"Female","إناث",
"Unreported","غير مُبلّغ",
"Co-Education","تعليم مختلط",
"Non Co-Education","تعليم غير مختلط",
"Undefined","غير محدد",
"")</f>
        <v>ذكور</v>
      </c>
      <c r="H16" t="str" cm="1">
        <f t="array" ref="H16">_xlfn.SWITCH(E16,
"Emirati","إماراتي",
"Non-Emirati","غير إماراتي",
"")</f>
        <v/>
      </c>
    </row>
    <row r="17" spans="1:8" x14ac:dyDescent="0.25">
      <c r="A17" t="s">
        <v>161</v>
      </c>
      <c r="B17" t="s">
        <v>6</v>
      </c>
      <c r="C17">
        <v>2023</v>
      </c>
      <c r="D17">
        <v>382</v>
      </c>
      <c r="F17" t="str" cm="1">
        <f t="array" ref="F17">_xlfn.SWITCH(A17,
"Local Government","الحكومة المحلية",
"Federal Government","الحكومة الاتحادية",
"Private Sector","القطاع الخاص",
"Semi-Government","شبه حكومي",
"")</f>
        <v>القطاع الخاص</v>
      </c>
      <c r="G17" t="str" cm="1">
        <f t="array" ref="G17">_xlfn.SWITCH(B17,
"Male","ذكور",
"Female","إناث",
"Unreported","غير مُبلّغ",
"Co-Education","تعليم مختلط",
"Non Co-Education","تعليم غير مختلط",
"Undefined","غير محدد",
"")</f>
        <v>ذكور</v>
      </c>
      <c r="H17" t="str" cm="1">
        <f t="array" ref="H17">_xlfn.SWITCH(E17,
"Emirati","إماراتي",
"Non-Emirati","غير إماراتي",
"")</f>
        <v/>
      </c>
    </row>
    <row r="18" spans="1:8" x14ac:dyDescent="0.25">
      <c r="A18" t="s">
        <v>156</v>
      </c>
      <c r="C18">
        <v>2022</v>
      </c>
      <c r="D18">
        <v>48</v>
      </c>
      <c r="E18" t="s">
        <v>162</v>
      </c>
      <c r="F18" t="str" cm="1">
        <f t="array" ref="F18">_xlfn.SWITCH(A18,
"Local Government","الحكومة المحلية",
"Federal Government","الحكومة الاتحادية",
"Private Sector","القطاع الخاص",
"Semi-Government","شبه حكومي",
"")</f>
        <v>شبه حكومي</v>
      </c>
      <c r="G18" t="str" cm="1">
        <f t="array" ref="G18">_xlfn.SWITCH(B18,
"Male","ذكور",
"Female","إناث",
"Unreported","غير مُبلّغ",
"Co-Education","تعليم مختلط",
"Non Co-Education","تعليم غير مختلط",
"Undefined","غير محدد",
"")</f>
        <v/>
      </c>
      <c r="H18" t="str" cm="1">
        <f t="array" ref="H18">_xlfn.SWITCH(E18,
"Emirati","إماراتي",
"Non-Emirati","غير إماراتي",
"")</f>
        <v>إماراتي</v>
      </c>
    </row>
    <row r="19" spans="1:8" x14ac:dyDescent="0.25">
      <c r="A19" t="s">
        <v>156</v>
      </c>
      <c r="C19">
        <v>2023</v>
      </c>
      <c r="D19">
        <v>101</v>
      </c>
      <c r="E19" t="s">
        <v>162</v>
      </c>
      <c r="F19" t="str" cm="1">
        <f t="array" ref="F19">_xlfn.SWITCH(A19,
"Local Government","الحكومة المحلية",
"Federal Government","الحكومة الاتحادية",
"Private Sector","القطاع الخاص",
"Semi-Government","شبه حكومي",
"")</f>
        <v>شبه حكومي</v>
      </c>
      <c r="G19" t="str" cm="1">
        <f t="array" ref="G19">_xlfn.SWITCH(B19,
"Male","ذكور",
"Female","إناث",
"Unreported","غير مُبلّغ",
"Co-Education","تعليم مختلط",
"Non Co-Education","تعليم غير مختلط",
"Undefined","غير محدد",
"")</f>
        <v/>
      </c>
      <c r="H19" t="str" cm="1">
        <f t="array" ref="H19">_xlfn.SWITCH(E19,
"Emirati","إماراتي",
"Non-Emirati","غير إماراتي",
"")</f>
        <v>إماراتي</v>
      </c>
    </row>
    <row r="20" spans="1:8" x14ac:dyDescent="0.25">
      <c r="A20" t="s">
        <v>153</v>
      </c>
      <c r="C20">
        <v>2022</v>
      </c>
      <c r="D20">
        <v>89</v>
      </c>
      <c r="E20" t="s">
        <v>163</v>
      </c>
      <c r="F20" t="str" cm="1">
        <f t="array" ref="F20">_xlfn.SWITCH(A20,
"Local Government","الحكومة المحلية",
"Federal Government","الحكومة الاتحادية",
"Private Sector","القطاع الخاص",
"Semi-Government","شبه حكومي",
"")</f>
        <v>الحكومة الاتحادية</v>
      </c>
      <c r="G20" t="str" cm="1">
        <f t="array" ref="G20">_xlfn.SWITCH(B20,
"Male","ذكور",
"Female","إناث",
"Unreported","غير مُبلّغ",
"Co-Education","تعليم مختلط",
"Non Co-Education","تعليم غير مختلط",
"Undefined","غير محدد",
"")</f>
        <v/>
      </c>
      <c r="H20" t="str" cm="1">
        <f t="array" ref="H20">_xlfn.SWITCH(E20,
"Emirati","إماراتي",
"Non-Emirati","غير إماراتي",
"")</f>
        <v>غير إماراتي</v>
      </c>
    </row>
    <row r="21" spans="1:8" x14ac:dyDescent="0.25">
      <c r="A21" t="s">
        <v>153</v>
      </c>
      <c r="C21">
        <v>2023</v>
      </c>
      <c r="D21">
        <v>96</v>
      </c>
      <c r="E21" t="s">
        <v>163</v>
      </c>
      <c r="F21" t="str" cm="1">
        <f t="array" ref="F21">_xlfn.SWITCH(A21,
"Local Government","الحكومة المحلية",
"Federal Government","الحكومة الاتحادية",
"Private Sector","القطاع الخاص",
"Semi-Government","شبه حكومي",
"")</f>
        <v>الحكومة الاتحادية</v>
      </c>
      <c r="G21" t="str" cm="1">
        <f t="array" ref="G21">_xlfn.SWITCH(B21,
"Male","ذكور",
"Female","إناث",
"Unreported","غير مُبلّغ",
"Co-Education","تعليم مختلط",
"Non Co-Education","تعليم غير مختلط",
"Undefined","غير محدد",
"")</f>
        <v/>
      </c>
      <c r="H21" t="str" cm="1">
        <f t="array" ref="H21">_xlfn.SWITCH(E21,
"Emirati","إماراتي",
"Non-Emirati","غير إماراتي",
"")</f>
        <v>غير إماراتي</v>
      </c>
    </row>
    <row r="22" spans="1:8" x14ac:dyDescent="0.25">
      <c r="A22" t="s">
        <v>157</v>
      </c>
      <c r="C22">
        <v>2022</v>
      </c>
      <c r="D22">
        <v>657</v>
      </c>
      <c r="E22" t="s">
        <v>163</v>
      </c>
      <c r="F22" t="str" cm="1">
        <f t="array" ref="F22">_xlfn.SWITCH(A22,
"Local Government","الحكومة المحلية",
"Federal Government","الحكومة الاتحادية",
"Private Sector","القطاع الخاص",
"Semi-Government","شبه حكومي",
"")</f>
        <v>الحكومة المحلية</v>
      </c>
      <c r="G22" t="str" cm="1">
        <f t="array" ref="G22">_xlfn.SWITCH(B22,
"Male","ذكور",
"Female","إناث",
"Unreported","غير مُبلّغ",
"Co-Education","تعليم مختلط",
"Non Co-Education","تعليم غير مختلط",
"Undefined","غير محدد",
"")</f>
        <v/>
      </c>
      <c r="H22" t="str" cm="1">
        <f t="array" ref="H22">_xlfn.SWITCH(E22,
"Emirati","إماراتي",
"Non-Emirati","غير إماراتي",
"")</f>
        <v>غير إماراتي</v>
      </c>
    </row>
    <row r="23" spans="1:8" x14ac:dyDescent="0.25">
      <c r="A23" t="s">
        <v>157</v>
      </c>
      <c r="C23">
        <v>2023</v>
      </c>
      <c r="D23">
        <v>751</v>
      </c>
      <c r="E23" t="s">
        <v>163</v>
      </c>
      <c r="F23" t="str" cm="1">
        <f t="array" ref="F23">_xlfn.SWITCH(A23,
"Local Government","الحكومة المحلية",
"Federal Government","الحكومة الاتحادية",
"Private Sector","القطاع الخاص",
"Semi-Government","شبه حكومي",
"")</f>
        <v>الحكومة المحلية</v>
      </c>
      <c r="G23" t="str" cm="1">
        <f t="array" ref="G23">_xlfn.SWITCH(B23,
"Male","ذكور",
"Female","إناث",
"Unreported","غير مُبلّغ",
"Co-Education","تعليم مختلط",
"Non Co-Education","تعليم غير مختلط",
"Undefined","غير محدد",
"")</f>
        <v/>
      </c>
      <c r="H23" t="str" cm="1">
        <f t="array" ref="H23">_xlfn.SWITCH(E23,
"Emirati","إماراتي",
"Non-Emirati","غير إماراتي",
"")</f>
        <v>غير إماراتي</v>
      </c>
    </row>
    <row r="24" spans="1:8" x14ac:dyDescent="0.25">
      <c r="A24" t="s">
        <v>161</v>
      </c>
      <c r="C24">
        <v>2022</v>
      </c>
      <c r="D24">
        <v>4</v>
      </c>
      <c r="E24" t="s">
        <v>162</v>
      </c>
      <c r="F24" t="str" cm="1">
        <f t="array" ref="F24">_xlfn.SWITCH(A24,
"Local Government","الحكومة المحلية",
"Federal Government","الحكومة الاتحادية",
"Private Sector","القطاع الخاص",
"Semi-Government","شبه حكومي",
"")</f>
        <v>القطاع الخاص</v>
      </c>
      <c r="G24" t="str" cm="1">
        <f t="array" ref="G24">_xlfn.SWITCH(B24,
"Male","ذكور",
"Female","إناث",
"Unreported","غير مُبلّغ",
"Co-Education","تعليم مختلط",
"Non Co-Education","تعليم غير مختلط",
"Undefined","غير محدد",
"")</f>
        <v/>
      </c>
      <c r="H24" t="str" cm="1">
        <f t="array" ref="H24">_xlfn.SWITCH(E24,
"Emirati","إماراتي",
"Non-Emirati","غير إماراتي",
"")</f>
        <v>إماراتي</v>
      </c>
    </row>
    <row r="25" spans="1:8" x14ac:dyDescent="0.25">
      <c r="A25" t="s">
        <v>161</v>
      </c>
      <c r="C25">
        <v>2023</v>
      </c>
      <c r="D25">
        <v>12</v>
      </c>
      <c r="E25" t="s">
        <v>162</v>
      </c>
      <c r="F25" t="str" cm="1">
        <f t="array" ref="F25">_xlfn.SWITCH(A25,
"Local Government","الحكومة المحلية",
"Federal Government","الحكومة الاتحادية",
"Private Sector","القطاع الخاص",
"Semi-Government","شبه حكومي",
"")</f>
        <v>القطاع الخاص</v>
      </c>
      <c r="G25" t="str" cm="1">
        <f t="array" ref="G25">_xlfn.SWITCH(B25,
"Male","ذكور",
"Female","إناث",
"Unreported","غير مُبلّغ",
"Co-Education","تعليم مختلط",
"Non Co-Education","تعليم غير مختلط",
"Undefined","غير محدد",
"")</f>
        <v/>
      </c>
      <c r="H25" t="str" cm="1">
        <f t="array" ref="H25">_xlfn.SWITCH(E25,
"Emirati","إماراتي",
"Non-Emirati","غير إماراتي",
"")</f>
        <v>إماراتي</v>
      </c>
    </row>
    <row r="26" spans="1:8" x14ac:dyDescent="0.25">
      <c r="A26" t="s">
        <v>161</v>
      </c>
      <c r="C26">
        <v>2022</v>
      </c>
      <c r="D26">
        <v>817</v>
      </c>
      <c r="E26" t="s">
        <v>163</v>
      </c>
      <c r="F26" t="str" cm="1">
        <f t="array" ref="F26">_xlfn.SWITCH(A26,
"Local Government","الحكومة المحلية",
"Federal Government","الحكومة الاتحادية",
"Private Sector","القطاع الخاص",
"Semi-Government","شبه حكومي",
"")</f>
        <v>القطاع الخاص</v>
      </c>
      <c r="G26" t="str" cm="1">
        <f t="array" ref="G26">_xlfn.SWITCH(B26,
"Male","ذكور",
"Female","إناث",
"Unreported","غير مُبلّغ",
"Co-Education","تعليم مختلط",
"Non Co-Education","تعليم غير مختلط",
"Undefined","غير محدد",
"")</f>
        <v/>
      </c>
      <c r="H26" t="str" cm="1">
        <f t="array" ref="H26">_xlfn.SWITCH(E26,
"Emirati","إماراتي",
"Non-Emirati","غير إماراتي",
"")</f>
        <v>غير إماراتي</v>
      </c>
    </row>
    <row r="27" spans="1:8" x14ac:dyDescent="0.25">
      <c r="A27" t="s">
        <v>161</v>
      </c>
      <c r="C27">
        <v>2023</v>
      </c>
      <c r="D27">
        <v>927</v>
      </c>
      <c r="E27" t="s">
        <v>163</v>
      </c>
      <c r="F27" t="str" cm="1">
        <f t="array" ref="F27">_xlfn.SWITCH(A27,
"Local Government","الحكومة المحلية",
"Federal Government","الحكومة الاتحادية",
"Private Sector","القطاع الخاص",
"Semi-Government","شبه حكومي",
"")</f>
        <v>القطاع الخاص</v>
      </c>
      <c r="G27" t="str" cm="1">
        <f t="array" ref="G27">_xlfn.SWITCH(B27,
"Male","ذكور",
"Female","إناث",
"Unreported","غير مُبلّغ",
"Co-Education","تعليم مختلط",
"Non Co-Education","تعليم غير مختلط",
"Undefined","غير محدد",
"")</f>
        <v/>
      </c>
      <c r="H27" t="str" cm="1">
        <f t="array" ref="H27">_xlfn.SWITCH(E27,
"Emirati","إماراتي",
"Non-Emirati","غير إماراتي",
"")</f>
        <v>غير إماراتي</v>
      </c>
    </row>
    <row r="28" spans="1:8" x14ac:dyDescent="0.25">
      <c r="A28" t="s">
        <v>157</v>
      </c>
      <c r="C28">
        <v>2022</v>
      </c>
      <c r="D28">
        <v>508</v>
      </c>
      <c r="E28" t="s">
        <v>162</v>
      </c>
      <c r="F28" t="str" cm="1">
        <f t="array" ref="F28">_xlfn.SWITCH(A28,
"Local Government","الحكومة المحلية",
"Federal Government","الحكومة الاتحادية",
"Private Sector","القطاع الخاص",
"Semi-Government","شبه حكومي",
"")</f>
        <v>الحكومة المحلية</v>
      </c>
      <c r="G28" t="str" cm="1">
        <f t="array" ref="G28">_xlfn.SWITCH(B28,
"Male","ذكور",
"Female","إناث",
"Unreported","غير مُبلّغ",
"Co-Education","تعليم مختلط",
"Non Co-Education","تعليم غير مختلط",
"Undefined","غير محدد",
"")</f>
        <v/>
      </c>
      <c r="H28" t="str" cm="1">
        <f t="array" ref="H28">_xlfn.SWITCH(E28,
"Emirati","إماراتي",
"Non-Emirati","غير إماراتي",
"")</f>
        <v>إماراتي</v>
      </c>
    </row>
    <row r="29" spans="1:8" x14ac:dyDescent="0.25">
      <c r="A29" t="s">
        <v>157</v>
      </c>
      <c r="C29">
        <v>2023</v>
      </c>
      <c r="D29">
        <v>615</v>
      </c>
      <c r="E29" t="s">
        <v>162</v>
      </c>
      <c r="F29" t="str" cm="1">
        <f t="array" ref="F29">_xlfn.SWITCH(A29,
"Local Government","الحكومة المحلية",
"Federal Government","الحكومة الاتحادية",
"Private Sector","القطاع الخاص",
"Semi-Government","شبه حكومي",
"")</f>
        <v>الحكومة المحلية</v>
      </c>
      <c r="G29" t="str" cm="1">
        <f t="array" ref="G29">_xlfn.SWITCH(B29,
"Male","ذكور",
"Female","إناث",
"Unreported","غير مُبلّغ",
"Co-Education","تعليم مختلط",
"Non Co-Education","تعليم غير مختلط",
"Undefined","غير محدد",
"")</f>
        <v/>
      </c>
      <c r="H29" t="str" cm="1">
        <f t="array" ref="H29">_xlfn.SWITCH(E29,
"Emirati","إماراتي",
"Non-Emirati","غير إماراتي",
"")</f>
        <v>إماراتي</v>
      </c>
    </row>
    <row r="30" spans="1:8" x14ac:dyDescent="0.25">
      <c r="A30" t="s">
        <v>156</v>
      </c>
      <c r="C30">
        <v>2022</v>
      </c>
      <c r="D30">
        <v>639</v>
      </c>
      <c r="E30" t="s">
        <v>163</v>
      </c>
      <c r="F30" t="str" cm="1">
        <f t="array" ref="F30">_xlfn.SWITCH(A30,
"Local Government","الحكومة المحلية",
"Federal Government","الحكومة الاتحادية",
"Private Sector","القطاع الخاص",
"Semi-Government","شبه حكومي",
"")</f>
        <v>شبه حكومي</v>
      </c>
      <c r="G30" t="str" cm="1">
        <f t="array" ref="G30">_xlfn.SWITCH(B30,
"Male","ذكور",
"Female","إناث",
"Unreported","غير مُبلّغ",
"Co-Education","تعليم مختلط",
"Non Co-Education","تعليم غير مختلط",
"Undefined","غير محدد",
"")</f>
        <v/>
      </c>
      <c r="H30" t="str" cm="1">
        <f t="array" ref="H30">_xlfn.SWITCH(E30,
"Emirati","إماراتي",
"Non-Emirati","غير إماراتي",
"")</f>
        <v>غير إماراتي</v>
      </c>
    </row>
    <row r="31" spans="1:8" x14ac:dyDescent="0.25">
      <c r="A31" t="s">
        <v>156</v>
      </c>
      <c r="C31">
        <v>2023</v>
      </c>
      <c r="D31">
        <v>1004</v>
      </c>
      <c r="E31" t="s">
        <v>163</v>
      </c>
      <c r="F31" t="str" cm="1">
        <f t="array" ref="F31">_xlfn.SWITCH(A31,
"Local Government","الحكومة المحلية",
"Federal Government","الحكومة الاتحادية",
"Private Sector","القطاع الخاص",
"Semi-Government","شبه حكومي",
"")</f>
        <v>شبه حكومي</v>
      </c>
      <c r="G31" t="str" cm="1">
        <f t="array" ref="G31">_xlfn.SWITCH(B31,
"Male","ذكور",
"Female","إناث",
"Unreported","غير مُبلّغ",
"Co-Education","تعليم مختلط",
"Non Co-Education","تعليم غير مختلط",
"Undefined","غير محدد",
"")</f>
        <v/>
      </c>
      <c r="H31" t="str" cm="1">
        <f t="array" ref="H31">_xlfn.SWITCH(E31,
"Emirati","إماراتي",
"Non-Emirati","غير إماراتي",
"")</f>
        <v>غير إماراتي</v>
      </c>
    </row>
    <row r="32" spans="1:8" x14ac:dyDescent="0.25">
      <c r="A32" t="s">
        <v>153</v>
      </c>
      <c r="C32">
        <v>2022</v>
      </c>
      <c r="D32">
        <v>187</v>
      </c>
      <c r="E32" t="s">
        <v>162</v>
      </c>
      <c r="F32" t="str" cm="1">
        <f t="array" ref="F32">_xlfn.SWITCH(A32,
"Local Government","الحكومة المحلية",
"Federal Government","الحكومة الاتحادية",
"Private Sector","القطاع الخاص",
"Semi-Government","شبه حكومي",
"")</f>
        <v>الحكومة الاتحادية</v>
      </c>
      <c r="G32" t="str" cm="1">
        <f t="array" ref="G32">_xlfn.SWITCH(B32,
"Male","ذكور",
"Female","إناث",
"Unreported","غير مُبلّغ",
"Co-Education","تعليم مختلط",
"Non Co-Education","تعليم غير مختلط",
"Undefined","غير محدد",
"")</f>
        <v/>
      </c>
      <c r="H32" t="str" cm="1">
        <f t="array" ref="H32">_xlfn.SWITCH(E32,
"Emirati","إماراتي",
"Non-Emirati","غير إماراتي",
"")</f>
        <v>إماراتي</v>
      </c>
    </row>
    <row r="33" spans="1:8" x14ac:dyDescent="0.25">
      <c r="A33" t="s">
        <v>153</v>
      </c>
      <c r="C33">
        <v>2023</v>
      </c>
      <c r="D33">
        <v>174</v>
      </c>
      <c r="E33" t="s">
        <v>162</v>
      </c>
      <c r="F33" t="str" cm="1">
        <f t="array" ref="F33">_xlfn.SWITCH(A33,
"Local Government","الحكومة المحلية",
"Federal Government","الحكومة الاتحادية",
"Private Sector","القطاع الخاص",
"Semi-Government","شبه حكومي",
"")</f>
        <v>الحكومة الاتحادية</v>
      </c>
      <c r="G33" t="str" cm="1">
        <f t="array" ref="G33">_xlfn.SWITCH(B33,
"Male","ذكور",
"Female","إناث",
"Unreported","غير مُبلّغ",
"Co-Education","تعليم مختلط",
"Non Co-Education","تعليم غير مختلط",
"Undefined","غير محدد",
"")</f>
        <v/>
      </c>
      <c r="H33" t="str" cm="1">
        <f t="array" ref="H33">_xlfn.SWITCH(E33,
"Emirati","إماراتي",
"Non-Emirati","غير إماراتي",
"")</f>
        <v>إماراتي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41EF-C702-454F-8A8A-C72E81C27A95}">
  <dimension ref="A1:G41"/>
  <sheetViews>
    <sheetView tabSelected="1" workbookViewId="0">
      <selection activeCell="B4" sqref="B4"/>
    </sheetView>
  </sheetViews>
  <sheetFormatPr defaultRowHeight="15" x14ac:dyDescent="0.25"/>
  <cols>
    <col min="1" max="1" width="26.28515625" bestFit="1" customWidth="1"/>
    <col min="2" max="2" width="15.28515625" bestFit="1" customWidth="1"/>
    <col min="3" max="5" width="7.28515625" bestFit="1" customWidth="1"/>
    <col min="6" max="6" width="16.85546875" bestFit="1" customWidth="1"/>
    <col min="7" max="7" width="13.85546875" bestFit="1" customWidth="1"/>
  </cols>
  <sheetData>
    <row r="1" spans="1:7" x14ac:dyDescent="0.25">
      <c r="A1" t="s">
        <v>152</v>
      </c>
      <c r="B1" t="s">
        <v>143</v>
      </c>
      <c r="C1" t="s">
        <v>3</v>
      </c>
      <c r="D1" t="s">
        <v>4</v>
      </c>
      <c r="E1" t="s">
        <v>5</v>
      </c>
      <c r="F1" t="s">
        <v>171</v>
      </c>
      <c r="G1" t="s">
        <v>168</v>
      </c>
    </row>
    <row r="2" spans="1:7" x14ac:dyDescent="0.25">
      <c r="A2" t="s">
        <v>153</v>
      </c>
      <c r="B2" t="s">
        <v>146</v>
      </c>
      <c r="C2">
        <v>2</v>
      </c>
      <c r="D2">
        <v>1</v>
      </c>
      <c r="E2">
        <v>2</v>
      </c>
      <c r="F2" t="str" cm="1">
        <f t="array" ref="F2">_xlfn.SWITCH(A2,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2" t="str" cm="1">
        <f t="array" ref="G2">_xlfn.SWITCH(B2,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</row>
    <row r="3" spans="1:7" x14ac:dyDescent="0.25">
      <c r="A3" t="s">
        <v>154</v>
      </c>
      <c r="B3" t="s">
        <v>150</v>
      </c>
      <c r="C3">
        <v>1</v>
      </c>
      <c r="D3">
        <v>2</v>
      </c>
      <c r="E3">
        <v>2</v>
      </c>
      <c r="F3" t="str" cm="1">
        <f t="array" ref="F3">_xlfn.SWITCH(A3,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3" t="str" cm="1">
        <f t="array" ref="G3">_xlfn.SWITCH(B3,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</row>
    <row r="4" spans="1:7" x14ac:dyDescent="0.25">
      <c r="A4" t="s">
        <v>155</v>
      </c>
      <c r="B4" t="s">
        <v>151</v>
      </c>
      <c r="C4">
        <v>0</v>
      </c>
      <c r="D4">
        <v>0</v>
      </c>
      <c r="E4">
        <v>0</v>
      </c>
      <c r="F4" t="str" cm="1">
        <f t="array" ref="F4">_xlfn.SWITCH(A4,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4" t="str" cm="1">
        <f t="array" ref="G4">_xlfn.SWITCH(B4,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</row>
    <row r="5" spans="1:7" x14ac:dyDescent="0.25">
      <c r="A5" t="s">
        <v>156</v>
      </c>
      <c r="B5" t="s">
        <v>147</v>
      </c>
      <c r="C5">
        <v>0</v>
      </c>
      <c r="D5">
        <v>0</v>
      </c>
      <c r="E5">
        <v>0</v>
      </c>
      <c r="F5" t="str" cm="1">
        <f t="array" ref="F5">_xlfn.SWITCH(A5,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5" t="str" cm="1">
        <f t="array" ref="G5">_xlfn.SWITCH(B5,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</row>
    <row r="6" spans="1:7" x14ac:dyDescent="0.25">
      <c r="A6" t="s">
        <v>155</v>
      </c>
      <c r="B6" t="s">
        <v>146</v>
      </c>
      <c r="C6">
        <v>2</v>
      </c>
      <c r="D6">
        <v>2</v>
      </c>
      <c r="E6">
        <v>1</v>
      </c>
      <c r="F6" t="str" cm="1">
        <f t="array" ref="F6">_xlfn.SWITCH(A6,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6" t="str" cm="1">
        <f t="array" ref="G6">_xlfn.SWITCH(B6,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</row>
    <row r="7" spans="1:7" x14ac:dyDescent="0.25">
      <c r="A7" t="s">
        <v>153</v>
      </c>
      <c r="B7" t="s">
        <v>149</v>
      </c>
      <c r="C7">
        <v>3</v>
      </c>
      <c r="D7">
        <v>3</v>
      </c>
      <c r="E7">
        <v>4</v>
      </c>
      <c r="F7" t="str" cm="1">
        <f t="array" ref="F7">_xlfn.SWITCH(A7,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7" t="str" cm="1">
        <f t="array" ref="G7">_xlfn.SWITCH(B7,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</row>
    <row r="8" spans="1:7" x14ac:dyDescent="0.25">
      <c r="A8" t="s">
        <v>157</v>
      </c>
      <c r="B8" t="s">
        <v>151</v>
      </c>
      <c r="C8">
        <v>0</v>
      </c>
      <c r="D8">
        <v>0</v>
      </c>
      <c r="E8">
        <v>0</v>
      </c>
      <c r="F8" t="str" cm="1">
        <f t="array" ref="F8">_xlfn.SWITCH(A8,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8" t="str" cm="1">
        <f t="array" ref="G8">_xlfn.SWITCH(B8,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</row>
    <row r="9" spans="1:7" x14ac:dyDescent="0.25">
      <c r="A9" t="s">
        <v>154</v>
      </c>
      <c r="B9" t="s">
        <v>149</v>
      </c>
      <c r="C9">
        <v>2</v>
      </c>
      <c r="D9">
        <v>2</v>
      </c>
      <c r="E9">
        <v>2</v>
      </c>
      <c r="F9" t="str" cm="1">
        <f t="array" ref="F9">_xlfn.SWITCH(A9,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9" t="str" cm="1">
        <f t="array" ref="G9">_xlfn.SWITCH(B9,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</row>
    <row r="10" spans="1:7" x14ac:dyDescent="0.25">
      <c r="A10" t="s">
        <v>153</v>
      </c>
      <c r="B10" t="s">
        <v>150</v>
      </c>
      <c r="C10">
        <v>1</v>
      </c>
      <c r="D10">
        <v>2</v>
      </c>
      <c r="E10">
        <v>2</v>
      </c>
      <c r="F10" t="str" cm="1">
        <f t="array" ref="F10">_xlfn.SWITCH(A10,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10" t="str" cm="1">
        <f t="array" ref="G10">_xlfn.SWITCH(B10,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</row>
    <row r="11" spans="1:7" x14ac:dyDescent="0.25">
      <c r="A11" t="s">
        <v>155</v>
      </c>
      <c r="B11" t="s">
        <v>149</v>
      </c>
      <c r="C11">
        <v>0</v>
      </c>
      <c r="D11">
        <v>0</v>
      </c>
      <c r="E11">
        <v>0</v>
      </c>
      <c r="F11" t="str" cm="1">
        <f t="array" ref="F11">_xlfn.SWITCH(A11,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11" t="str" cm="1">
        <f t="array" ref="G11">_xlfn.SWITCH(B11,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</row>
    <row r="12" spans="1:7" x14ac:dyDescent="0.25">
      <c r="A12" t="s">
        <v>157</v>
      </c>
      <c r="B12" t="s">
        <v>148</v>
      </c>
      <c r="C12">
        <v>26</v>
      </c>
      <c r="D12">
        <v>24</v>
      </c>
      <c r="E12">
        <v>23</v>
      </c>
      <c r="F12" t="str" cm="1">
        <f t="array" ref="F12">_xlfn.SWITCH(A12,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12" t="str" cm="1">
        <f t="array" ref="G12">_xlfn.SWITCH(B12,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</row>
    <row r="13" spans="1:7" x14ac:dyDescent="0.25">
      <c r="A13" t="s">
        <v>153</v>
      </c>
      <c r="B13" t="s">
        <v>151</v>
      </c>
      <c r="C13">
        <v>1</v>
      </c>
      <c r="D13">
        <v>2</v>
      </c>
      <c r="E13">
        <v>1</v>
      </c>
      <c r="F13" t="str" cm="1">
        <f t="array" ref="F13">_xlfn.SWITCH(A13,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13" t="str" cm="1">
        <f t="array" ref="G13">_xlfn.SWITCH(B13,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</row>
    <row r="14" spans="1:7" x14ac:dyDescent="0.25">
      <c r="A14" t="s">
        <v>156</v>
      </c>
      <c r="B14" t="s">
        <v>144</v>
      </c>
      <c r="C14">
        <v>1</v>
      </c>
      <c r="D14">
        <v>1</v>
      </c>
      <c r="E14">
        <v>1</v>
      </c>
      <c r="F14" t="str" cm="1">
        <f t="array" ref="F14">_xlfn.SWITCH(A14,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14" t="str" cm="1">
        <f t="array" ref="G14">_xlfn.SWITCH(B14,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</row>
    <row r="15" spans="1:7" x14ac:dyDescent="0.25">
      <c r="A15" t="s">
        <v>153</v>
      </c>
      <c r="B15" t="s">
        <v>145</v>
      </c>
      <c r="C15">
        <v>2</v>
      </c>
      <c r="D15">
        <v>2</v>
      </c>
      <c r="E15">
        <v>2</v>
      </c>
      <c r="F15" t="str" cm="1">
        <f t="array" ref="F15">_xlfn.SWITCH(A15,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15" t="str" cm="1">
        <f t="array" ref="G15">_xlfn.SWITCH(B15,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</row>
    <row r="16" spans="1:7" x14ac:dyDescent="0.25">
      <c r="A16" t="s">
        <v>154</v>
      </c>
      <c r="B16" t="s">
        <v>151</v>
      </c>
      <c r="C16">
        <v>0</v>
      </c>
      <c r="D16">
        <v>0</v>
      </c>
      <c r="E16">
        <v>0</v>
      </c>
      <c r="F16" t="str" cm="1">
        <f t="array" ref="F16">_xlfn.SWITCH(A16,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16" t="str" cm="1">
        <f t="array" ref="G16">_xlfn.SWITCH(B16,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</row>
    <row r="17" spans="1:7" x14ac:dyDescent="0.25">
      <c r="A17" t="s">
        <v>156</v>
      </c>
      <c r="B17" t="s">
        <v>150</v>
      </c>
      <c r="C17">
        <v>0</v>
      </c>
      <c r="D17">
        <v>0</v>
      </c>
      <c r="E17">
        <v>0</v>
      </c>
      <c r="F17" t="str" cm="1">
        <f t="array" ref="F17">_xlfn.SWITCH(A17,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17" t="str" cm="1">
        <f t="array" ref="G17">_xlfn.SWITCH(B17,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</row>
    <row r="18" spans="1:7" x14ac:dyDescent="0.25">
      <c r="A18" t="s">
        <v>153</v>
      </c>
      <c r="B18" t="s">
        <v>148</v>
      </c>
      <c r="C18">
        <v>9</v>
      </c>
      <c r="D18">
        <v>10</v>
      </c>
      <c r="E18">
        <v>11</v>
      </c>
      <c r="F18" t="str" cm="1">
        <f t="array" ref="F18">_xlfn.SWITCH(A18,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18" t="str" cm="1">
        <f t="array" ref="G18">_xlfn.SWITCH(B18,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</row>
    <row r="19" spans="1:7" x14ac:dyDescent="0.25">
      <c r="A19" t="s">
        <v>156</v>
      </c>
      <c r="B19" t="s">
        <v>145</v>
      </c>
      <c r="C19">
        <v>6</v>
      </c>
      <c r="D19">
        <v>6</v>
      </c>
      <c r="E19">
        <v>6</v>
      </c>
      <c r="F19" t="str" cm="1">
        <f t="array" ref="F19">_xlfn.SWITCH(A19,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19" t="str" cm="1">
        <f t="array" ref="G19">_xlfn.SWITCH(B19,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</row>
    <row r="20" spans="1:7" x14ac:dyDescent="0.25">
      <c r="A20" t="s">
        <v>157</v>
      </c>
      <c r="B20" t="s">
        <v>147</v>
      </c>
      <c r="C20">
        <v>12</v>
      </c>
      <c r="D20">
        <v>10</v>
      </c>
      <c r="E20">
        <v>10</v>
      </c>
      <c r="F20" t="str" cm="1">
        <f t="array" ref="F20">_xlfn.SWITCH(A20,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20" t="str" cm="1">
        <f t="array" ref="G20">_xlfn.SWITCH(B20,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</row>
    <row r="21" spans="1:7" x14ac:dyDescent="0.25">
      <c r="A21" t="s">
        <v>153</v>
      </c>
      <c r="B21" t="s">
        <v>147</v>
      </c>
      <c r="C21">
        <v>0</v>
      </c>
      <c r="D21">
        <v>0</v>
      </c>
      <c r="E21">
        <v>0</v>
      </c>
      <c r="F21" t="str" cm="1">
        <f t="array" ref="F21">_xlfn.SWITCH(A21,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21" t="str" cm="1">
        <f t="array" ref="G21">_xlfn.SWITCH(B21,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</row>
    <row r="22" spans="1:7" x14ac:dyDescent="0.25">
      <c r="A22" t="s">
        <v>154</v>
      </c>
      <c r="B22" t="s">
        <v>148</v>
      </c>
      <c r="C22">
        <v>25</v>
      </c>
      <c r="D22">
        <v>25</v>
      </c>
      <c r="E22">
        <v>22</v>
      </c>
      <c r="F22" t="str" cm="1">
        <f t="array" ref="F22">_xlfn.SWITCH(A22,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22" t="str" cm="1">
        <f t="array" ref="G22">_xlfn.SWITCH(B22,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</row>
    <row r="23" spans="1:7" x14ac:dyDescent="0.25">
      <c r="A23" t="s">
        <v>154</v>
      </c>
      <c r="B23" t="s">
        <v>146</v>
      </c>
      <c r="C23">
        <v>3</v>
      </c>
      <c r="D23">
        <v>3</v>
      </c>
      <c r="E23">
        <v>2</v>
      </c>
      <c r="F23" t="str" cm="1">
        <f t="array" ref="F23">_xlfn.SWITCH(A23,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23" t="str" cm="1">
        <f t="array" ref="G23">_xlfn.SWITCH(B23,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</row>
    <row r="24" spans="1:7" x14ac:dyDescent="0.25">
      <c r="A24" t="s">
        <v>156</v>
      </c>
      <c r="B24" t="s">
        <v>148</v>
      </c>
      <c r="C24">
        <v>7</v>
      </c>
      <c r="D24">
        <v>7</v>
      </c>
      <c r="E24">
        <v>7</v>
      </c>
      <c r="F24" t="str" cm="1">
        <f t="array" ref="F24">_xlfn.SWITCH(A24,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24" t="str" cm="1">
        <f t="array" ref="G24">_xlfn.SWITCH(B24,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</row>
    <row r="25" spans="1:7" x14ac:dyDescent="0.25">
      <c r="A25" t="s">
        <v>154</v>
      </c>
      <c r="B25" t="s">
        <v>144</v>
      </c>
      <c r="C25">
        <v>7</v>
      </c>
      <c r="D25">
        <v>6</v>
      </c>
      <c r="E25">
        <v>5</v>
      </c>
      <c r="F25" t="str" cm="1">
        <f t="array" ref="F25">_xlfn.SWITCH(A25,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25" t="str" cm="1">
        <f t="array" ref="G25">_xlfn.SWITCH(B25,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</row>
    <row r="26" spans="1:7" x14ac:dyDescent="0.25">
      <c r="A26" t="s">
        <v>156</v>
      </c>
      <c r="B26" t="s">
        <v>146</v>
      </c>
      <c r="C26">
        <v>0</v>
      </c>
      <c r="D26">
        <v>0</v>
      </c>
      <c r="E26">
        <v>0</v>
      </c>
      <c r="F26" t="str" cm="1">
        <f t="array" ref="F26">_xlfn.SWITCH(A26,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26" t="str" cm="1">
        <f t="array" ref="G26">_xlfn.SWITCH(B26,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</row>
    <row r="27" spans="1:7" x14ac:dyDescent="0.25">
      <c r="A27" t="s">
        <v>156</v>
      </c>
      <c r="B27" t="s">
        <v>149</v>
      </c>
      <c r="C27">
        <v>0</v>
      </c>
      <c r="D27">
        <v>0</v>
      </c>
      <c r="E27">
        <v>0</v>
      </c>
      <c r="F27" t="str" cm="1">
        <f t="array" ref="F27">_xlfn.SWITCH(A27,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27" t="str" cm="1">
        <f t="array" ref="G27">_xlfn.SWITCH(B27,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</row>
    <row r="28" spans="1:7" x14ac:dyDescent="0.25">
      <c r="A28" t="s">
        <v>154</v>
      </c>
      <c r="B28" t="s">
        <v>145</v>
      </c>
      <c r="C28">
        <v>2</v>
      </c>
      <c r="D28">
        <v>2</v>
      </c>
      <c r="E28">
        <v>3</v>
      </c>
      <c r="F28" t="str" cm="1">
        <f t="array" ref="F28">_xlfn.SWITCH(A28,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28" t="str" cm="1">
        <f t="array" ref="G28">_xlfn.SWITCH(B28,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</row>
    <row r="29" spans="1:7" x14ac:dyDescent="0.25">
      <c r="A29" t="s">
        <v>156</v>
      </c>
      <c r="B29" t="s">
        <v>151</v>
      </c>
      <c r="C29">
        <v>0</v>
      </c>
      <c r="D29">
        <v>0</v>
      </c>
      <c r="E29">
        <v>0</v>
      </c>
      <c r="F29" t="str" cm="1">
        <f t="array" ref="F29">_xlfn.SWITCH(A29,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شبه حكومي</v>
      </c>
      <c r="G29" t="str" cm="1">
        <f t="array" ref="G29">_xlfn.SWITCH(B29,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</row>
    <row r="30" spans="1:7" x14ac:dyDescent="0.25">
      <c r="A30" t="s">
        <v>155</v>
      </c>
      <c r="B30" t="s">
        <v>150</v>
      </c>
      <c r="C30">
        <v>3</v>
      </c>
      <c r="D30">
        <v>2</v>
      </c>
      <c r="E30">
        <v>2</v>
      </c>
      <c r="F30" t="str" cm="1">
        <f t="array" ref="F30">_xlfn.SWITCH(A30,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30" t="str" cm="1">
        <f t="array" ref="G30">_xlfn.SWITCH(B30,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</row>
    <row r="31" spans="1:7" x14ac:dyDescent="0.25">
      <c r="A31" t="s">
        <v>157</v>
      </c>
      <c r="B31" t="s">
        <v>146</v>
      </c>
      <c r="C31">
        <v>0</v>
      </c>
      <c r="D31">
        <v>0</v>
      </c>
      <c r="E31">
        <v>0</v>
      </c>
      <c r="F31" t="str" cm="1">
        <f t="array" ref="F31">_xlfn.SWITCH(A31,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31" t="str" cm="1">
        <f t="array" ref="G31">_xlfn.SWITCH(B31,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</row>
    <row r="32" spans="1:7" x14ac:dyDescent="0.25">
      <c r="A32" t="s">
        <v>157</v>
      </c>
      <c r="B32" t="s">
        <v>145</v>
      </c>
      <c r="C32">
        <v>0</v>
      </c>
      <c r="D32">
        <v>0</v>
      </c>
      <c r="E32">
        <v>0</v>
      </c>
      <c r="F32" t="str" cm="1">
        <f t="array" ref="F32">_xlfn.SWITCH(A32,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32" t="str" cm="1">
        <f t="array" ref="G32">_xlfn.SWITCH(B32,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</row>
    <row r="33" spans="1:7" x14ac:dyDescent="0.25">
      <c r="A33" t="s">
        <v>157</v>
      </c>
      <c r="B33" t="s">
        <v>144</v>
      </c>
      <c r="C33">
        <v>14</v>
      </c>
      <c r="D33">
        <v>14</v>
      </c>
      <c r="E33">
        <v>13</v>
      </c>
      <c r="F33" t="str" cm="1">
        <f t="array" ref="F33">_xlfn.SWITCH(A33,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33" t="str" cm="1">
        <f t="array" ref="G33">_xlfn.SWITCH(B33,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</row>
    <row r="34" spans="1:7" x14ac:dyDescent="0.25">
      <c r="A34" t="s">
        <v>153</v>
      </c>
      <c r="B34" t="s">
        <v>144</v>
      </c>
      <c r="C34">
        <v>0</v>
      </c>
      <c r="D34">
        <v>0</v>
      </c>
      <c r="E34">
        <v>0</v>
      </c>
      <c r="F34" t="str" cm="1">
        <f t="array" ref="F34">_xlfn.SWITCH(A34,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الاتحادية</v>
      </c>
      <c r="G34" t="str" cm="1">
        <f t="array" ref="G34">_xlfn.SWITCH(B34,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</row>
    <row r="35" spans="1:7" x14ac:dyDescent="0.25">
      <c r="A35" t="s">
        <v>155</v>
      </c>
      <c r="B35" t="s">
        <v>145</v>
      </c>
      <c r="C35">
        <v>4</v>
      </c>
      <c r="D35">
        <v>4</v>
      </c>
      <c r="E35">
        <v>3</v>
      </c>
      <c r="F35" t="str" cm="1">
        <f t="array" ref="F35">_xlfn.SWITCH(A35,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35" t="str" cm="1">
        <f t="array" ref="G35">_xlfn.SWITCH(B35,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</row>
    <row r="36" spans="1:7" x14ac:dyDescent="0.25">
      <c r="A36" t="s">
        <v>157</v>
      </c>
      <c r="B36" t="s">
        <v>149</v>
      </c>
      <c r="C36">
        <v>0</v>
      </c>
      <c r="D36">
        <v>0</v>
      </c>
      <c r="E36">
        <v>0</v>
      </c>
      <c r="F36" t="str" cm="1">
        <f t="array" ref="F36">_xlfn.SWITCH(A36,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36" t="str" cm="1">
        <f t="array" ref="G36">_xlfn.SWITCH(B36,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</row>
    <row r="37" spans="1:7" x14ac:dyDescent="0.25">
      <c r="A37" t="s">
        <v>155</v>
      </c>
      <c r="B37" t="s">
        <v>147</v>
      </c>
      <c r="C37">
        <v>8</v>
      </c>
      <c r="D37">
        <v>5</v>
      </c>
      <c r="E37">
        <v>4</v>
      </c>
      <c r="F37" t="str" cm="1">
        <f t="array" ref="F37">_xlfn.SWITCH(A37,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37" t="str" cm="1">
        <f t="array" ref="G37">_xlfn.SWITCH(B37,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</row>
    <row r="38" spans="1:7" x14ac:dyDescent="0.25">
      <c r="A38" t="s">
        <v>155</v>
      </c>
      <c r="B38" t="s">
        <v>144</v>
      </c>
      <c r="C38">
        <v>16</v>
      </c>
      <c r="D38">
        <v>13</v>
      </c>
      <c r="E38">
        <v>15</v>
      </c>
      <c r="F38" t="str" cm="1">
        <f t="array" ref="F38">_xlfn.SWITCH(A38,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38" t="str" cm="1">
        <f t="array" ref="G38">_xlfn.SWITCH(B38,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</row>
    <row r="39" spans="1:7" x14ac:dyDescent="0.25">
      <c r="A39" t="s">
        <v>154</v>
      </c>
      <c r="B39" t="s">
        <v>147</v>
      </c>
      <c r="C39">
        <v>10</v>
      </c>
      <c r="D39">
        <v>10</v>
      </c>
      <c r="E39">
        <v>8</v>
      </c>
      <c r="F39" t="str" cm="1">
        <f t="array" ref="F39">_xlfn.SWITCH(A39,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جلسات فردية</v>
      </c>
      <c r="G39" t="str" cm="1">
        <f t="array" ref="G39">_xlfn.SWITCH(B39,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</row>
    <row r="40" spans="1:7" x14ac:dyDescent="0.25">
      <c r="A40" t="s">
        <v>157</v>
      </c>
      <c r="B40" t="s">
        <v>150</v>
      </c>
      <c r="C40">
        <v>0</v>
      </c>
      <c r="D40">
        <v>0</v>
      </c>
      <c r="E40">
        <v>0</v>
      </c>
      <c r="F40" t="str" cm="1">
        <f t="array" ref="F40">_xlfn.SWITCH(A40,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الحكومة المحلية</v>
      </c>
      <c r="G40" t="str" cm="1">
        <f t="array" ref="G40">_xlfn.SWITCH(B40,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</row>
    <row r="41" spans="1:7" x14ac:dyDescent="0.25">
      <c r="A41" t="s">
        <v>155</v>
      </c>
      <c r="B41" t="s">
        <v>148</v>
      </c>
      <c r="C41">
        <v>33</v>
      </c>
      <c r="D41">
        <v>26</v>
      </c>
      <c r="E41">
        <v>25</v>
      </c>
      <c r="F41" t="str" cm="1">
        <f t="array" ref="F41">_xlfn.SWITCH(A41,
"Federal Government","الحكومة الاتحادية",
"Private - Individual Sessions","خاص - جلسات فردية",
"Private - Integrated Services","خاص - خدمات متكاملة",
"Semi-Government","شبه حكومي",
"Local Government","الحكومة المحلية",
"")</f>
        <v>خاص - خدمات متكاملة</v>
      </c>
      <c r="G41" t="str" cm="1">
        <f t="array" ref="G41">_xlfn.SWITCH(B41,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الإمارات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BA0D-E379-4576-A7C8-AD26E6648353}">
  <dimension ref="A1:D17"/>
  <sheetViews>
    <sheetView workbookViewId="0"/>
  </sheetViews>
  <sheetFormatPr defaultRowHeight="15" x14ac:dyDescent="0.25"/>
  <cols>
    <col min="1" max="1" width="18.85546875" bestFit="1" customWidth="1"/>
    <col min="2" max="2" width="15.140625" bestFit="1" customWidth="1"/>
    <col min="3" max="3" width="8" bestFit="1" customWidth="1"/>
    <col min="4" max="4" width="15" bestFit="1" customWidth="1"/>
  </cols>
  <sheetData>
    <row r="1" spans="1:4" x14ac:dyDescent="0.25">
      <c r="A1" t="s">
        <v>152</v>
      </c>
      <c r="B1" t="s">
        <v>160</v>
      </c>
      <c r="C1" t="s">
        <v>158</v>
      </c>
      <c r="D1" t="s">
        <v>159</v>
      </c>
    </row>
    <row r="2" spans="1:4" x14ac:dyDescent="0.25">
      <c r="A2" t="s">
        <v>156</v>
      </c>
      <c r="B2" t="s">
        <v>162</v>
      </c>
      <c r="C2">
        <v>2022</v>
      </c>
      <c r="D2">
        <v>48</v>
      </c>
    </row>
    <row r="3" spans="1:4" x14ac:dyDescent="0.25">
      <c r="A3" t="s">
        <v>156</v>
      </c>
      <c r="B3" t="s">
        <v>162</v>
      </c>
      <c r="C3">
        <v>2023</v>
      </c>
      <c r="D3">
        <v>101</v>
      </c>
    </row>
    <row r="4" spans="1:4" x14ac:dyDescent="0.25">
      <c r="A4" t="s">
        <v>153</v>
      </c>
      <c r="B4" t="s">
        <v>163</v>
      </c>
      <c r="C4">
        <v>2022</v>
      </c>
      <c r="D4">
        <v>89</v>
      </c>
    </row>
    <row r="5" spans="1:4" x14ac:dyDescent="0.25">
      <c r="A5" t="s">
        <v>153</v>
      </c>
      <c r="B5" t="s">
        <v>163</v>
      </c>
      <c r="C5">
        <v>2023</v>
      </c>
      <c r="D5">
        <v>96</v>
      </c>
    </row>
    <row r="6" spans="1:4" x14ac:dyDescent="0.25">
      <c r="A6" t="s">
        <v>157</v>
      </c>
      <c r="B6" t="s">
        <v>163</v>
      </c>
      <c r="C6">
        <v>2022</v>
      </c>
      <c r="D6">
        <v>657</v>
      </c>
    </row>
    <row r="7" spans="1:4" x14ac:dyDescent="0.25">
      <c r="A7" t="s">
        <v>157</v>
      </c>
      <c r="B7" t="s">
        <v>163</v>
      </c>
      <c r="C7">
        <v>2023</v>
      </c>
      <c r="D7">
        <v>751</v>
      </c>
    </row>
    <row r="8" spans="1:4" x14ac:dyDescent="0.25">
      <c r="A8" t="s">
        <v>161</v>
      </c>
      <c r="B8" t="s">
        <v>162</v>
      </c>
      <c r="C8">
        <v>2022</v>
      </c>
      <c r="D8">
        <v>4</v>
      </c>
    </row>
    <row r="9" spans="1:4" x14ac:dyDescent="0.25">
      <c r="A9" t="s">
        <v>161</v>
      </c>
      <c r="B9" t="s">
        <v>162</v>
      </c>
      <c r="C9">
        <v>2023</v>
      </c>
      <c r="D9">
        <v>12</v>
      </c>
    </row>
    <row r="10" spans="1:4" x14ac:dyDescent="0.25">
      <c r="A10" t="s">
        <v>161</v>
      </c>
      <c r="B10" t="s">
        <v>163</v>
      </c>
      <c r="C10">
        <v>2022</v>
      </c>
      <c r="D10">
        <v>817</v>
      </c>
    </row>
    <row r="11" spans="1:4" x14ac:dyDescent="0.25">
      <c r="A11" t="s">
        <v>161</v>
      </c>
      <c r="B11" t="s">
        <v>163</v>
      </c>
      <c r="C11">
        <v>2023</v>
      </c>
      <c r="D11">
        <v>927</v>
      </c>
    </row>
    <row r="12" spans="1:4" x14ac:dyDescent="0.25">
      <c r="A12" t="s">
        <v>157</v>
      </c>
      <c r="B12" t="s">
        <v>162</v>
      </c>
      <c r="C12">
        <v>2022</v>
      </c>
      <c r="D12">
        <v>508</v>
      </c>
    </row>
    <row r="13" spans="1:4" x14ac:dyDescent="0.25">
      <c r="A13" t="s">
        <v>157</v>
      </c>
      <c r="B13" t="s">
        <v>162</v>
      </c>
      <c r="C13">
        <v>2023</v>
      </c>
      <c r="D13">
        <v>615</v>
      </c>
    </row>
    <row r="14" spans="1:4" x14ac:dyDescent="0.25">
      <c r="A14" t="s">
        <v>156</v>
      </c>
      <c r="B14" t="s">
        <v>163</v>
      </c>
      <c r="C14">
        <v>2022</v>
      </c>
      <c r="D14">
        <v>639</v>
      </c>
    </row>
    <row r="15" spans="1:4" x14ac:dyDescent="0.25">
      <c r="A15" t="s">
        <v>156</v>
      </c>
      <c r="B15" t="s">
        <v>163</v>
      </c>
      <c r="C15">
        <v>2023</v>
      </c>
      <c r="D15">
        <v>1004</v>
      </c>
    </row>
    <row r="16" spans="1:4" x14ac:dyDescent="0.25">
      <c r="A16" t="s">
        <v>153</v>
      </c>
      <c r="B16" t="s">
        <v>162</v>
      </c>
      <c r="C16">
        <v>2022</v>
      </c>
      <c r="D16">
        <v>187</v>
      </c>
    </row>
    <row r="17" spans="1:4" x14ac:dyDescent="0.25">
      <c r="A17" t="s">
        <v>153</v>
      </c>
      <c r="B17" t="s">
        <v>162</v>
      </c>
      <c r="C17">
        <v>2023</v>
      </c>
      <c r="D17">
        <v>174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6DDF-A49C-4221-AA17-04E9AE557A66}">
  <dimension ref="A1:D17"/>
  <sheetViews>
    <sheetView workbookViewId="0"/>
  </sheetViews>
  <sheetFormatPr defaultRowHeight="15" x14ac:dyDescent="0.25"/>
  <cols>
    <col min="1" max="1" width="18.85546875" bestFit="1" customWidth="1"/>
    <col min="2" max="2" width="11.140625" bestFit="1" customWidth="1"/>
    <col min="3" max="3" width="8" bestFit="1" customWidth="1"/>
    <col min="4" max="4" width="15" bestFit="1" customWidth="1"/>
  </cols>
  <sheetData>
    <row r="1" spans="1:4" x14ac:dyDescent="0.25">
      <c r="A1" t="s">
        <v>152</v>
      </c>
      <c r="B1" t="s">
        <v>0</v>
      </c>
      <c r="C1" t="s">
        <v>158</v>
      </c>
      <c r="D1" t="s">
        <v>159</v>
      </c>
    </row>
    <row r="2" spans="1:4" x14ac:dyDescent="0.25">
      <c r="A2" t="s">
        <v>157</v>
      </c>
      <c r="B2" t="s">
        <v>26</v>
      </c>
      <c r="C2">
        <v>2022</v>
      </c>
      <c r="D2">
        <v>844</v>
      </c>
    </row>
    <row r="3" spans="1:4" x14ac:dyDescent="0.25">
      <c r="A3" t="s">
        <v>157</v>
      </c>
      <c r="B3" t="s">
        <v>26</v>
      </c>
      <c r="C3">
        <v>2023</v>
      </c>
      <c r="D3">
        <v>973</v>
      </c>
    </row>
    <row r="4" spans="1:4" x14ac:dyDescent="0.25">
      <c r="A4" t="s">
        <v>153</v>
      </c>
      <c r="B4" t="s">
        <v>26</v>
      </c>
      <c r="C4">
        <v>2022</v>
      </c>
      <c r="D4">
        <v>228</v>
      </c>
    </row>
    <row r="5" spans="1:4" x14ac:dyDescent="0.25">
      <c r="A5" t="s">
        <v>153</v>
      </c>
      <c r="B5" t="s">
        <v>26</v>
      </c>
      <c r="C5">
        <v>2023</v>
      </c>
      <c r="D5">
        <v>221</v>
      </c>
    </row>
    <row r="6" spans="1:4" x14ac:dyDescent="0.25">
      <c r="A6" t="s">
        <v>161</v>
      </c>
      <c r="B6" t="s">
        <v>26</v>
      </c>
      <c r="C6">
        <v>2022</v>
      </c>
      <c r="D6">
        <v>486</v>
      </c>
    </row>
    <row r="7" spans="1:4" x14ac:dyDescent="0.25">
      <c r="A7" t="s">
        <v>161</v>
      </c>
      <c r="B7" t="s">
        <v>26</v>
      </c>
      <c r="C7">
        <v>2023</v>
      </c>
      <c r="D7">
        <v>557</v>
      </c>
    </row>
    <row r="8" spans="1:4" x14ac:dyDescent="0.25">
      <c r="A8" t="s">
        <v>156</v>
      </c>
      <c r="B8" t="s">
        <v>26</v>
      </c>
      <c r="C8">
        <v>2022</v>
      </c>
      <c r="D8">
        <v>505</v>
      </c>
    </row>
    <row r="9" spans="1:4" x14ac:dyDescent="0.25">
      <c r="A9" t="s">
        <v>156</v>
      </c>
      <c r="B9" t="s">
        <v>26</v>
      </c>
      <c r="C9">
        <v>2023</v>
      </c>
      <c r="D9">
        <v>806</v>
      </c>
    </row>
    <row r="10" spans="1:4" x14ac:dyDescent="0.25">
      <c r="A10" t="s">
        <v>156</v>
      </c>
      <c r="B10" t="s">
        <v>6</v>
      </c>
      <c r="C10">
        <v>2022</v>
      </c>
      <c r="D10">
        <v>182</v>
      </c>
    </row>
    <row r="11" spans="1:4" x14ac:dyDescent="0.25">
      <c r="A11" t="s">
        <v>156</v>
      </c>
      <c r="B11" t="s">
        <v>6</v>
      </c>
      <c r="C11">
        <v>2023</v>
      </c>
      <c r="D11">
        <v>299</v>
      </c>
    </row>
    <row r="12" spans="1:4" x14ac:dyDescent="0.25">
      <c r="A12" t="s">
        <v>153</v>
      </c>
      <c r="B12" t="s">
        <v>6</v>
      </c>
      <c r="C12">
        <v>2022</v>
      </c>
      <c r="D12">
        <v>48</v>
      </c>
    </row>
    <row r="13" spans="1:4" x14ac:dyDescent="0.25">
      <c r="A13" t="s">
        <v>153</v>
      </c>
      <c r="B13" t="s">
        <v>6</v>
      </c>
      <c r="C13">
        <v>2023</v>
      </c>
      <c r="D13">
        <v>49</v>
      </c>
    </row>
    <row r="14" spans="1:4" x14ac:dyDescent="0.25">
      <c r="A14" t="s">
        <v>157</v>
      </c>
      <c r="B14" t="s">
        <v>6</v>
      </c>
      <c r="C14">
        <v>2022</v>
      </c>
      <c r="D14">
        <v>321</v>
      </c>
    </row>
    <row r="15" spans="1:4" x14ac:dyDescent="0.25">
      <c r="A15" t="s">
        <v>157</v>
      </c>
      <c r="B15" t="s">
        <v>6</v>
      </c>
      <c r="C15">
        <v>2023</v>
      </c>
      <c r="D15">
        <v>393</v>
      </c>
    </row>
    <row r="16" spans="1:4" x14ac:dyDescent="0.25">
      <c r="A16" t="s">
        <v>161</v>
      </c>
      <c r="B16" t="s">
        <v>6</v>
      </c>
      <c r="C16">
        <v>2022</v>
      </c>
      <c r="D16">
        <v>335</v>
      </c>
    </row>
    <row r="17" spans="1:4" x14ac:dyDescent="0.25">
      <c r="A17" t="s">
        <v>161</v>
      </c>
      <c r="B17" t="s">
        <v>6</v>
      </c>
      <c r="C17">
        <v>2023</v>
      </c>
      <c r="D17">
        <v>382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EECD-34C5-4E8E-B616-A0374644526F}">
  <dimension ref="A1:E17"/>
  <sheetViews>
    <sheetView workbookViewId="0"/>
  </sheetViews>
  <sheetFormatPr defaultRowHeight="15" x14ac:dyDescent="0.25"/>
  <cols>
    <col min="1" max="1" width="15.140625" bestFit="1" customWidth="1"/>
    <col min="2" max="2" width="15.28515625" bestFit="1" customWidth="1"/>
    <col min="3" max="5" width="7.28515625" bestFit="1" customWidth="1"/>
  </cols>
  <sheetData>
    <row r="1" spans="1:5" x14ac:dyDescent="0.25">
      <c r="A1" t="s">
        <v>160</v>
      </c>
      <c r="B1" t="s">
        <v>143</v>
      </c>
      <c r="C1" t="s">
        <v>3</v>
      </c>
      <c r="D1" t="s">
        <v>4</v>
      </c>
      <c r="E1" t="s">
        <v>5</v>
      </c>
    </row>
    <row r="2" spans="1:5" x14ac:dyDescent="0.25">
      <c r="A2" t="s">
        <v>163</v>
      </c>
      <c r="B2" t="s">
        <v>145</v>
      </c>
      <c r="C2">
        <v>607</v>
      </c>
      <c r="D2">
        <v>732</v>
      </c>
      <c r="E2">
        <v>755</v>
      </c>
    </row>
    <row r="3" spans="1:5" x14ac:dyDescent="0.25">
      <c r="A3" t="s">
        <v>162</v>
      </c>
      <c r="B3" t="s">
        <v>147</v>
      </c>
      <c r="C3">
        <v>487</v>
      </c>
      <c r="D3">
        <v>525</v>
      </c>
      <c r="E3">
        <v>546</v>
      </c>
    </row>
    <row r="4" spans="1:5" x14ac:dyDescent="0.25">
      <c r="A4" t="s">
        <v>162</v>
      </c>
      <c r="B4" t="s">
        <v>144</v>
      </c>
      <c r="C4">
        <v>1865</v>
      </c>
      <c r="D4">
        <v>1993</v>
      </c>
      <c r="E4">
        <v>2003</v>
      </c>
    </row>
    <row r="5" spans="1:5" x14ac:dyDescent="0.25">
      <c r="A5" t="s">
        <v>162</v>
      </c>
      <c r="B5" t="s">
        <v>149</v>
      </c>
      <c r="C5">
        <v>181</v>
      </c>
      <c r="D5">
        <v>206</v>
      </c>
      <c r="E5">
        <v>243</v>
      </c>
    </row>
    <row r="6" spans="1:5" x14ac:dyDescent="0.25">
      <c r="A6" t="s">
        <v>163</v>
      </c>
      <c r="B6" t="s">
        <v>151</v>
      </c>
      <c r="C6">
        <v>6</v>
      </c>
      <c r="D6">
        <v>8</v>
      </c>
      <c r="E6">
        <v>6</v>
      </c>
    </row>
    <row r="7" spans="1:5" x14ac:dyDescent="0.25">
      <c r="A7" t="s">
        <v>162</v>
      </c>
      <c r="B7" t="s">
        <v>151</v>
      </c>
      <c r="C7">
        <v>75</v>
      </c>
      <c r="D7">
        <v>95</v>
      </c>
      <c r="E7">
        <v>78</v>
      </c>
    </row>
    <row r="8" spans="1:5" x14ac:dyDescent="0.25">
      <c r="A8" t="s">
        <v>162</v>
      </c>
      <c r="B8" t="s">
        <v>145</v>
      </c>
      <c r="C8">
        <v>417</v>
      </c>
      <c r="D8">
        <v>484</v>
      </c>
      <c r="E8">
        <v>487</v>
      </c>
    </row>
    <row r="9" spans="1:5" x14ac:dyDescent="0.25">
      <c r="A9" t="s">
        <v>163</v>
      </c>
      <c r="B9" t="s">
        <v>150</v>
      </c>
      <c r="C9">
        <v>19</v>
      </c>
      <c r="D9">
        <v>26</v>
      </c>
      <c r="E9">
        <v>36</v>
      </c>
    </row>
    <row r="10" spans="1:5" x14ac:dyDescent="0.25">
      <c r="A10" t="s">
        <v>163</v>
      </c>
      <c r="B10" t="s">
        <v>148</v>
      </c>
      <c r="C10">
        <v>1934</v>
      </c>
      <c r="D10">
        <v>2134</v>
      </c>
      <c r="E10">
        <v>2396</v>
      </c>
    </row>
    <row r="11" spans="1:5" x14ac:dyDescent="0.25">
      <c r="A11" t="s">
        <v>163</v>
      </c>
      <c r="B11" t="s">
        <v>146</v>
      </c>
      <c r="C11">
        <v>32</v>
      </c>
      <c r="D11">
        <v>29</v>
      </c>
      <c r="E11">
        <v>43</v>
      </c>
    </row>
    <row r="12" spans="1:5" x14ac:dyDescent="0.25">
      <c r="A12" t="s">
        <v>162</v>
      </c>
      <c r="B12" t="s">
        <v>150</v>
      </c>
      <c r="C12">
        <v>204</v>
      </c>
      <c r="D12">
        <v>215</v>
      </c>
      <c r="E12">
        <v>271</v>
      </c>
    </row>
    <row r="13" spans="1:5" x14ac:dyDescent="0.25">
      <c r="A13" t="s">
        <v>162</v>
      </c>
      <c r="B13" t="s">
        <v>146</v>
      </c>
      <c r="C13">
        <v>131</v>
      </c>
      <c r="D13">
        <v>101</v>
      </c>
      <c r="E13">
        <v>126</v>
      </c>
    </row>
    <row r="14" spans="1:5" x14ac:dyDescent="0.25">
      <c r="A14" t="s">
        <v>163</v>
      </c>
      <c r="B14" t="s">
        <v>144</v>
      </c>
      <c r="C14">
        <v>637</v>
      </c>
      <c r="D14">
        <v>657</v>
      </c>
      <c r="E14">
        <v>859</v>
      </c>
    </row>
    <row r="15" spans="1:5" x14ac:dyDescent="0.25">
      <c r="A15" t="s">
        <v>163</v>
      </c>
      <c r="B15" t="s">
        <v>149</v>
      </c>
      <c r="C15">
        <v>3</v>
      </c>
      <c r="D15">
        <v>3</v>
      </c>
      <c r="E15">
        <v>4</v>
      </c>
    </row>
    <row r="16" spans="1:5" x14ac:dyDescent="0.25">
      <c r="A16" t="s">
        <v>162</v>
      </c>
      <c r="B16" t="s">
        <v>148</v>
      </c>
      <c r="C16">
        <v>3360</v>
      </c>
      <c r="D16">
        <v>3619</v>
      </c>
      <c r="E16">
        <v>3754</v>
      </c>
    </row>
    <row r="17" spans="1:5" x14ac:dyDescent="0.25">
      <c r="A17" t="s">
        <v>163</v>
      </c>
      <c r="B17" t="s">
        <v>147</v>
      </c>
      <c r="C17">
        <v>630</v>
      </c>
      <c r="D17">
        <v>679</v>
      </c>
      <c r="E17">
        <v>693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9D4E-2B95-432D-8C69-AE5DE67B242D}">
  <dimension ref="A1:E17"/>
  <sheetViews>
    <sheetView workbookViewId="0"/>
  </sheetViews>
  <sheetFormatPr defaultRowHeight="15" x14ac:dyDescent="0.25"/>
  <cols>
    <col min="1" max="1" width="11.140625" bestFit="1" customWidth="1"/>
    <col min="2" max="2" width="15.28515625" bestFit="1" customWidth="1"/>
    <col min="3" max="5" width="7.28515625" bestFit="1" customWidth="1"/>
  </cols>
  <sheetData>
    <row r="1" spans="1:5" x14ac:dyDescent="0.25">
      <c r="A1" t="s">
        <v>0</v>
      </c>
      <c r="B1" t="s">
        <v>143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 t="s">
        <v>144</v>
      </c>
      <c r="C2">
        <v>1644</v>
      </c>
      <c r="D2">
        <v>1740</v>
      </c>
      <c r="E2">
        <v>1902</v>
      </c>
    </row>
    <row r="3" spans="1:5" x14ac:dyDescent="0.25">
      <c r="A3" t="s">
        <v>26</v>
      </c>
      <c r="B3" t="s">
        <v>145</v>
      </c>
      <c r="C3">
        <v>344</v>
      </c>
      <c r="D3">
        <v>411</v>
      </c>
      <c r="E3">
        <v>405</v>
      </c>
    </row>
    <row r="4" spans="1:5" x14ac:dyDescent="0.25">
      <c r="A4" t="s">
        <v>26</v>
      </c>
      <c r="B4" t="s">
        <v>146</v>
      </c>
      <c r="C4">
        <v>62</v>
      </c>
      <c r="D4">
        <v>48</v>
      </c>
      <c r="E4">
        <v>63</v>
      </c>
    </row>
    <row r="5" spans="1:5" x14ac:dyDescent="0.25">
      <c r="A5" t="s">
        <v>6</v>
      </c>
      <c r="B5" t="s">
        <v>147</v>
      </c>
      <c r="C5">
        <v>717</v>
      </c>
      <c r="D5">
        <v>788</v>
      </c>
      <c r="E5">
        <v>819</v>
      </c>
    </row>
    <row r="6" spans="1:5" x14ac:dyDescent="0.25">
      <c r="A6" t="s">
        <v>6</v>
      </c>
      <c r="B6" t="s">
        <v>148</v>
      </c>
      <c r="C6">
        <v>3468</v>
      </c>
      <c r="D6">
        <v>3787</v>
      </c>
      <c r="E6">
        <v>4105</v>
      </c>
    </row>
    <row r="7" spans="1:5" x14ac:dyDescent="0.25">
      <c r="A7" t="s">
        <v>6</v>
      </c>
      <c r="B7" t="s">
        <v>145</v>
      </c>
      <c r="C7">
        <v>680</v>
      </c>
      <c r="D7">
        <v>805</v>
      </c>
      <c r="E7">
        <v>837</v>
      </c>
    </row>
    <row r="8" spans="1:5" x14ac:dyDescent="0.25">
      <c r="A8" t="s">
        <v>26</v>
      </c>
      <c r="B8" t="s">
        <v>149</v>
      </c>
      <c r="C8">
        <v>77</v>
      </c>
      <c r="D8">
        <v>79</v>
      </c>
      <c r="E8">
        <v>93</v>
      </c>
    </row>
    <row r="9" spans="1:5" x14ac:dyDescent="0.25">
      <c r="A9" t="s">
        <v>6</v>
      </c>
      <c r="B9" t="s">
        <v>150</v>
      </c>
      <c r="C9">
        <v>157</v>
      </c>
      <c r="D9">
        <v>166</v>
      </c>
      <c r="E9">
        <v>223</v>
      </c>
    </row>
    <row r="10" spans="1:5" x14ac:dyDescent="0.25">
      <c r="A10" t="s">
        <v>6</v>
      </c>
      <c r="B10" t="s">
        <v>146</v>
      </c>
      <c r="C10">
        <v>101</v>
      </c>
      <c r="D10">
        <v>82</v>
      </c>
      <c r="E10">
        <v>106</v>
      </c>
    </row>
    <row r="11" spans="1:5" x14ac:dyDescent="0.25">
      <c r="A11" t="s">
        <v>26</v>
      </c>
      <c r="B11" t="s">
        <v>147</v>
      </c>
      <c r="C11">
        <v>400</v>
      </c>
      <c r="D11">
        <v>416</v>
      </c>
      <c r="E11">
        <v>420</v>
      </c>
    </row>
    <row r="12" spans="1:5" x14ac:dyDescent="0.25">
      <c r="A12" t="s">
        <v>26</v>
      </c>
      <c r="B12" t="s">
        <v>151</v>
      </c>
      <c r="C12">
        <v>19</v>
      </c>
      <c r="D12">
        <v>27</v>
      </c>
      <c r="E12">
        <v>20</v>
      </c>
    </row>
    <row r="13" spans="1:5" x14ac:dyDescent="0.25">
      <c r="A13" t="s">
        <v>26</v>
      </c>
      <c r="B13" t="s">
        <v>144</v>
      </c>
      <c r="C13">
        <v>858</v>
      </c>
      <c r="D13">
        <v>910</v>
      </c>
      <c r="E13">
        <v>960</v>
      </c>
    </row>
    <row r="14" spans="1:5" x14ac:dyDescent="0.25">
      <c r="A14" t="s">
        <v>26</v>
      </c>
      <c r="B14" t="s">
        <v>148</v>
      </c>
      <c r="C14">
        <v>1826</v>
      </c>
      <c r="D14">
        <v>1966</v>
      </c>
      <c r="E14">
        <v>2045</v>
      </c>
    </row>
    <row r="15" spans="1:5" x14ac:dyDescent="0.25">
      <c r="A15" t="s">
        <v>6</v>
      </c>
      <c r="B15" t="s">
        <v>149</v>
      </c>
      <c r="C15">
        <v>107</v>
      </c>
      <c r="D15">
        <v>130</v>
      </c>
      <c r="E15">
        <v>154</v>
      </c>
    </row>
    <row r="16" spans="1:5" x14ac:dyDescent="0.25">
      <c r="A16" t="s">
        <v>26</v>
      </c>
      <c r="B16" t="s">
        <v>150</v>
      </c>
      <c r="C16">
        <v>66</v>
      </c>
      <c r="D16">
        <v>75</v>
      </c>
      <c r="E16">
        <v>84</v>
      </c>
    </row>
    <row r="17" spans="1:5" x14ac:dyDescent="0.25">
      <c r="A17" t="s">
        <v>6</v>
      </c>
      <c r="B17" t="s">
        <v>151</v>
      </c>
      <c r="C17">
        <v>62</v>
      </c>
      <c r="D17">
        <v>76</v>
      </c>
      <c r="E17">
        <v>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F6F7-62C7-4DE0-87A0-006EFDBF6EB0}">
  <dimension ref="A1:F121"/>
  <sheetViews>
    <sheetView workbookViewId="0"/>
  </sheetViews>
  <sheetFormatPr defaultRowHeight="15" x14ac:dyDescent="0.25"/>
  <cols>
    <col min="1" max="1" width="11.140625" bestFit="1" customWidth="1"/>
    <col min="2" max="2" width="34.7109375" bestFit="1" customWidth="1"/>
    <col min="3" max="3" width="18.140625" bestFit="1" customWidth="1"/>
    <col min="4" max="6" width="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6</v>
      </c>
      <c r="B5" t="s">
        <v>21</v>
      </c>
      <c r="C5" t="s">
        <v>22</v>
      </c>
      <c r="D5" t="s">
        <v>23</v>
      </c>
      <c r="E5" t="s">
        <v>23</v>
      </c>
      <c r="F5" t="s">
        <v>23</v>
      </c>
    </row>
    <row r="6" spans="1:6" x14ac:dyDescent="0.25">
      <c r="A6" t="s">
        <v>6</v>
      </c>
      <c r="B6" t="s">
        <v>24</v>
      </c>
      <c r="C6" t="s">
        <v>25</v>
      </c>
      <c r="D6" t="s">
        <v>23</v>
      </c>
      <c r="E6" t="s">
        <v>23</v>
      </c>
      <c r="F6" t="s">
        <v>23</v>
      </c>
    </row>
    <row r="7" spans="1:6" x14ac:dyDescent="0.25">
      <c r="A7" t="s">
        <v>26</v>
      </c>
      <c r="B7" t="s">
        <v>27</v>
      </c>
      <c r="C7" t="s">
        <v>22</v>
      </c>
      <c r="D7" t="s">
        <v>28</v>
      </c>
      <c r="E7" t="s">
        <v>29</v>
      </c>
      <c r="F7" t="s">
        <v>30</v>
      </c>
    </row>
    <row r="8" spans="1:6" x14ac:dyDescent="0.25">
      <c r="A8" t="s">
        <v>26</v>
      </c>
      <c r="B8" t="s">
        <v>16</v>
      </c>
      <c r="C8" t="s">
        <v>22</v>
      </c>
      <c r="D8" t="s">
        <v>31</v>
      </c>
      <c r="E8" t="s">
        <v>32</v>
      </c>
      <c r="F8" t="s">
        <v>33</v>
      </c>
    </row>
    <row r="9" spans="1:6" x14ac:dyDescent="0.25">
      <c r="A9" t="s">
        <v>26</v>
      </c>
      <c r="B9" t="s">
        <v>34</v>
      </c>
      <c r="C9" t="s">
        <v>8</v>
      </c>
      <c r="D9" t="s">
        <v>35</v>
      </c>
      <c r="E9" t="s">
        <v>23</v>
      </c>
      <c r="F9" t="s">
        <v>15</v>
      </c>
    </row>
    <row r="10" spans="1:6" x14ac:dyDescent="0.25">
      <c r="A10" t="s">
        <v>6</v>
      </c>
      <c r="B10" t="s">
        <v>7</v>
      </c>
      <c r="C10" t="s">
        <v>36</v>
      </c>
      <c r="D10" t="s">
        <v>37</v>
      </c>
      <c r="E10" t="s">
        <v>38</v>
      </c>
      <c r="F10" t="s">
        <v>39</v>
      </c>
    </row>
    <row r="11" spans="1:6" x14ac:dyDescent="0.25">
      <c r="A11" t="s">
        <v>6</v>
      </c>
      <c r="B11" t="s">
        <v>27</v>
      </c>
      <c r="C11" t="s">
        <v>17</v>
      </c>
      <c r="D11" t="s">
        <v>40</v>
      </c>
      <c r="E11" t="s">
        <v>41</v>
      </c>
      <c r="F11" t="s">
        <v>29</v>
      </c>
    </row>
    <row r="12" spans="1:6" x14ac:dyDescent="0.25">
      <c r="A12" t="s">
        <v>26</v>
      </c>
      <c r="B12" t="s">
        <v>42</v>
      </c>
      <c r="C12" t="s">
        <v>8</v>
      </c>
      <c r="D12" t="s">
        <v>43</v>
      </c>
      <c r="E12" t="s">
        <v>44</v>
      </c>
      <c r="F12" t="s">
        <v>23</v>
      </c>
    </row>
    <row r="13" spans="1:6" x14ac:dyDescent="0.25">
      <c r="A13" t="s">
        <v>26</v>
      </c>
      <c r="B13" t="s">
        <v>7</v>
      </c>
      <c r="C13" t="s">
        <v>25</v>
      </c>
      <c r="D13" t="s">
        <v>45</v>
      </c>
      <c r="E13" t="s">
        <v>46</v>
      </c>
      <c r="F13" t="s">
        <v>47</v>
      </c>
    </row>
    <row r="14" spans="1:6" x14ac:dyDescent="0.25">
      <c r="A14" t="s">
        <v>26</v>
      </c>
      <c r="B14" t="s">
        <v>48</v>
      </c>
      <c r="C14" t="s">
        <v>8</v>
      </c>
      <c r="D14" t="s">
        <v>49</v>
      </c>
      <c r="E14" t="s">
        <v>50</v>
      </c>
      <c r="F14" t="s">
        <v>13</v>
      </c>
    </row>
    <row r="15" spans="1:6" x14ac:dyDescent="0.25">
      <c r="A15" t="s">
        <v>6</v>
      </c>
      <c r="B15" t="s">
        <v>51</v>
      </c>
      <c r="C15" t="s">
        <v>17</v>
      </c>
      <c r="D15" t="s">
        <v>52</v>
      </c>
      <c r="E15" t="s">
        <v>53</v>
      </c>
      <c r="F15" t="s">
        <v>23</v>
      </c>
    </row>
    <row r="16" spans="1:6" x14ac:dyDescent="0.25">
      <c r="A16" t="s">
        <v>6</v>
      </c>
      <c r="B16" t="s">
        <v>42</v>
      </c>
      <c r="C16" t="s">
        <v>22</v>
      </c>
      <c r="D16" t="s">
        <v>54</v>
      </c>
      <c r="E16" t="s">
        <v>55</v>
      </c>
      <c r="F16" t="s">
        <v>23</v>
      </c>
    </row>
    <row r="17" spans="1:6" x14ac:dyDescent="0.25">
      <c r="A17" t="s">
        <v>6</v>
      </c>
      <c r="B17" t="s">
        <v>27</v>
      </c>
      <c r="C17" t="s">
        <v>25</v>
      </c>
      <c r="D17" t="s">
        <v>56</v>
      </c>
      <c r="E17" t="s">
        <v>57</v>
      </c>
      <c r="F17" t="s">
        <v>45</v>
      </c>
    </row>
    <row r="18" spans="1:6" x14ac:dyDescent="0.25">
      <c r="A18" t="s">
        <v>6</v>
      </c>
      <c r="B18" t="s">
        <v>16</v>
      </c>
      <c r="C18" t="s">
        <v>25</v>
      </c>
      <c r="D18" t="s">
        <v>58</v>
      </c>
      <c r="E18" t="s">
        <v>59</v>
      </c>
      <c r="F18" t="s">
        <v>60</v>
      </c>
    </row>
    <row r="19" spans="1:6" x14ac:dyDescent="0.25">
      <c r="A19" t="s">
        <v>26</v>
      </c>
      <c r="B19" t="s">
        <v>48</v>
      </c>
      <c r="C19" t="s">
        <v>36</v>
      </c>
      <c r="D19" t="s">
        <v>61</v>
      </c>
      <c r="E19" t="s">
        <v>62</v>
      </c>
      <c r="F19" t="s">
        <v>63</v>
      </c>
    </row>
    <row r="20" spans="1:6" x14ac:dyDescent="0.25">
      <c r="A20" t="s">
        <v>26</v>
      </c>
      <c r="B20" t="s">
        <v>12</v>
      </c>
      <c r="C20" t="s">
        <v>25</v>
      </c>
      <c r="D20" t="s">
        <v>64</v>
      </c>
      <c r="E20" t="s">
        <v>23</v>
      </c>
      <c r="F20" t="s">
        <v>15</v>
      </c>
    </row>
    <row r="21" spans="1:6" x14ac:dyDescent="0.25">
      <c r="A21" t="s">
        <v>6</v>
      </c>
      <c r="B21" t="s">
        <v>51</v>
      </c>
      <c r="C21" t="s">
        <v>25</v>
      </c>
      <c r="D21" t="s">
        <v>65</v>
      </c>
      <c r="E21" t="s">
        <v>66</v>
      </c>
      <c r="F21" t="s">
        <v>23</v>
      </c>
    </row>
    <row r="22" spans="1:6" x14ac:dyDescent="0.25">
      <c r="A22" t="s">
        <v>6</v>
      </c>
      <c r="B22" t="s">
        <v>27</v>
      </c>
      <c r="C22" t="s">
        <v>8</v>
      </c>
      <c r="D22" t="s">
        <v>49</v>
      </c>
      <c r="E22" t="s">
        <v>29</v>
      </c>
      <c r="F22" t="s">
        <v>67</v>
      </c>
    </row>
    <row r="23" spans="1:6" x14ac:dyDescent="0.25">
      <c r="A23" t="s">
        <v>6</v>
      </c>
      <c r="B23" t="s">
        <v>16</v>
      </c>
      <c r="C23" t="s">
        <v>8</v>
      </c>
      <c r="D23" t="s">
        <v>68</v>
      </c>
      <c r="E23" t="s">
        <v>69</v>
      </c>
      <c r="F23" t="s">
        <v>70</v>
      </c>
    </row>
    <row r="24" spans="1:6" x14ac:dyDescent="0.25">
      <c r="A24" t="s">
        <v>6</v>
      </c>
      <c r="B24" t="s">
        <v>24</v>
      </c>
      <c r="C24" t="s">
        <v>17</v>
      </c>
      <c r="D24" t="s">
        <v>23</v>
      </c>
      <c r="E24" t="s">
        <v>23</v>
      </c>
      <c r="F24" t="s">
        <v>23</v>
      </c>
    </row>
    <row r="25" spans="1:6" x14ac:dyDescent="0.25">
      <c r="A25" t="s">
        <v>26</v>
      </c>
      <c r="B25" t="s">
        <v>7</v>
      </c>
      <c r="C25" t="s">
        <v>17</v>
      </c>
      <c r="D25" t="s">
        <v>71</v>
      </c>
      <c r="E25" t="s">
        <v>72</v>
      </c>
      <c r="F25" t="s">
        <v>73</v>
      </c>
    </row>
    <row r="26" spans="1:6" x14ac:dyDescent="0.25">
      <c r="A26" t="s">
        <v>26</v>
      </c>
      <c r="B26" t="s">
        <v>27</v>
      </c>
      <c r="C26" t="s">
        <v>25</v>
      </c>
      <c r="D26" t="s">
        <v>49</v>
      </c>
      <c r="E26" t="s">
        <v>62</v>
      </c>
      <c r="F26" t="s">
        <v>74</v>
      </c>
    </row>
    <row r="27" spans="1:6" x14ac:dyDescent="0.25">
      <c r="A27" t="s">
        <v>26</v>
      </c>
      <c r="B27" t="s">
        <v>12</v>
      </c>
      <c r="C27" t="s">
        <v>17</v>
      </c>
      <c r="D27" t="s">
        <v>23</v>
      </c>
      <c r="E27" t="s">
        <v>15</v>
      </c>
      <c r="F27" t="s">
        <v>23</v>
      </c>
    </row>
    <row r="28" spans="1:6" x14ac:dyDescent="0.25">
      <c r="A28" t="s">
        <v>26</v>
      </c>
      <c r="B28" t="s">
        <v>16</v>
      </c>
      <c r="C28" t="s">
        <v>25</v>
      </c>
      <c r="D28" t="s">
        <v>46</v>
      </c>
      <c r="E28" t="s">
        <v>75</v>
      </c>
      <c r="F28" t="s">
        <v>32</v>
      </c>
    </row>
    <row r="29" spans="1:6" x14ac:dyDescent="0.25">
      <c r="A29" t="s">
        <v>6</v>
      </c>
      <c r="B29" t="s">
        <v>51</v>
      </c>
      <c r="C29" t="s">
        <v>36</v>
      </c>
      <c r="D29" t="s">
        <v>40</v>
      </c>
      <c r="E29" t="s">
        <v>76</v>
      </c>
      <c r="F29" t="s">
        <v>23</v>
      </c>
    </row>
    <row r="30" spans="1:6" x14ac:dyDescent="0.25">
      <c r="A30" t="s">
        <v>6</v>
      </c>
      <c r="B30" t="s">
        <v>27</v>
      </c>
      <c r="C30" t="s">
        <v>22</v>
      </c>
      <c r="D30" t="s">
        <v>77</v>
      </c>
      <c r="E30" t="s">
        <v>78</v>
      </c>
      <c r="F30" t="s">
        <v>29</v>
      </c>
    </row>
    <row r="31" spans="1:6" x14ac:dyDescent="0.25">
      <c r="A31" t="s">
        <v>6</v>
      </c>
      <c r="B31" t="s">
        <v>16</v>
      </c>
      <c r="C31" t="s">
        <v>22</v>
      </c>
      <c r="D31" t="s">
        <v>79</v>
      </c>
      <c r="E31" t="s">
        <v>80</v>
      </c>
      <c r="F31" t="s">
        <v>81</v>
      </c>
    </row>
    <row r="32" spans="1:6" x14ac:dyDescent="0.25">
      <c r="A32" t="s">
        <v>6</v>
      </c>
      <c r="B32" t="s">
        <v>24</v>
      </c>
      <c r="C32" t="s">
        <v>36</v>
      </c>
      <c r="D32" t="s">
        <v>23</v>
      </c>
      <c r="E32" t="s">
        <v>23</v>
      </c>
      <c r="F32" t="s">
        <v>23</v>
      </c>
    </row>
    <row r="33" spans="1:6" x14ac:dyDescent="0.25">
      <c r="A33" t="s">
        <v>26</v>
      </c>
      <c r="B33" t="s">
        <v>51</v>
      </c>
      <c r="C33" t="s">
        <v>25</v>
      </c>
      <c r="D33" t="s">
        <v>50</v>
      </c>
      <c r="E33" t="s">
        <v>71</v>
      </c>
      <c r="F33" t="s">
        <v>23</v>
      </c>
    </row>
    <row r="34" spans="1:6" x14ac:dyDescent="0.25">
      <c r="A34" t="s">
        <v>26</v>
      </c>
      <c r="B34" t="s">
        <v>16</v>
      </c>
      <c r="C34" t="s">
        <v>17</v>
      </c>
      <c r="D34" t="s">
        <v>82</v>
      </c>
      <c r="E34" t="s">
        <v>83</v>
      </c>
      <c r="F34" t="s">
        <v>83</v>
      </c>
    </row>
    <row r="35" spans="1:6" x14ac:dyDescent="0.25">
      <c r="A35" t="s">
        <v>26</v>
      </c>
      <c r="B35" t="s">
        <v>21</v>
      </c>
      <c r="C35" t="s">
        <v>8</v>
      </c>
      <c r="D35" t="s">
        <v>84</v>
      </c>
      <c r="E35" t="s">
        <v>75</v>
      </c>
      <c r="F35" t="s">
        <v>85</v>
      </c>
    </row>
    <row r="36" spans="1:6" x14ac:dyDescent="0.25">
      <c r="A36" t="s">
        <v>26</v>
      </c>
      <c r="B36" t="s">
        <v>21</v>
      </c>
      <c r="C36" t="s">
        <v>22</v>
      </c>
      <c r="D36" t="s">
        <v>23</v>
      </c>
      <c r="E36" t="s">
        <v>23</v>
      </c>
      <c r="F36" t="s">
        <v>15</v>
      </c>
    </row>
    <row r="37" spans="1:6" x14ac:dyDescent="0.25">
      <c r="A37" t="s">
        <v>26</v>
      </c>
      <c r="B37" t="s">
        <v>24</v>
      </c>
      <c r="C37" t="s">
        <v>25</v>
      </c>
      <c r="D37" t="s">
        <v>23</v>
      </c>
      <c r="E37" t="s">
        <v>15</v>
      </c>
      <c r="F37" t="s">
        <v>23</v>
      </c>
    </row>
    <row r="38" spans="1:6" x14ac:dyDescent="0.25">
      <c r="A38" t="s">
        <v>6</v>
      </c>
      <c r="B38" t="s">
        <v>51</v>
      </c>
      <c r="C38" t="s">
        <v>8</v>
      </c>
      <c r="D38" t="s">
        <v>86</v>
      </c>
      <c r="E38" t="s">
        <v>57</v>
      </c>
      <c r="F38" t="s">
        <v>23</v>
      </c>
    </row>
    <row r="39" spans="1:6" x14ac:dyDescent="0.25">
      <c r="A39" t="s">
        <v>6</v>
      </c>
      <c r="B39" t="s">
        <v>51</v>
      </c>
      <c r="C39" t="s">
        <v>22</v>
      </c>
      <c r="D39" t="s">
        <v>63</v>
      </c>
      <c r="E39" t="s">
        <v>71</v>
      </c>
      <c r="F39" t="s">
        <v>23</v>
      </c>
    </row>
    <row r="40" spans="1:6" x14ac:dyDescent="0.25">
      <c r="A40" t="s">
        <v>6</v>
      </c>
      <c r="B40" t="s">
        <v>48</v>
      </c>
      <c r="C40" t="s">
        <v>22</v>
      </c>
      <c r="D40" t="s">
        <v>87</v>
      </c>
      <c r="E40" t="s">
        <v>88</v>
      </c>
      <c r="F40" t="s">
        <v>67</v>
      </c>
    </row>
    <row r="41" spans="1:6" x14ac:dyDescent="0.25">
      <c r="A41" t="s">
        <v>6</v>
      </c>
      <c r="B41" t="s">
        <v>34</v>
      </c>
      <c r="C41" t="s">
        <v>36</v>
      </c>
      <c r="D41" t="s">
        <v>23</v>
      </c>
      <c r="E41" t="s">
        <v>23</v>
      </c>
      <c r="F41" t="s">
        <v>89</v>
      </c>
    </row>
    <row r="42" spans="1:6" x14ac:dyDescent="0.25">
      <c r="A42" t="s">
        <v>6</v>
      </c>
      <c r="B42" t="s">
        <v>24</v>
      </c>
      <c r="C42" t="s">
        <v>8</v>
      </c>
      <c r="D42" t="s">
        <v>89</v>
      </c>
      <c r="E42" t="s">
        <v>23</v>
      </c>
      <c r="F42" t="s">
        <v>23</v>
      </c>
    </row>
    <row r="43" spans="1:6" x14ac:dyDescent="0.25">
      <c r="A43" t="s">
        <v>6</v>
      </c>
      <c r="B43" t="s">
        <v>24</v>
      </c>
      <c r="C43" t="s">
        <v>22</v>
      </c>
      <c r="D43" t="s">
        <v>15</v>
      </c>
      <c r="E43" t="s">
        <v>23</v>
      </c>
      <c r="F43" t="s">
        <v>23</v>
      </c>
    </row>
    <row r="44" spans="1:6" x14ac:dyDescent="0.25">
      <c r="A44" t="s">
        <v>26</v>
      </c>
      <c r="B44" t="s">
        <v>27</v>
      </c>
      <c r="C44" t="s">
        <v>17</v>
      </c>
      <c r="D44" t="s">
        <v>56</v>
      </c>
      <c r="E44" t="s">
        <v>49</v>
      </c>
      <c r="F44" t="s">
        <v>90</v>
      </c>
    </row>
    <row r="45" spans="1:6" x14ac:dyDescent="0.25">
      <c r="A45" t="s">
        <v>6</v>
      </c>
      <c r="B45" t="s">
        <v>27</v>
      </c>
      <c r="C45" t="s">
        <v>36</v>
      </c>
      <c r="D45" t="s">
        <v>56</v>
      </c>
      <c r="E45" t="s">
        <v>91</v>
      </c>
      <c r="F45" t="s">
        <v>92</v>
      </c>
    </row>
    <row r="46" spans="1:6" x14ac:dyDescent="0.25">
      <c r="A46" t="s">
        <v>6</v>
      </c>
      <c r="B46" t="s">
        <v>12</v>
      </c>
      <c r="C46" t="s">
        <v>36</v>
      </c>
      <c r="D46" t="s">
        <v>13</v>
      </c>
      <c r="E46" t="s">
        <v>13</v>
      </c>
      <c r="F46" t="s">
        <v>15</v>
      </c>
    </row>
    <row r="47" spans="1:6" x14ac:dyDescent="0.25">
      <c r="A47" t="s">
        <v>6</v>
      </c>
      <c r="B47" t="s">
        <v>16</v>
      </c>
      <c r="C47" t="s">
        <v>36</v>
      </c>
      <c r="D47" t="s">
        <v>93</v>
      </c>
      <c r="E47" t="s">
        <v>18</v>
      </c>
      <c r="F47" t="s">
        <v>94</v>
      </c>
    </row>
    <row r="48" spans="1:6" x14ac:dyDescent="0.25">
      <c r="A48" t="s">
        <v>6</v>
      </c>
      <c r="B48" t="s">
        <v>21</v>
      </c>
      <c r="C48" t="s">
        <v>36</v>
      </c>
      <c r="D48" t="s">
        <v>23</v>
      </c>
      <c r="E48" t="s">
        <v>77</v>
      </c>
      <c r="F48" t="s">
        <v>56</v>
      </c>
    </row>
    <row r="49" spans="1:6" x14ac:dyDescent="0.25">
      <c r="A49" t="s">
        <v>6</v>
      </c>
      <c r="B49" t="s">
        <v>21</v>
      </c>
      <c r="C49" t="s">
        <v>25</v>
      </c>
      <c r="D49" t="s">
        <v>23</v>
      </c>
      <c r="E49" t="s">
        <v>23</v>
      </c>
      <c r="F49" t="s">
        <v>23</v>
      </c>
    </row>
    <row r="50" spans="1:6" x14ac:dyDescent="0.25">
      <c r="A50" t="s">
        <v>6</v>
      </c>
      <c r="B50" t="s">
        <v>95</v>
      </c>
      <c r="C50" t="s">
        <v>8</v>
      </c>
      <c r="D50" t="s">
        <v>23</v>
      </c>
      <c r="E50" t="s">
        <v>23</v>
      </c>
      <c r="F50" t="s">
        <v>23</v>
      </c>
    </row>
    <row r="51" spans="1:6" x14ac:dyDescent="0.25">
      <c r="A51" t="s">
        <v>26</v>
      </c>
      <c r="B51" t="s">
        <v>34</v>
      </c>
      <c r="C51" t="s">
        <v>17</v>
      </c>
      <c r="D51" t="s">
        <v>23</v>
      </c>
      <c r="E51" t="s">
        <v>23</v>
      </c>
      <c r="F51" t="s">
        <v>15</v>
      </c>
    </row>
    <row r="52" spans="1:6" x14ac:dyDescent="0.25">
      <c r="A52" t="s">
        <v>6</v>
      </c>
      <c r="B52" t="s">
        <v>7</v>
      </c>
      <c r="C52" t="s">
        <v>22</v>
      </c>
      <c r="D52" t="s">
        <v>47</v>
      </c>
      <c r="E52" t="s">
        <v>96</v>
      </c>
      <c r="F52" t="s">
        <v>97</v>
      </c>
    </row>
    <row r="53" spans="1:6" x14ac:dyDescent="0.25">
      <c r="A53" t="s">
        <v>6</v>
      </c>
      <c r="B53" t="s">
        <v>12</v>
      </c>
      <c r="C53" t="s">
        <v>22</v>
      </c>
      <c r="D53" t="s">
        <v>15</v>
      </c>
      <c r="E53" t="s">
        <v>15</v>
      </c>
      <c r="F53" t="s">
        <v>15</v>
      </c>
    </row>
    <row r="54" spans="1:6" x14ac:dyDescent="0.25">
      <c r="A54" t="s">
        <v>26</v>
      </c>
      <c r="B54" t="s">
        <v>51</v>
      </c>
      <c r="C54" t="s">
        <v>36</v>
      </c>
      <c r="D54" t="s">
        <v>98</v>
      </c>
      <c r="E54" t="s">
        <v>19</v>
      </c>
      <c r="F54" t="s">
        <v>23</v>
      </c>
    </row>
    <row r="55" spans="1:6" x14ac:dyDescent="0.25">
      <c r="A55" t="s">
        <v>26</v>
      </c>
      <c r="B55" t="s">
        <v>27</v>
      </c>
      <c r="C55" t="s">
        <v>8</v>
      </c>
      <c r="D55" t="s">
        <v>78</v>
      </c>
      <c r="E55" t="s">
        <v>78</v>
      </c>
      <c r="F55" t="s">
        <v>13</v>
      </c>
    </row>
    <row r="56" spans="1:6" x14ac:dyDescent="0.25">
      <c r="A56" t="s">
        <v>26</v>
      </c>
      <c r="B56" t="s">
        <v>48</v>
      </c>
      <c r="C56" t="s">
        <v>22</v>
      </c>
      <c r="D56" t="s">
        <v>63</v>
      </c>
      <c r="E56" t="s">
        <v>78</v>
      </c>
      <c r="F56" t="s">
        <v>67</v>
      </c>
    </row>
    <row r="57" spans="1:6" x14ac:dyDescent="0.25">
      <c r="A57" t="s">
        <v>26</v>
      </c>
      <c r="B57" t="s">
        <v>16</v>
      </c>
      <c r="C57" t="s">
        <v>8</v>
      </c>
      <c r="D57" t="s">
        <v>99</v>
      </c>
      <c r="E57" t="s">
        <v>91</v>
      </c>
      <c r="F57" t="s">
        <v>99</v>
      </c>
    </row>
    <row r="58" spans="1:6" x14ac:dyDescent="0.25">
      <c r="A58" t="s">
        <v>26</v>
      </c>
      <c r="B58" t="s">
        <v>21</v>
      </c>
      <c r="C58" t="s">
        <v>17</v>
      </c>
      <c r="D58" t="s">
        <v>23</v>
      </c>
      <c r="E58" t="s">
        <v>23</v>
      </c>
      <c r="F58" t="s">
        <v>23</v>
      </c>
    </row>
    <row r="59" spans="1:6" x14ac:dyDescent="0.25">
      <c r="A59" t="s">
        <v>26</v>
      </c>
      <c r="B59" t="s">
        <v>24</v>
      </c>
      <c r="C59" t="s">
        <v>36</v>
      </c>
      <c r="D59" t="s">
        <v>23</v>
      </c>
      <c r="E59" t="s">
        <v>23</v>
      </c>
      <c r="F59" t="s">
        <v>23</v>
      </c>
    </row>
    <row r="60" spans="1:6" x14ac:dyDescent="0.25">
      <c r="A60" t="s">
        <v>6</v>
      </c>
      <c r="B60" t="s">
        <v>42</v>
      </c>
      <c r="C60" t="s">
        <v>36</v>
      </c>
      <c r="D60" t="s">
        <v>100</v>
      </c>
      <c r="E60" t="s">
        <v>101</v>
      </c>
      <c r="F60" t="s">
        <v>23</v>
      </c>
    </row>
    <row r="61" spans="1:6" x14ac:dyDescent="0.25">
      <c r="A61" t="s">
        <v>6</v>
      </c>
      <c r="B61" t="s">
        <v>42</v>
      </c>
      <c r="C61" t="s">
        <v>17</v>
      </c>
      <c r="D61" t="s">
        <v>102</v>
      </c>
      <c r="E61" t="s">
        <v>103</v>
      </c>
      <c r="F61" t="s">
        <v>23</v>
      </c>
    </row>
    <row r="62" spans="1:6" x14ac:dyDescent="0.25">
      <c r="A62" t="s">
        <v>6</v>
      </c>
      <c r="B62" t="s">
        <v>48</v>
      </c>
      <c r="C62" t="s">
        <v>36</v>
      </c>
      <c r="D62" t="s">
        <v>62</v>
      </c>
      <c r="E62" t="s">
        <v>98</v>
      </c>
      <c r="F62" t="s">
        <v>90</v>
      </c>
    </row>
    <row r="63" spans="1:6" x14ac:dyDescent="0.25">
      <c r="A63" t="s">
        <v>6</v>
      </c>
      <c r="B63" t="s">
        <v>21</v>
      </c>
      <c r="C63" t="s">
        <v>8</v>
      </c>
      <c r="D63" t="s">
        <v>104</v>
      </c>
      <c r="E63" t="s">
        <v>105</v>
      </c>
      <c r="F63" t="s">
        <v>106</v>
      </c>
    </row>
    <row r="64" spans="1:6" x14ac:dyDescent="0.25">
      <c r="A64" t="s">
        <v>6</v>
      </c>
      <c r="B64" t="s">
        <v>34</v>
      </c>
      <c r="C64" t="s">
        <v>25</v>
      </c>
      <c r="D64" t="s">
        <v>23</v>
      </c>
      <c r="E64" t="s">
        <v>23</v>
      </c>
      <c r="F64" t="s">
        <v>15</v>
      </c>
    </row>
    <row r="65" spans="1:6" x14ac:dyDescent="0.25">
      <c r="A65" t="s">
        <v>26</v>
      </c>
      <c r="B65" t="s">
        <v>51</v>
      </c>
      <c r="C65" t="s">
        <v>8</v>
      </c>
      <c r="D65" t="s">
        <v>56</v>
      </c>
      <c r="E65" t="s">
        <v>49</v>
      </c>
      <c r="F65" t="s">
        <v>23</v>
      </c>
    </row>
    <row r="66" spans="1:6" x14ac:dyDescent="0.25">
      <c r="A66" t="s">
        <v>26</v>
      </c>
      <c r="B66" t="s">
        <v>42</v>
      </c>
      <c r="C66" t="s">
        <v>22</v>
      </c>
      <c r="D66" t="s">
        <v>107</v>
      </c>
      <c r="E66" t="s">
        <v>108</v>
      </c>
      <c r="F66" t="s">
        <v>23</v>
      </c>
    </row>
    <row r="67" spans="1:6" x14ac:dyDescent="0.25">
      <c r="A67" t="s">
        <v>26</v>
      </c>
      <c r="B67" t="s">
        <v>27</v>
      </c>
      <c r="C67" t="s">
        <v>36</v>
      </c>
      <c r="D67" t="s">
        <v>91</v>
      </c>
      <c r="E67" t="s">
        <v>61</v>
      </c>
      <c r="F67" t="s">
        <v>88</v>
      </c>
    </row>
    <row r="68" spans="1:6" x14ac:dyDescent="0.25">
      <c r="A68" t="s">
        <v>26</v>
      </c>
      <c r="B68" t="s">
        <v>16</v>
      </c>
      <c r="C68" t="s">
        <v>36</v>
      </c>
      <c r="D68" t="s">
        <v>109</v>
      </c>
      <c r="E68" t="s">
        <v>110</v>
      </c>
      <c r="F68" t="s">
        <v>111</v>
      </c>
    </row>
    <row r="69" spans="1:6" x14ac:dyDescent="0.25">
      <c r="A69" t="s">
        <v>26</v>
      </c>
      <c r="B69" t="s">
        <v>24</v>
      </c>
      <c r="C69" t="s">
        <v>8</v>
      </c>
      <c r="D69" t="s">
        <v>15</v>
      </c>
      <c r="E69" t="s">
        <v>23</v>
      </c>
      <c r="F69" t="s">
        <v>23</v>
      </c>
    </row>
    <row r="70" spans="1:6" x14ac:dyDescent="0.25">
      <c r="A70" t="s">
        <v>6</v>
      </c>
      <c r="B70" t="s">
        <v>42</v>
      </c>
      <c r="C70" t="s">
        <v>8</v>
      </c>
      <c r="D70" t="s">
        <v>112</v>
      </c>
      <c r="E70" t="s">
        <v>96</v>
      </c>
      <c r="F70" t="s">
        <v>23</v>
      </c>
    </row>
    <row r="71" spans="1:6" x14ac:dyDescent="0.25">
      <c r="A71" t="s">
        <v>6</v>
      </c>
      <c r="B71" t="s">
        <v>7</v>
      </c>
      <c r="C71" t="s">
        <v>25</v>
      </c>
      <c r="D71" t="s">
        <v>113</v>
      </c>
      <c r="E71" t="s">
        <v>114</v>
      </c>
      <c r="F71" t="s">
        <v>115</v>
      </c>
    </row>
    <row r="72" spans="1:6" x14ac:dyDescent="0.25">
      <c r="A72" t="s">
        <v>6</v>
      </c>
      <c r="B72" t="s">
        <v>48</v>
      </c>
      <c r="C72" t="s">
        <v>8</v>
      </c>
      <c r="D72" t="s">
        <v>91</v>
      </c>
      <c r="E72" t="s">
        <v>30</v>
      </c>
      <c r="F72" t="s">
        <v>67</v>
      </c>
    </row>
    <row r="73" spans="1:6" x14ac:dyDescent="0.25">
      <c r="A73" t="s">
        <v>6</v>
      </c>
      <c r="B73" t="s">
        <v>12</v>
      </c>
      <c r="C73" t="s">
        <v>25</v>
      </c>
      <c r="D73" t="s">
        <v>23</v>
      </c>
      <c r="E73" t="s">
        <v>23</v>
      </c>
      <c r="F73" t="s">
        <v>23</v>
      </c>
    </row>
    <row r="74" spans="1:6" x14ac:dyDescent="0.25">
      <c r="A74" t="s">
        <v>26</v>
      </c>
      <c r="B74" t="s">
        <v>48</v>
      </c>
      <c r="C74" t="s">
        <v>25</v>
      </c>
      <c r="D74" t="s">
        <v>64</v>
      </c>
      <c r="E74" t="s">
        <v>89</v>
      </c>
      <c r="F74" t="s">
        <v>64</v>
      </c>
    </row>
    <row r="75" spans="1:6" x14ac:dyDescent="0.25">
      <c r="A75" t="s">
        <v>26</v>
      </c>
      <c r="B75" t="s">
        <v>21</v>
      </c>
      <c r="C75" t="s">
        <v>25</v>
      </c>
      <c r="D75" t="s">
        <v>23</v>
      </c>
      <c r="E75" t="s">
        <v>23</v>
      </c>
      <c r="F75" t="s">
        <v>23</v>
      </c>
    </row>
    <row r="76" spans="1:6" x14ac:dyDescent="0.25">
      <c r="A76" t="s">
        <v>26</v>
      </c>
      <c r="B76" t="s">
        <v>24</v>
      </c>
      <c r="C76" t="s">
        <v>17</v>
      </c>
      <c r="D76" t="s">
        <v>15</v>
      </c>
      <c r="E76" t="s">
        <v>23</v>
      </c>
      <c r="F76" t="s">
        <v>23</v>
      </c>
    </row>
    <row r="77" spans="1:6" x14ac:dyDescent="0.25">
      <c r="A77" t="s">
        <v>6</v>
      </c>
      <c r="B77" t="s">
        <v>42</v>
      </c>
      <c r="C77" t="s">
        <v>25</v>
      </c>
      <c r="D77" t="s">
        <v>116</v>
      </c>
      <c r="E77" t="s">
        <v>117</v>
      </c>
      <c r="F77" t="s">
        <v>23</v>
      </c>
    </row>
    <row r="78" spans="1:6" x14ac:dyDescent="0.25">
      <c r="A78" t="s">
        <v>6</v>
      </c>
      <c r="B78" t="s">
        <v>48</v>
      </c>
      <c r="C78" t="s">
        <v>17</v>
      </c>
      <c r="D78" t="s">
        <v>61</v>
      </c>
      <c r="E78" t="s">
        <v>61</v>
      </c>
      <c r="F78" t="s">
        <v>63</v>
      </c>
    </row>
    <row r="79" spans="1:6" x14ac:dyDescent="0.25">
      <c r="A79" t="s">
        <v>6</v>
      </c>
      <c r="B79" t="s">
        <v>48</v>
      </c>
      <c r="C79" t="s">
        <v>25</v>
      </c>
      <c r="D79" t="s">
        <v>90</v>
      </c>
      <c r="E79" t="s">
        <v>77</v>
      </c>
      <c r="F79" t="s">
        <v>13</v>
      </c>
    </row>
    <row r="80" spans="1:6" x14ac:dyDescent="0.25">
      <c r="A80" t="s">
        <v>26</v>
      </c>
      <c r="B80" t="s">
        <v>51</v>
      </c>
      <c r="C80" t="s">
        <v>17</v>
      </c>
      <c r="D80" t="s">
        <v>70</v>
      </c>
      <c r="E80" t="s">
        <v>118</v>
      </c>
      <c r="F80" t="s">
        <v>23</v>
      </c>
    </row>
    <row r="81" spans="1:6" x14ac:dyDescent="0.25">
      <c r="A81" t="s">
        <v>26</v>
      </c>
      <c r="B81" t="s">
        <v>42</v>
      </c>
      <c r="C81" t="s">
        <v>17</v>
      </c>
      <c r="D81" t="s">
        <v>119</v>
      </c>
      <c r="E81" t="s">
        <v>120</v>
      </c>
      <c r="F81" t="s">
        <v>23</v>
      </c>
    </row>
    <row r="82" spans="1:6" x14ac:dyDescent="0.25">
      <c r="A82" t="s">
        <v>26</v>
      </c>
      <c r="B82" t="s">
        <v>42</v>
      </c>
      <c r="C82" t="s">
        <v>25</v>
      </c>
      <c r="D82" t="s">
        <v>121</v>
      </c>
      <c r="E82" t="s">
        <v>122</v>
      </c>
      <c r="F82" t="s">
        <v>23</v>
      </c>
    </row>
    <row r="83" spans="1:6" x14ac:dyDescent="0.25">
      <c r="A83" t="s">
        <v>26</v>
      </c>
      <c r="B83" t="s">
        <v>34</v>
      </c>
      <c r="C83" t="s">
        <v>22</v>
      </c>
      <c r="D83" t="s">
        <v>23</v>
      </c>
      <c r="E83" t="s">
        <v>23</v>
      </c>
      <c r="F83" t="s">
        <v>23</v>
      </c>
    </row>
    <row r="84" spans="1:6" x14ac:dyDescent="0.25">
      <c r="A84" t="s">
        <v>6</v>
      </c>
      <c r="B84" t="s">
        <v>7</v>
      </c>
      <c r="C84" t="s">
        <v>17</v>
      </c>
      <c r="D84" t="s">
        <v>123</v>
      </c>
      <c r="E84" t="s">
        <v>124</v>
      </c>
      <c r="F84" t="s">
        <v>125</v>
      </c>
    </row>
    <row r="85" spans="1:6" x14ac:dyDescent="0.25">
      <c r="A85" t="s">
        <v>6</v>
      </c>
      <c r="B85" t="s">
        <v>12</v>
      </c>
      <c r="C85" t="s">
        <v>17</v>
      </c>
      <c r="D85" t="s">
        <v>23</v>
      </c>
      <c r="E85" t="s">
        <v>23</v>
      </c>
      <c r="F85" t="s">
        <v>23</v>
      </c>
    </row>
    <row r="86" spans="1:6" x14ac:dyDescent="0.25">
      <c r="A86" t="s">
        <v>6</v>
      </c>
      <c r="B86" t="s">
        <v>21</v>
      </c>
      <c r="C86" t="s">
        <v>17</v>
      </c>
      <c r="D86" t="s">
        <v>23</v>
      </c>
      <c r="E86" t="s">
        <v>23</v>
      </c>
      <c r="F86" t="s">
        <v>23</v>
      </c>
    </row>
    <row r="87" spans="1:6" x14ac:dyDescent="0.25">
      <c r="A87" t="s">
        <v>6</v>
      </c>
      <c r="B87" t="s">
        <v>34</v>
      </c>
      <c r="C87" t="s">
        <v>8</v>
      </c>
      <c r="D87" t="s">
        <v>13</v>
      </c>
      <c r="E87" t="s">
        <v>23</v>
      </c>
      <c r="F87" t="s">
        <v>35</v>
      </c>
    </row>
    <row r="88" spans="1:6" x14ac:dyDescent="0.25">
      <c r="A88" t="s">
        <v>6</v>
      </c>
      <c r="B88" t="s">
        <v>34</v>
      </c>
      <c r="C88" t="s">
        <v>22</v>
      </c>
      <c r="D88" t="s">
        <v>23</v>
      </c>
      <c r="E88" t="s">
        <v>23</v>
      </c>
      <c r="F88" t="s">
        <v>23</v>
      </c>
    </row>
    <row r="89" spans="1:6" x14ac:dyDescent="0.25">
      <c r="A89" t="s">
        <v>26</v>
      </c>
      <c r="B89" t="s">
        <v>7</v>
      </c>
      <c r="C89" t="s">
        <v>36</v>
      </c>
      <c r="D89" t="s">
        <v>121</v>
      </c>
      <c r="E89" t="s">
        <v>126</v>
      </c>
      <c r="F89" t="s">
        <v>127</v>
      </c>
    </row>
    <row r="90" spans="1:6" x14ac:dyDescent="0.25">
      <c r="A90" t="s">
        <v>26</v>
      </c>
      <c r="B90" t="s">
        <v>48</v>
      </c>
      <c r="C90" t="s">
        <v>17</v>
      </c>
      <c r="D90" t="s">
        <v>78</v>
      </c>
      <c r="E90" t="s">
        <v>90</v>
      </c>
      <c r="F90" t="s">
        <v>67</v>
      </c>
    </row>
    <row r="91" spans="1:6" x14ac:dyDescent="0.25">
      <c r="A91" t="s">
        <v>26</v>
      </c>
      <c r="B91" t="s">
        <v>12</v>
      </c>
      <c r="C91" t="s">
        <v>8</v>
      </c>
      <c r="D91" t="s">
        <v>64</v>
      </c>
      <c r="E91" t="s">
        <v>89</v>
      </c>
      <c r="F91" t="s">
        <v>15</v>
      </c>
    </row>
    <row r="92" spans="1:6" x14ac:dyDescent="0.25">
      <c r="A92" t="s">
        <v>26</v>
      </c>
      <c r="B92" t="s">
        <v>12</v>
      </c>
      <c r="C92" t="s">
        <v>22</v>
      </c>
      <c r="D92" t="s">
        <v>64</v>
      </c>
      <c r="E92" t="s">
        <v>35</v>
      </c>
      <c r="F92" t="s">
        <v>35</v>
      </c>
    </row>
    <row r="93" spans="1:6" x14ac:dyDescent="0.25">
      <c r="A93" t="s">
        <v>26</v>
      </c>
      <c r="B93" t="s">
        <v>42</v>
      </c>
      <c r="C93" t="s">
        <v>36</v>
      </c>
      <c r="D93" t="s">
        <v>128</v>
      </c>
      <c r="E93" t="s">
        <v>129</v>
      </c>
      <c r="F93" t="s">
        <v>23</v>
      </c>
    </row>
    <row r="94" spans="1:6" x14ac:dyDescent="0.25">
      <c r="A94" t="s">
        <v>26</v>
      </c>
      <c r="B94" t="s">
        <v>7</v>
      </c>
      <c r="C94" t="s">
        <v>8</v>
      </c>
      <c r="D94" t="s">
        <v>58</v>
      </c>
      <c r="E94" t="s">
        <v>130</v>
      </c>
      <c r="F94" t="s">
        <v>131</v>
      </c>
    </row>
    <row r="95" spans="1:6" x14ac:dyDescent="0.25">
      <c r="A95" t="s">
        <v>26</v>
      </c>
      <c r="B95" t="s">
        <v>7</v>
      </c>
      <c r="C95" t="s">
        <v>22</v>
      </c>
      <c r="D95" t="s">
        <v>13</v>
      </c>
      <c r="E95" t="s">
        <v>78</v>
      </c>
      <c r="F95" t="s">
        <v>132</v>
      </c>
    </row>
    <row r="96" spans="1:6" x14ac:dyDescent="0.25">
      <c r="A96" t="s">
        <v>26</v>
      </c>
      <c r="B96" t="s">
        <v>12</v>
      </c>
      <c r="C96" t="s">
        <v>36</v>
      </c>
      <c r="D96" t="s">
        <v>35</v>
      </c>
      <c r="E96" t="s">
        <v>15</v>
      </c>
      <c r="F96" t="s">
        <v>23</v>
      </c>
    </row>
    <row r="97" spans="1:6" x14ac:dyDescent="0.25">
      <c r="A97" t="s">
        <v>26</v>
      </c>
      <c r="B97" t="s">
        <v>34</v>
      </c>
      <c r="C97" t="s">
        <v>25</v>
      </c>
      <c r="D97" t="s">
        <v>23</v>
      </c>
      <c r="E97" t="s">
        <v>23</v>
      </c>
      <c r="F97" t="s">
        <v>23</v>
      </c>
    </row>
    <row r="98" spans="1:6" x14ac:dyDescent="0.25">
      <c r="A98" t="s">
        <v>26</v>
      </c>
      <c r="B98" t="s">
        <v>51</v>
      </c>
      <c r="C98" t="s">
        <v>22</v>
      </c>
      <c r="D98" t="s">
        <v>90</v>
      </c>
      <c r="E98" t="s">
        <v>132</v>
      </c>
      <c r="F98" t="s">
        <v>23</v>
      </c>
    </row>
    <row r="99" spans="1:6" x14ac:dyDescent="0.25">
      <c r="A99" t="s">
        <v>26</v>
      </c>
      <c r="B99" t="s">
        <v>24</v>
      </c>
      <c r="C99" t="s">
        <v>22</v>
      </c>
      <c r="D99" t="s">
        <v>23</v>
      </c>
      <c r="E99" t="s">
        <v>23</v>
      </c>
      <c r="F99" t="s">
        <v>23</v>
      </c>
    </row>
    <row r="100" spans="1:6" x14ac:dyDescent="0.25">
      <c r="A100" t="s">
        <v>26</v>
      </c>
      <c r="B100" t="s">
        <v>95</v>
      </c>
      <c r="C100" t="s">
        <v>8</v>
      </c>
      <c r="D100" t="s">
        <v>23</v>
      </c>
      <c r="E100" t="s">
        <v>23</v>
      </c>
      <c r="F100" t="s">
        <v>23</v>
      </c>
    </row>
    <row r="101" spans="1:6" x14ac:dyDescent="0.25">
      <c r="A101" t="s">
        <v>6</v>
      </c>
      <c r="B101" t="s">
        <v>34</v>
      </c>
      <c r="C101" t="s">
        <v>17</v>
      </c>
      <c r="D101" t="s">
        <v>15</v>
      </c>
      <c r="E101" t="s">
        <v>23</v>
      </c>
      <c r="F101" t="s">
        <v>15</v>
      </c>
    </row>
    <row r="102" spans="1:6" x14ac:dyDescent="0.25">
      <c r="A102" t="s">
        <v>26</v>
      </c>
      <c r="B102" t="s">
        <v>21</v>
      </c>
      <c r="C102" t="s">
        <v>36</v>
      </c>
      <c r="D102" t="s">
        <v>15</v>
      </c>
      <c r="E102" t="s">
        <v>74</v>
      </c>
      <c r="F102" t="s">
        <v>89</v>
      </c>
    </row>
    <row r="103" spans="1:6" x14ac:dyDescent="0.25">
      <c r="A103" t="s">
        <v>26</v>
      </c>
      <c r="B103" t="s">
        <v>34</v>
      </c>
      <c r="C103" t="s">
        <v>36</v>
      </c>
      <c r="D103" t="s">
        <v>23</v>
      </c>
      <c r="E103" t="s">
        <v>23</v>
      </c>
      <c r="F103" t="s">
        <v>23</v>
      </c>
    </row>
    <row r="104" spans="1:6" x14ac:dyDescent="0.25">
      <c r="A104" t="s">
        <v>26</v>
      </c>
      <c r="B104" t="s">
        <v>95</v>
      </c>
      <c r="C104" t="s">
        <v>17</v>
      </c>
      <c r="D104" t="s">
        <v>23</v>
      </c>
      <c r="E104" t="s">
        <v>23</v>
      </c>
      <c r="F104" t="s">
        <v>23</v>
      </c>
    </row>
    <row r="105" spans="1:6" x14ac:dyDescent="0.25">
      <c r="A105" t="s">
        <v>26</v>
      </c>
      <c r="B105" t="s">
        <v>133</v>
      </c>
      <c r="C105" t="s">
        <v>36</v>
      </c>
      <c r="D105" t="s">
        <v>23</v>
      </c>
      <c r="E105" t="s">
        <v>23</v>
      </c>
      <c r="F105" t="s">
        <v>134</v>
      </c>
    </row>
    <row r="106" spans="1:6" x14ac:dyDescent="0.25">
      <c r="A106" t="s">
        <v>26</v>
      </c>
      <c r="B106" t="s">
        <v>95</v>
      </c>
      <c r="C106" t="s">
        <v>36</v>
      </c>
      <c r="D106" t="s">
        <v>23</v>
      </c>
      <c r="E106" t="s">
        <v>23</v>
      </c>
      <c r="F106" t="s">
        <v>23</v>
      </c>
    </row>
    <row r="107" spans="1:6" x14ac:dyDescent="0.25">
      <c r="A107" t="s">
        <v>6</v>
      </c>
      <c r="B107" t="s">
        <v>133</v>
      </c>
      <c r="C107" t="s">
        <v>8</v>
      </c>
      <c r="D107" t="s">
        <v>23</v>
      </c>
      <c r="E107" t="s">
        <v>23</v>
      </c>
      <c r="F107" t="s">
        <v>135</v>
      </c>
    </row>
    <row r="108" spans="1:6" x14ac:dyDescent="0.25">
      <c r="A108" t="s">
        <v>6</v>
      </c>
      <c r="B108" t="s">
        <v>95</v>
      </c>
      <c r="C108" t="s">
        <v>22</v>
      </c>
      <c r="D108" t="s">
        <v>23</v>
      </c>
      <c r="E108" t="s">
        <v>23</v>
      </c>
      <c r="F108" t="s">
        <v>15</v>
      </c>
    </row>
    <row r="109" spans="1:6" x14ac:dyDescent="0.25">
      <c r="A109" t="s">
        <v>6</v>
      </c>
      <c r="B109" t="s">
        <v>95</v>
      </c>
      <c r="C109" t="s">
        <v>25</v>
      </c>
      <c r="D109" t="s">
        <v>23</v>
      </c>
      <c r="E109" t="s">
        <v>23</v>
      </c>
      <c r="F109" t="s">
        <v>23</v>
      </c>
    </row>
    <row r="110" spans="1:6" x14ac:dyDescent="0.25">
      <c r="A110" t="s">
        <v>26</v>
      </c>
      <c r="B110" t="s">
        <v>133</v>
      </c>
      <c r="C110" t="s">
        <v>8</v>
      </c>
      <c r="D110" t="s">
        <v>23</v>
      </c>
      <c r="E110" t="s">
        <v>23</v>
      </c>
      <c r="F110" t="s">
        <v>20</v>
      </c>
    </row>
    <row r="111" spans="1:6" x14ac:dyDescent="0.25">
      <c r="A111" t="s">
        <v>26</v>
      </c>
      <c r="B111" t="s">
        <v>95</v>
      </c>
      <c r="C111" t="s">
        <v>25</v>
      </c>
      <c r="D111" t="s">
        <v>23</v>
      </c>
      <c r="E111" t="s">
        <v>23</v>
      </c>
      <c r="F111" t="s">
        <v>23</v>
      </c>
    </row>
    <row r="112" spans="1:6" x14ac:dyDescent="0.25">
      <c r="A112" t="s">
        <v>26</v>
      </c>
      <c r="B112" t="s">
        <v>95</v>
      </c>
      <c r="C112" t="s">
        <v>22</v>
      </c>
      <c r="D112" t="s">
        <v>23</v>
      </c>
      <c r="E112" t="s">
        <v>23</v>
      </c>
      <c r="F112" t="s">
        <v>23</v>
      </c>
    </row>
    <row r="113" spans="1:6" x14ac:dyDescent="0.25">
      <c r="A113" t="s">
        <v>26</v>
      </c>
      <c r="B113" t="s">
        <v>133</v>
      </c>
      <c r="C113" t="s">
        <v>25</v>
      </c>
      <c r="D113" t="s">
        <v>23</v>
      </c>
      <c r="E113" t="s">
        <v>23</v>
      </c>
      <c r="F113" t="s">
        <v>136</v>
      </c>
    </row>
    <row r="114" spans="1:6" x14ac:dyDescent="0.25">
      <c r="A114" t="s">
        <v>6</v>
      </c>
      <c r="B114" t="s">
        <v>95</v>
      </c>
      <c r="C114" t="s">
        <v>17</v>
      </c>
      <c r="D114" t="s">
        <v>23</v>
      </c>
      <c r="E114" t="s">
        <v>23</v>
      </c>
      <c r="F114" t="s">
        <v>23</v>
      </c>
    </row>
    <row r="115" spans="1:6" x14ac:dyDescent="0.25">
      <c r="A115" t="s">
        <v>6</v>
      </c>
      <c r="B115" t="s">
        <v>133</v>
      </c>
      <c r="C115" t="s">
        <v>25</v>
      </c>
      <c r="D115" t="s">
        <v>23</v>
      </c>
      <c r="E115" t="s">
        <v>23</v>
      </c>
      <c r="F115" t="s">
        <v>137</v>
      </c>
    </row>
    <row r="116" spans="1:6" x14ac:dyDescent="0.25">
      <c r="A116" t="s">
        <v>26</v>
      </c>
      <c r="B116" t="s">
        <v>133</v>
      </c>
      <c r="C116" t="s">
        <v>17</v>
      </c>
      <c r="D116" t="s">
        <v>23</v>
      </c>
      <c r="E116" t="s">
        <v>23</v>
      </c>
      <c r="F116" t="s">
        <v>138</v>
      </c>
    </row>
    <row r="117" spans="1:6" x14ac:dyDescent="0.25">
      <c r="A117" t="s">
        <v>6</v>
      </c>
      <c r="B117" t="s">
        <v>133</v>
      </c>
      <c r="C117" t="s">
        <v>36</v>
      </c>
      <c r="D117" t="s">
        <v>23</v>
      </c>
      <c r="E117" t="s">
        <v>23</v>
      </c>
      <c r="F117" t="s">
        <v>139</v>
      </c>
    </row>
    <row r="118" spans="1:6" x14ac:dyDescent="0.25">
      <c r="A118" t="s">
        <v>6</v>
      </c>
      <c r="B118" t="s">
        <v>133</v>
      </c>
      <c r="C118" t="s">
        <v>22</v>
      </c>
      <c r="D118" t="s">
        <v>23</v>
      </c>
      <c r="E118" t="s">
        <v>23</v>
      </c>
      <c r="F118" t="s">
        <v>140</v>
      </c>
    </row>
    <row r="119" spans="1:6" x14ac:dyDescent="0.25">
      <c r="A119" t="s">
        <v>6</v>
      </c>
      <c r="B119" t="s">
        <v>133</v>
      </c>
      <c r="C119" t="s">
        <v>17</v>
      </c>
      <c r="D119" t="s">
        <v>23</v>
      </c>
      <c r="E119" t="s">
        <v>23</v>
      </c>
      <c r="F119" t="s">
        <v>141</v>
      </c>
    </row>
    <row r="120" spans="1:6" x14ac:dyDescent="0.25">
      <c r="A120" t="s">
        <v>6</v>
      </c>
      <c r="B120" t="s">
        <v>95</v>
      </c>
      <c r="C120" t="s">
        <v>36</v>
      </c>
      <c r="D120" t="s">
        <v>23</v>
      </c>
      <c r="E120" t="s">
        <v>23</v>
      </c>
      <c r="F120" t="s">
        <v>23</v>
      </c>
    </row>
    <row r="121" spans="1:6" x14ac:dyDescent="0.25">
      <c r="A121" t="s">
        <v>26</v>
      </c>
      <c r="B121" t="s">
        <v>133</v>
      </c>
      <c r="C121" t="s">
        <v>22</v>
      </c>
      <c r="D121" t="s">
        <v>23</v>
      </c>
      <c r="E121" t="s">
        <v>23</v>
      </c>
      <c r="F121" t="s">
        <v>142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7BD9E6-03F1-40F4-83E6-579E9A57D3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DIM_SECTOR</vt:lpstr>
      <vt:lpstr>DETERMINED_STUDENTS</vt:lpstr>
      <vt:lpstr>DETERMINED_STAFF</vt:lpstr>
      <vt:lpstr>DETERMINED_SCHOOLS</vt:lpstr>
      <vt:lpstr>STAFF_NATIONALITY</vt:lpstr>
      <vt:lpstr>STAFF_GENDER</vt:lpstr>
      <vt:lpstr>STUDENTS_NATIONALITY</vt:lpstr>
      <vt:lpstr>STUDENTS_TOTAL</vt:lpstr>
      <vt:lpstr>STUDENTS_DISABILITY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Mishma Azfar</dc:creator>
  <cp:lastModifiedBy>Mishma Azfar</cp:lastModifiedBy>
  <dcterms:created xsi:type="dcterms:W3CDTF">2025-06-13T10:03:46Z</dcterms:created>
  <dcterms:modified xsi:type="dcterms:W3CDTF">2025-06-13T13:16:28Z</dcterms:modified>
</cp:coreProperties>
</file>