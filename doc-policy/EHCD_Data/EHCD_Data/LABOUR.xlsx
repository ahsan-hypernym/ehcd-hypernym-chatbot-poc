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Mishma Azfar\Desktop\EHDC_DATA\LABOUR\"/>
    </mc:Choice>
  </mc:AlternateContent>
  <xr:revisionPtr revIDLastSave="0" documentId="13_ncr:1_{94A2B615-7E47-45B6-A84F-51C0FA189554}" xr6:coauthVersionLast="47" xr6:coauthVersionMax="47" xr10:uidLastSave="{00000000-0000-0000-0000-000000000000}"/>
  <bookViews>
    <workbookView xWindow="-120" yWindow="-120" windowWidth="29040" windowHeight="16440" xr2:uid="{16518F10-6023-4559-9A60-817F6ECB32EC}"/>
  </bookViews>
  <sheets>
    <sheet name="GENDER" sheetId="7" r:id="rId1"/>
    <sheet name="Unemployment Rate For Populatio" sheetId="6" r:id="rId2"/>
    <sheet name="Productive Families By Type Of " sheetId="5" r:id="rId3"/>
    <sheet name="Productive Families" sheetId="4" r:id="rId4"/>
    <sheet name="Percentage Distribution - Outsi" sheetId="3" r:id="rId5"/>
    <sheet name="Labour Force Participation Rate" sheetId="2" r:id="rId6"/>
  </sheets>
  <definedNames>
    <definedName name="ExternalData_1" localSheetId="5" hidden="1">'Labour Force Participation Rate'!$A$1:$E$27</definedName>
    <definedName name="ExternalData_2" localSheetId="4" hidden="1">'Percentage Distribution - Outsi'!$A$1:$E$23</definedName>
    <definedName name="ExternalData_3" localSheetId="3" hidden="1">'Productive Families'!$A$1:$D$19</definedName>
    <definedName name="ExternalData_4" localSheetId="2" hidden="1">'Productive Families By Type Of '!$A$1:$C$9</definedName>
    <definedName name="ExternalData_5" localSheetId="1" hidden="1">'Unemployment Rate For Populatio'!$A$1:$E$25</definedName>
    <definedName name="ExternalData_6" localSheetId="0" hidden="1">GENDER!$A$1:$A$3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2" l="1" a="1"/>
  <c r="G2" i="2" s="1"/>
  <c r="G3" i="2" a="1"/>
  <c r="G3" i="2" s="1"/>
  <c r="G4" i="2" a="1"/>
  <c r="G4" i="2" s="1"/>
  <c r="G5" i="2" a="1"/>
  <c r="G5" i="2" s="1"/>
  <c r="G6" i="2" a="1"/>
  <c r="G6" i="2"/>
  <c r="G7" i="2" a="1"/>
  <c r="G7" i="2" s="1"/>
  <c r="G8" i="2" a="1"/>
  <c r="G8" i="2" s="1"/>
  <c r="G9" i="2" a="1"/>
  <c r="G9" i="2" s="1"/>
  <c r="G10" i="2" a="1"/>
  <c r="G10" i="2" s="1"/>
  <c r="G11" i="2" a="1"/>
  <c r="G11" i="2" s="1"/>
  <c r="G12" i="2" a="1"/>
  <c r="G12" i="2"/>
  <c r="G13" i="2" a="1"/>
  <c r="G13" i="2" s="1"/>
  <c r="G14" i="2" a="1"/>
  <c r="G14" i="2" s="1"/>
  <c r="G15" i="2" a="1"/>
  <c r="G15" i="2" s="1"/>
  <c r="G16" i="2" a="1"/>
  <c r="G16" i="2" s="1"/>
  <c r="G17" i="2" a="1"/>
  <c r="G17" i="2" s="1"/>
  <c r="G18" i="2" a="1"/>
  <c r="G18" i="2"/>
  <c r="G19" i="2" a="1"/>
  <c r="G19" i="2" s="1"/>
  <c r="G20" i="2" a="1"/>
  <c r="G20" i="2" s="1"/>
  <c r="G21" i="2" a="1"/>
  <c r="G21" i="2" s="1"/>
  <c r="G22" i="2" a="1"/>
  <c r="G22" i="2" s="1"/>
  <c r="G23" i="2" a="1"/>
  <c r="G23" i="2" s="1"/>
  <c r="G24" i="2" a="1"/>
  <c r="G24" i="2"/>
  <c r="G25" i="2" a="1"/>
  <c r="G25" i="2" s="1"/>
  <c r="G26" i="2" a="1"/>
  <c r="G26" i="2" s="1"/>
  <c r="G27" i="2" a="1"/>
  <c r="G27" i="2" s="1"/>
  <c r="G2" i="3" a="1"/>
  <c r="G2" i="3"/>
  <c r="G3" i="3" a="1"/>
  <c r="G3" i="3" s="1"/>
  <c r="G4" i="3" a="1"/>
  <c r="G4" i="3" s="1"/>
  <c r="G5" i="3" a="1"/>
  <c r="G5" i="3" s="1"/>
  <c r="G6" i="3" a="1"/>
  <c r="G6" i="3"/>
  <c r="G7" i="3" a="1"/>
  <c r="G7" i="3" s="1"/>
  <c r="G8" i="3" a="1"/>
  <c r="G8" i="3"/>
  <c r="G9" i="3" a="1"/>
  <c r="G9" i="3" s="1"/>
  <c r="G10" i="3" a="1"/>
  <c r="G10" i="3" s="1"/>
  <c r="G11" i="3" a="1"/>
  <c r="G11" i="3" s="1"/>
  <c r="G12" i="3" a="1"/>
  <c r="G12" i="3"/>
  <c r="G13" i="3" a="1"/>
  <c r="G13" i="3" s="1"/>
  <c r="G14" i="3" a="1"/>
  <c r="G14" i="3"/>
  <c r="G15" i="3" a="1"/>
  <c r="G15" i="3" s="1"/>
  <c r="G16" i="3" a="1"/>
  <c r="G16" i="3" s="1"/>
  <c r="G17" i="3" a="1"/>
  <c r="G17" i="3" s="1"/>
  <c r="G18" i="3" a="1"/>
  <c r="G18" i="3"/>
  <c r="G19" i="3" a="1"/>
  <c r="G19" i="3" s="1"/>
  <c r="G20" i="3" a="1"/>
  <c r="G20" i="3"/>
  <c r="G21" i="3" a="1"/>
  <c r="G21" i="3" s="1"/>
  <c r="G22" i="3" a="1"/>
  <c r="G22" i="3" s="1"/>
  <c r="G23" i="3" a="1"/>
  <c r="G23" i="3" s="1"/>
  <c r="F2" i="6" a="1"/>
  <c r="F2" i="6"/>
  <c r="F3" i="6" a="1"/>
  <c r="F3" i="6"/>
  <c r="F4" i="6" a="1"/>
  <c r="F4" i="6" s="1"/>
  <c r="F5" i="6" a="1"/>
  <c r="F5" i="6" s="1"/>
  <c r="F6" i="6" a="1"/>
  <c r="F6" i="6" s="1"/>
  <c r="F7" i="6" a="1"/>
  <c r="F7" i="6"/>
  <c r="F8" i="6" a="1"/>
  <c r="F8" i="6"/>
  <c r="F9" i="6" a="1"/>
  <c r="F9" i="6"/>
  <c r="F10" i="6" a="1"/>
  <c r="F10" i="6" s="1"/>
  <c r="F11" i="6" a="1"/>
  <c r="F11" i="6" s="1"/>
  <c r="F12" i="6" a="1"/>
  <c r="F12" i="6" s="1"/>
  <c r="F13" i="6" a="1"/>
  <c r="F13" i="6"/>
  <c r="F14" i="6" a="1"/>
  <c r="F14" i="6"/>
  <c r="F15" i="6" a="1"/>
  <c r="F15" i="6"/>
  <c r="F16" i="6" a="1"/>
  <c r="F16" i="6" s="1"/>
  <c r="F17" i="6" a="1"/>
  <c r="F17" i="6" s="1"/>
  <c r="F18" i="6" a="1"/>
  <c r="F18" i="6" s="1"/>
  <c r="F19" i="6" a="1"/>
  <c r="F19" i="6"/>
  <c r="F20" i="6" a="1"/>
  <c r="F20" i="6"/>
  <c r="F21" i="6" a="1"/>
  <c r="F21" i="6"/>
  <c r="F22" i="6" a="1"/>
  <c r="F22" i="6" s="1"/>
  <c r="F23" i="6" a="1"/>
  <c r="F23" i="6" s="1"/>
  <c r="F24" i="6" a="1"/>
  <c r="F24" i="6" s="1"/>
  <c r="F25" i="6" a="1"/>
  <c r="F25" i="6"/>
  <c r="F2" i="2"/>
  <c r="F3" i="2"/>
  <c r="F4" i="2"/>
  <c r="F5" i="2"/>
  <c r="F6" i="2"/>
  <c r="F7" i="2"/>
  <c r="F8" i="2"/>
  <c r="F9" i="2"/>
  <c r="F10" i="2"/>
  <c r="F11" i="2"/>
  <c r="F12" i="2"/>
  <c r="F13" i="2"/>
  <c r="F14" i="2"/>
  <c r="F15" i="2"/>
  <c r="F16" i="2"/>
  <c r="F17" i="2"/>
  <c r="F18" i="2"/>
  <c r="F19" i="2"/>
  <c r="F20" i="2"/>
  <c r="F21" i="2"/>
  <c r="F22" i="2"/>
  <c r="F23" i="2"/>
  <c r="F24" i="2"/>
  <c r="F25" i="2"/>
  <c r="F26" i="2"/>
  <c r="F27" i="2"/>
  <c r="F2" i="3"/>
  <c r="F3" i="3"/>
  <c r="F4" i="3"/>
  <c r="F5" i="3"/>
  <c r="F6" i="3"/>
  <c r="F7" i="3"/>
  <c r="F8" i="3"/>
  <c r="F9" i="3"/>
  <c r="F10" i="3"/>
  <c r="F11" i="3"/>
  <c r="F12" i="3"/>
  <c r="F13" i="3"/>
  <c r="F14" i="3"/>
  <c r="F15" i="3"/>
  <c r="F16" i="3"/>
  <c r="F17" i="3"/>
  <c r="F18" i="3"/>
  <c r="F19" i="3"/>
  <c r="F20" i="3"/>
  <c r="F21" i="3"/>
  <c r="F22" i="3"/>
  <c r="F23" i="3"/>
  <c r="F2" i="4"/>
  <c r="F3" i="4"/>
  <c r="F4" i="4"/>
  <c r="F5" i="4"/>
  <c r="F6" i="4"/>
  <c r="F7" i="4"/>
  <c r="F8" i="4"/>
  <c r="F9" i="4"/>
  <c r="F10" i="4"/>
  <c r="F11" i="4"/>
  <c r="F12" i="4"/>
  <c r="F13" i="4"/>
  <c r="F14" i="4"/>
  <c r="F15" i="4"/>
  <c r="F16" i="4"/>
  <c r="F17" i="4"/>
  <c r="F18" i="4"/>
  <c r="F19" i="4"/>
  <c r="E2" i="4" a="1"/>
  <c r="E2" i="4" s="1"/>
  <c r="E3" i="4" a="1"/>
  <c r="E3" i="4" s="1"/>
  <c r="E4" i="4" a="1"/>
  <c r="E4" i="4" s="1"/>
  <c r="E5" i="4" a="1"/>
  <c r="E5" i="4" s="1"/>
  <c r="E6" i="4" a="1"/>
  <c r="E6" i="4"/>
  <c r="E7" i="4" a="1"/>
  <c r="E7" i="4" s="1"/>
  <c r="E8" i="4" a="1"/>
  <c r="E8" i="4" s="1"/>
  <c r="E9" i="4" a="1"/>
  <c r="E9" i="4" s="1"/>
  <c r="E10" i="4" a="1"/>
  <c r="E10" i="4" s="1"/>
  <c r="E11" i="4" a="1"/>
  <c r="E11" i="4" s="1"/>
  <c r="E12" i="4" a="1"/>
  <c r="E12" i="4" s="1"/>
  <c r="E13" i="4" a="1"/>
  <c r="E13" i="4" s="1"/>
  <c r="E14" i="4" a="1"/>
  <c r="E14" i="4" s="1"/>
  <c r="E15" i="4" a="1"/>
  <c r="E15" i="4" s="1"/>
  <c r="E16" i="4" a="1"/>
  <c r="E16" i="4" s="1"/>
  <c r="E17" i="4" a="1"/>
  <c r="E17" i="4"/>
  <c r="E18" i="4" a="1"/>
  <c r="E18" i="4"/>
  <c r="E19" i="4" a="1"/>
  <c r="E19" i="4" s="1"/>
  <c r="D2" i="5" a="1"/>
  <c r="D2" i="5" s="1"/>
  <c r="D3" i="5" a="1"/>
  <c r="D3" i="5" s="1"/>
  <c r="D4" i="5" a="1"/>
  <c r="D4" i="5" s="1"/>
  <c r="D5" i="5" a="1"/>
  <c r="D5" i="5"/>
  <c r="D6" i="5" a="1"/>
  <c r="D6" i="5" s="1"/>
  <c r="D7" i="5" a="1"/>
  <c r="D7" i="5"/>
  <c r="D8" i="5" a="1"/>
  <c r="D8" i="5" s="1"/>
  <c r="D9" i="5" a="1"/>
  <c r="D9" i="5" s="1"/>
  <c r="B2" i="7" a="1"/>
  <c r="B2" i="7" s="1"/>
  <c r="B3" i="7" a="1"/>
  <c r="B3"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EEFB25-F201-47B8-AD28-68D70EAF453E}" keepAlive="1" name="Query - GENDER" description="Connection to the 'GENDER' query in the workbook." type="5" refreshedVersion="8" background="1" saveData="1">
    <dbPr connection="Provider=Microsoft.Mashup.OleDb.1;Data Source=$Workbook$;Location=GENDER;Extended Properties=&quot;&quot;" command="SELECT * FROM [GENDER]"/>
  </connection>
  <connection id="2" xr16:uid="{63C98CDC-4FEA-46ED-B5DE-2C7BE485C4FF}" keepAlive="1" name="Query - Labour Force Participation Rate (15 Years and Over)" description="Connection to the 'Labour Force Participation Rate (15 Years and Over)' query in the workbook." type="5" refreshedVersion="8" background="1" saveData="1">
    <dbPr connection="Provider=Microsoft.Mashup.OleDb.1;Data Source=$Workbook$;Location=&quot;Labour Force Participation Rate (15 Years and Over)&quot;;Extended Properties=&quot;&quot;" command="SELECT * FROM [Labour Force Participation Rate (15 Years and Over)]"/>
  </connection>
  <connection id="3" xr16:uid="{EB9E7C12-E5E7-4680-9570-F60CE9DD93C2}" keepAlive="1" name="Query - Percentage Distribution - Outside The Labor Force (15 Years and Over)" description="Connection to the 'Percentage Distribution - Outside The Labor Force (15 Years and Over)' query in the workbook." type="5" refreshedVersion="8" background="1" saveData="1">
    <dbPr connection="Provider=Microsoft.Mashup.OleDb.1;Data Source=$Workbook$;Location=&quot;Percentage Distribution - Outside The Labor Force (15 Years and Over)&quot;;Extended Properties=&quot;&quot;" command="SELECT * FROM [Percentage Distribution - Outside The Labor Force (15 Years and Over)]"/>
  </connection>
  <connection id="4" xr16:uid="{9B7F2EB3-ED22-4A4F-AB7D-2FDD5910CBD6}" keepAlive="1" name="Query - Productive Families" description="Connection to the 'Productive Families' query in the workbook." type="5" refreshedVersion="8" background="1" saveData="1">
    <dbPr connection="Provider=Microsoft.Mashup.OleDb.1;Data Source=$Workbook$;Location=&quot;Productive Families&quot;;Extended Properties=&quot;&quot;" command="SELECT * FROM [Productive Families]"/>
  </connection>
  <connection id="5" xr16:uid="{75BA59DC-4DE1-4F67-9925-DF07B7B7B7C6}" keepAlive="1" name="Query - Productive Families By Type Of Production" description="Connection to the 'Productive Families By Type Of Production' query in the workbook." type="5" refreshedVersion="8" background="1" saveData="1">
    <dbPr connection="Provider=Microsoft.Mashup.OleDb.1;Data Source=$Workbook$;Location=&quot;Productive Families By Type Of Production&quot;;Extended Properties=&quot;&quot;" command="SELECT * FROM [Productive Families By Type Of Production]"/>
  </connection>
  <connection id="6" xr16:uid="{03AC0692-D5C3-45F2-9037-C507B466D6D3}" keepAlive="1" name="Query - Unemployment Rate For Population (15 Years and Over)" description="Connection to the 'Unemployment Rate For Population (15 Years and Over)' query in the workbook." type="5" refreshedVersion="8" background="1" saveData="1">
    <dbPr connection="Provider=Microsoft.Mashup.OleDb.1;Data Source=$Workbook$;Location=&quot;Unemployment Rate For Population (15 Years and Over)&quot;;Extended Properties=&quot;&quot;" command="SELECT * FROM [Unemployment Rate For Population (15 Years and Ove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<sst xmlns="http://schemas.openxmlformats.org/spreadsheetml/2006/main" count="222" uniqueCount="56">
  <si>
    <t>GENDER</t>
  </si>
  <si>
    <t>EDUCATION_LEVEL</t>
  </si>
  <si>
    <t>2019</t>
  </si>
  <si>
    <t>2020</t>
  </si>
  <si>
    <t>2023</t>
  </si>
  <si>
    <t>Male</t>
  </si>
  <si>
    <t>Illiterate</t>
  </si>
  <si>
    <t>Reads And Writes</t>
  </si>
  <si>
    <t>Primary</t>
  </si>
  <si>
    <t>Preparatory</t>
  </si>
  <si>
    <t>Secondary</t>
  </si>
  <si>
    <t>Post-Secondary Non-Tertiary</t>
  </si>
  <si>
    <t>Short-Cycle Tertiary Education</t>
  </si>
  <si>
    <t>Bachelor Or Equivalent</t>
  </si>
  <si>
    <t>Higher Diploma</t>
  </si>
  <si>
    <t>Masters Or Equivalent</t>
  </si>
  <si>
    <t>Doctoral Or Equivalent</t>
  </si>
  <si>
    <t>Not Stated</t>
  </si>
  <si>
    <t>Total</t>
  </si>
  <si>
    <t>Female</t>
  </si>
  <si>
    <t>REASON</t>
  </si>
  <si>
    <t>2021</t>
  </si>
  <si>
    <t>2022</t>
  </si>
  <si>
    <t>Household Duties - Unpaid</t>
  </si>
  <si>
    <t>Student</t>
  </si>
  <si>
    <t>Unable To Work (Disabled, Illness, Incapable)</t>
  </si>
  <si>
    <t>Retired</t>
  </si>
  <si>
    <t>65 Years And More Not Working</t>
  </si>
  <si>
    <t>Independent Income</t>
  </si>
  <si>
    <t>Social Circumstances</t>
  </si>
  <si>
    <t>Unwilling To Work</t>
  </si>
  <si>
    <t>Didn'T Find Suitable Work</t>
  </si>
  <si>
    <t>Other</t>
  </si>
  <si>
    <t>Postgraduate</t>
  </si>
  <si>
    <t>Diploma</t>
  </si>
  <si>
    <t>University</t>
  </si>
  <si>
    <t>PRODUCTION_TYPE</t>
  </si>
  <si>
    <t>Furniture</t>
  </si>
  <si>
    <t>Print and Art</t>
  </si>
  <si>
    <t>Clothing and Accessories</t>
  </si>
  <si>
    <t>Industries</t>
  </si>
  <si>
    <t>Food</t>
  </si>
  <si>
    <t>Perfumes and Body Care Products</t>
  </si>
  <si>
    <t>Public Services</t>
  </si>
  <si>
    <t>Unknown</t>
  </si>
  <si>
    <t>Reads and writes</t>
  </si>
  <si>
    <t>Bachelor or equivalent</t>
  </si>
  <si>
    <t>Masters or equivalent</t>
  </si>
  <si>
    <t>Doctoral or equivalent</t>
  </si>
  <si>
    <t>GENDER_CHOICE</t>
  </si>
  <si>
    <t>GENDER_CHOICE_AR</t>
  </si>
  <si>
    <t>PRODUCTION_TYPE_AR</t>
  </si>
  <si>
    <t>EDUCATION_LEVEL_AR</t>
  </si>
  <si>
    <t>GENDER_AR</t>
  </si>
  <si>
    <t>EDUCATION_LEVEL2</t>
  </si>
  <si>
    <t>REASON_AR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</si>
</sst>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1" xr16:uid="{ADF1F958-CD0C-4ED4-829D-48504E82FC13}" autoFormatId="16" applyNumberFormats="0" applyBorderFormats="0" applyFontFormats="0" applyPatternFormats="0" applyAlignmentFormats="0" applyWidthHeightFormats="0">
  <queryTableRefresh nextId="3" unboundColumnsRight="1">
    <queryTableFields count="2">
      <queryTableField id="1" name="GENDER_CHOICE" tableColumnId="1"/>
      <queryTableField id="2" dataBound="0"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6" xr16:uid="{A77A2BCF-6C80-41A5-9769-EBCAB97B1124}" autoFormatId="16" applyNumberFormats="0" applyBorderFormats="0" applyFontFormats="0" applyPatternFormats="0" applyAlignmentFormats="0" applyWidthHeightFormats="0">
  <queryTableRefresh nextId="7" unboundColumnsRight="1">
    <queryTableFields count="6">
      <queryTableField id="1" name="GENDER" tableColumnId="1"/>
      <queryTableField id="2" name="EDUCATION_LEVEL" tableColumnId="2"/>
      <queryTableField id="3" name="2019" tableColumnId="3"/>
      <queryTableField id="4" name="2020" tableColumnId="4"/>
      <queryTableField id="5" name="2023" tableColumnId="5"/>
      <queryTableField id="6" dataBound="0"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5" xr16:uid="{D0C9BEA1-24E1-4AA4-86D7-9ED076692990}" autoFormatId="16" applyNumberFormats="0" applyBorderFormats="0" applyFontFormats="0" applyPatternFormats="0" applyAlignmentFormats="0" applyWidthHeightFormats="0">
  <queryTableRefresh nextId="5" unboundColumnsRight="1">
    <queryTableFields count="4">
      <queryTableField id="1" name="PRODUCTION_TYPE" tableColumnId="1"/>
      <queryTableField id="2" name="2022" tableColumnId="2"/>
      <queryTableField id="3" name="2023" tableColumnId="3"/>
      <queryTableField id="4" dataBound="0"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4" xr16:uid="{AC6241D9-976F-4BE2-8CBC-DCFBC745D66F}" autoFormatId="16" applyNumberFormats="0" applyBorderFormats="0" applyFontFormats="0" applyPatternFormats="0" applyAlignmentFormats="0" applyWidthHeightFormats="0">
  <queryTableRefresh nextId="7" unboundColumnsRight="2">
    <queryTableFields count="6">
      <queryTableField id="1" name="EDUCATION_LEVEL" tableColumnId="1"/>
      <queryTableField id="2" name="GENDER" tableColumnId="2"/>
      <queryTableField id="3" name="2022" tableColumnId="3"/>
      <queryTableField id="4" name="2023" tableColumnId="4"/>
      <queryTableField id="5" dataBound="0" tableColumnId="5"/>
      <queryTableField id="6" dataBound="0"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3" xr16:uid="{4712FA89-A38D-46A8-B305-3D2120F78FF6}" autoFormatId="16" applyNumberFormats="0" applyBorderFormats="0" applyFontFormats="0" applyPatternFormats="0" applyAlignmentFormats="0" applyWidthHeightFormats="0">
  <queryTableRefresh nextId="8" unboundColumnsRight="2">
    <queryTableFields count="7">
      <queryTableField id="1" name="GENDER" tableColumnId="1"/>
      <queryTableField id="2" name="REASON" tableColumnId="2"/>
      <queryTableField id="3" name="2021" tableColumnId="3"/>
      <queryTableField id="4" name="2022" tableColumnId="4"/>
      <queryTableField id="5" name="2023" tableColumnId="5"/>
      <queryTableField id="6" dataBound="0" tableColumnId="6"/>
      <queryTableField id="7" dataBound="0" tableColumnId="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2" xr16:uid="{A436178B-A5D6-47ED-B5F2-FB84899614BB}" autoFormatId="16" applyNumberFormats="0" applyBorderFormats="0" applyFontFormats="0" applyPatternFormats="0" applyAlignmentFormats="0" applyWidthHeightFormats="0">
  <queryTableRefresh nextId="8" unboundColumnsRight="2">
    <queryTableFields count="7">
      <queryTableField id="1" name="GENDER" tableColumnId="1"/>
      <queryTableField id="2" name="EDUCATION_LEVEL" tableColumnId="2"/>
      <queryTableField id="3" name="2019" tableColumnId="3"/>
      <queryTableField id="4" name="2020" tableColumnId="4"/>
      <queryTableField id="5" name="2023" tableColumnId="5"/>
      <queryTableField id="6" dataBound="0" tableColumnId="6"/>
      <queryTableField id="7" dataBound="0"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25C8A93-B6C1-417A-B7D8-9012872964AF}" name="GENDER" displayName="GENDER" ref="A1:B3" tableType="queryTable" totalsRowShown="0">
  <autoFilter ref="A1:B3" xr:uid="{925C8A93-B6C1-417A-B7D8-9012872964AF}"/>
  <tableColumns count="2">
    <tableColumn id="1" xr3:uid="{7A1C2A62-6FA1-4348-8AAC-373AEB0BDDF5}" uniqueName="1" name="GENDER_CHOICE" queryTableFieldId="1" dataDxfId="8"/>
    <tableColumn id="2" xr3:uid="{83EE3EAD-BE07-4FAD-A60C-A110FFAD9324}" uniqueName="2" name="GENDER_CHOICE_AR" queryTableFieldId="2" dataDxfId="9">
      <calculatedColumnFormula array="1">_xlfn.LET(
     _xlpm.r, TRIM(A2),
     _xlfn.SWITCH(_xlpm.r,
        "Male",   "ذكر",
        "Female", "أنثى",
        ""              )   )</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CD1CBFD-C6D8-42BF-8296-D1C55C0AB4EB}" name="Unemployment_Rate_For_Population__15_Years_and_Over" displayName="Unemployment_Rate_For_Population__15_Years_and_Over" ref="A1:F25" tableType="queryTable" totalsRowShown="0">
  <autoFilter ref="A1:F25" xr:uid="{FCD1CBFD-C6D8-42BF-8296-D1C55C0AB4EB}"/>
  <tableColumns count="6">
    <tableColumn id="1" xr3:uid="{0D40D443-1709-4D45-9AC3-0170CB31C8F1}" uniqueName="1" name="GENDER" queryTableFieldId="1" dataDxfId="18"/>
    <tableColumn id="2" xr3:uid="{F85F32E0-E63F-4E56-9E9E-9C852434CEEE}" uniqueName="2" name="EDUCATION_LEVEL" queryTableFieldId="2" dataDxfId="17"/>
    <tableColumn id="3" xr3:uid="{B61205AE-339C-433E-B4ED-94F44B292D06}" uniqueName="3" name="2019" queryTableFieldId="3"/>
    <tableColumn id="4" xr3:uid="{A2DFE728-9387-4A09-9C5D-8C71244F1844}" uniqueName="4" name="2020" queryTableFieldId="4"/>
    <tableColumn id="5" xr3:uid="{30A1E8D2-6119-4786-AA4E-C55A21271DBC}" uniqueName="5" name="2023" queryTableFieldId="5"/>
    <tableColumn id="6" xr3:uid="{7185BA84-F623-45E5-8DE2-3F1ECA42EA07}" uniqueName="6" name="EDUCATION_LEVEL2" queryTableFieldId="6" dataDxfId="2">
      <calculatedColumnFormula array="1">_xlfn.LET(
     _xlpm.r, TRIM(B2),
     _xlfn.SWITCH(_xlpm.r,
        "Illiterate","أمي",
        "Reads and writes","يقرأ ويكتب",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 )
)</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815FFD0-E5B1-44FC-8A86-BDA7654E767A}" name="Productive_Families_By_Type_Of_Production" displayName="Productive_Families_By_Type_Of_Production" ref="A1:D9" tableType="queryTable" totalsRowShown="0">
  <autoFilter ref="A1:D9" xr:uid="{6815FFD0-E5B1-44FC-8A86-BDA7654E767A}"/>
  <tableColumns count="4">
    <tableColumn id="1" xr3:uid="{36286925-47D2-44E7-9BA2-A2002D198B3C}" uniqueName="1" name="PRODUCTION_TYPE" queryTableFieldId="1" dataDxfId="16"/>
    <tableColumn id="2" xr3:uid="{E930B0FD-120E-42DB-A59A-F2D6EF68B234}" uniqueName="2" name="2022" queryTableFieldId="2"/>
    <tableColumn id="3" xr3:uid="{CD00EA18-02D6-4A35-9B66-7F3BEBCD8FA0}" uniqueName="3" name="2023" queryTableFieldId="3"/>
    <tableColumn id="4" xr3:uid="{9A433158-1EAB-4F48-A427-CEE5251E88F7}" uniqueName="4" name="PRODUCTION_TYPE_AR" queryTableFieldId="4" dataDxfId="7">
      <calculatedColumnFormula array="1">_xlfn.LET(
     _xlpm.r, TRIM(A2),
     _xlfn.SWITCH(_xlpm.r,
        "Furniture","الأثاث",
        "Print and Art","الطباعة والفنون",
        "Clothing and Accessories","الملابس والإكسسوارات",
        "Industries","الصناعات",
        "Food","الأغذية",
        "Perfumes and Body Care Products","العطور ومنتجات العناية بالجسم",
        "Public Services","الخدمات العامة",
        "Unknown","غير معروف",
        "" )
)</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EC9BC39-6E88-443A-8905-CF2ABA667683}" name="Productive_Families" displayName="Productive_Families" ref="A1:F19" tableType="queryTable" totalsRowShown="0">
  <autoFilter ref="A1:F19" xr:uid="{5EC9BC39-6E88-443A-8905-CF2ABA667683}"/>
  <tableColumns count="6">
    <tableColumn id="1" xr3:uid="{DB631E3A-DD7F-4CF4-B2C7-376B5DE449BE}" uniqueName="1" name="EDUCATION_LEVEL" queryTableFieldId="1" dataDxfId="15"/>
    <tableColumn id="2" xr3:uid="{8E50B9E9-BC76-40AE-A75E-80D631CA6FE0}" uniqueName="2" name="GENDER" queryTableFieldId="2" dataDxfId="14"/>
    <tableColumn id="3" xr3:uid="{A0B7CDB0-82D3-4061-9373-0D79310D88EE}" uniqueName="3" name="2022" queryTableFieldId="3"/>
    <tableColumn id="4" xr3:uid="{434819BC-C3D9-477A-8951-B2F49AE1F58F}" uniqueName="4" name="2023" queryTableFieldId="4"/>
    <tableColumn id="5" xr3:uid="{D0D6FF08-266B-4000-B215-19AD326CF70C}" uniqueName="5" name="EDUCATION_LEVEL_AR" queryTableFieldId="5" dataDxfId="6">
      <calculatedColumnFormula array="1">_xlfn.LET(
     _xlpm.r, TRIM(A2),
     _xlfn.SWITCH(_xlpm.r,
        "Reads And Writes","يقرأ ويكتب",
        "Primary","ابتدائي",
        "Not Stated","غير مذكور",
        "Preparatory","إعدادي",
        "Illiterate","أمي",
        "Postgraduate","دراسات عليا",
        "Diploma","دبلوم",
        "Secondary","ثانوي",
        "University","جامعي",
        "" )
)</calculatedColumnFormula>
    </tableColumn>
    <tableColumn id="6" xr3:uid="{3A92CB66-B914-4104-BCB2-D53FF5E5718B}" uniqueName="6" name="GENDER_AR" queryTableFieldId="6" dataDxfId="5">
      <calculatedColumnFormula>IF(TRIM(B2)="Male","ذكر",
   IF(TRIM(B2)="Female","أنثى",""))</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BB46C7-7454-464E-94C4-E1B0F8C62D3E}" name="Percentage_Distribution___Outside_The_Labor_Force__15_Years_and_Over" displayName="Percentage_Distribution___Outside_The_Labor_Force__15_Years_and_Over" ref="A1:G23" tableType="queryTable" totalsRowShown="0">
  <autoFilter ref="A1:G23" xr:uid="{48BB46C7-7454-464E-94C4-E1B0F8C62D3E}"/>
  <tableColumns count="7">
    <tableColumn id="1" xr3:uid="{4B1953AA-4A61-4170-B045-CCF8E518516C}" uniqueName="1" name="GENDER" queryTableFieldId="1" dataDxfId="13"/>
    <tableColumn id="2" xr3:uid="{BE5C1BDA-1D5F-42E4-B3A8-DE08F9756BE0}" uniqueName="2" name="REASON" queryTableFieldId="2" dataDxfId="12"/>
    <tableColumn id="3" xr3:uid="{3293A6C2-9667-4739-9EAA-FEDA12C4A55B}" uniqueName="3" name="2021" queryTableFieldId="3"/>
    <tableColumn id="4" xr3:uid="{9B7FD7E0-9236-48E9-85C4-5D94AD691DE9}" uniqueName="4" name="2022" queryTableFieldId="4"/>
    <tableColumn id="5" xr3:uid="{7E265B9E-F25A-41D7-8A18-B8278BBCC4BC}" uniqueName="5" name="2023" queryTableFieldId="5"/>
    <tableColumn id="6" xr3:uid="{6B18E4EE-B4DD-4073-97FB-686F838BC6C3}" uniqueName="6" name="GENDER_AR" queryTableFieldId="6" dataDxfId="4">
      <calculatedColumnFormula>IF(TRIM(A2)="Male","ذكر",
   IF(TRIM(A2)="Female","أنثى",""))</calculatedColumnFormula>
    </tableColumn>
    <tableColumn id="7" xr3:uid="{5398133A-AA57-4787-80C3-43474C3900E0}" uniqueName="7" name="REASON_AR" queryTableFieldId="7" dataDxfId="1">
      <calculatedColumnFormula array="1">_xlfn.LET(
    _xlpm.r, LOWER(TRIM(B2)),
    _xlfn.SWITCH(_xlpm.r,
        "household duties - unpaid",               "أعمال منزلية - غير مدفوعة",
        "student",                                 "طالب",
        "unable to work (disabled, illness, incapable)", "غير قادر على العمل (إعاقة، مرض، عجز)",
        "retired",                                 "متقاعد",
        "65 years and more not working",           "65 سنة فأكثر غير عامل",
        "independent income",                      "دخل مستقل",
        "social circumstances",                    "ظروف اجتماعية",
        "unwilling to work",                       "غير راغب في العمل",
        "didn't find suitable work",               "لم يجد عملاً مناسباً",
        "other",                                   "أخرى",
        "not stated",                              "غير مذكور",
        "" ) )</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742879-EBD8-4810-9672-C1038FA3D955}" name="Labour_Force_Participation_Rate__15_Years_and_Over" displayName="Labour_Force_Participation_Rate__15_Years_and_Over" ref="A1:G27" tableType="queryTable" totalsRowShown="0">
  <autoFilter ref="A1:G27" xr:uid="{79742879-EBD8-4810-9672-C1038FA3D955}">
    <filterColumn colId="1">
      <filters>
        <filter val="Bachelor Or Equivalent"/>
        <filter val="Doctoral Or Equivalent"/>
        <filter val="Higher Diploma"/>
        <filter val="Illiterate"/>
        <filter val="Masters Or Equivalent"/>
        <filter val="Not Stated"/>
        <filter val="Post-Secondary Non-Tertiary"/>
        <filter val="Preparatory"/>
        <filter val="Primary"/>
        <filter val="Reads And Writes"/>
        <filter val="Secondary"/>
        <filter val="Short-Cycle Tertiary Education"/>
      </filters>
    </filterColumn>
  </autoFilter>
  <tableColumns count="7">
    <tableColumn id="1" xr3:uid="{F460932F-0A51-4F17-B450-8AECC5FE7EB4}" uniqueName="1" name="GENDER" queryTableFieldId="1" dataDxfId="11"/>
    <tableColumn id="2" xr3:uid="{677D712A-8C07-46B7-A16C-675F638706A9}" uniqueName="2" name="EDUCATION_LEVEL" queryTableFieldId="2" dataDxfId="10"/>
    <tableColumn id="3" xr3:uid="{FDC6DF7D-1703-4B92-A3A8-1834AA773C01}" uniqueName="3" name="2019" queryTableFieldId="3"/>
    <tableColumn id="4" xr3:uid="{5FCC39BE-9EA9-441E-9070-560B1877FA2E}" uniqueName="4" name="2020" queryTableFieldId="4"/>
    <tableColumn id="5" xr3:uid="{6961F37A-7715-4E66-980D-F75FCC5089F1}" uniqueName="5" name="2023" queryTableFieldId="5"/>
    <tableColumn id="6" xr3:uid="{1F4B79D6-22BD-4DE9-AF6F-943EA9D8EC76}" uniqueName="6" name="GENDER_AR" queryTableFieldId="6" dataDxfId="3">
      <calculatedColumnFormula>IF(TRIM(A2)="Male","ذكر",
   IF(TRIM(A2)="Female","أنثى",""))</calculatedColumnFormula>
    </tableColumn>
    <tableColumn id="7" xr3:uid="{989D8A74-A1C2-4CDD-9304-2967F341A7CE}" uniqueName="7" name="EDUCATION_LEVEL_AR" queryTableFieldId="7" dataDxfId="0">
      <calculatedColumnFormula array="1">_xlfn.LET(
    _xlpm.r, LOWER(TRIM(B2)),
    _xlfn.SWITCH(_xlpm.r,
        "illiterate","أمي",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"total","الإجمالي",
        "" ) )</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2C29A-EDA8-417D-9933-1E22793791FE}">
  <dimension ref="A1:B3"/>
  <sheetViews>
    <sheetView tabSelected="1" workbookViewId="0">
      <selection activeCell="C10" sqref="C10"/>
    </sheetView>
  </sheetViews>
  <sheetFormatPr defaultRowHeight="15" x14ac:dyDescent="0.25"/>
  <cols>
    <col min="1" max="1" width="19.7109375" bestFit="1" customWidth="1"/>
    <col min="2" max="2" width="23" bestFit="1" customWidth="1"/>
  </cols>
  <sheetData>
    <row r="1" spans="1:2" x14ac:dyDescent="0.25">
      <c r="A1" t="s">
        <v>49</v>
      </c>
      <c r="B1" t="s">
        <v>50</v>
      </c>
    </row>
    <row r="2" spans="1:2" x14ac:dyDescent="0.25">
      <c r="A2" s="1" t="s">
        <v>5</v>
      </c>
      <c r="B2" t="str" cm="1">
        <f t="array" ref="B2">_xlfn.LET(
     _xlpm.r, TRIM(A2),
     _xlfn.SWITCH(_xlpm.r,
        "Male",   "ذكر",
        "Female", "أنثى",
        ""              )   )</f>
        <v>ذكر</v>
      </c>
    </row>
    <row r="3" spans="1:2" x14ac:dyDescent="0.25">
      <c r="A3" s="1" t="s">
        <v>19</v>
      </c>
      <c r="B3" t="str" cm="1">
        <f t="array" ref="B3">_xlfn.LET(
     _xlpm.r, TRIM(A3),
     _xlfn.SWITCH(_xlpm.r,
        "Male",   "ذكر",
        "Female", "أنثى",
        ""              )   )</f>
        <v>أنثى</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9618B-7489-47A2-89E2-35ACAA3ACD82}">
  <dimension ref="A1:F25"/>
  <sheetViews>
    <sheetView workbookViewId="0">
      <selection activeCell="F3" sqref="F3"/>
    </sheetView>
  </sheetViews>
  <sheetFormatPr defaultRowHeight="15" x14ac:dyDescent="0.25"/>
  <cols>
    <col min="1" max="1" width="11.140625" bestFit="1" customWidth="1"/>
    <col min="2" max="2" width="27.7109375" bestFit="1" customWidth="1"/>
    <col min="3" max="5" width="7.28515625" bestFit="1" customWidth="1"/>
    <col min="6" max="6" width="21.7109375" bestFit="1" customWidth="1"/>
  </cols>
  <sheetData>
    <row r="1" spans="1:6" x14ac:dyDescent="0.25">
      <c r="A1" t="s">
        <v>0</v>
      </c>
      <c r="B1" t="s">
        <v>1</v>
      </c>
      <c r="C1" t="s">
        <v>2</v>
      </c>
      <c r="D1" t="s">
        <v>3</v>
      </c>
      <c r="E1" t="s">
        <v>4</v>
      </c>
      <c r="F1" t="s">
        <v>54</v>
      </c>
    </row>
    <row r="2" spans="1:6" x14ac:dyDescent="0.25">
      <c r="A2" t="s">
        <v>5</v>
      </c>
      <c r="B2" t="s">
        <v>6</v>
      </c>
      <c r="C2">
        <v>0.3</v>
      </c>
      <c r="D2">
        <v>0.9</v>
      </c>
      <c r="E2">
        <v>0.39</v>
      </c>
      <c r="F2" t="str" cm="1">
        <f t="array" ref="F2">_xlfn.LET(
     _xlpm.r, TRIM(B2),
     _xlfn.SWITCH(_xlpm.r,
        "Illiterate","أمي",
        "Reads and writes","يقرأ ويكتب",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 )
)</f>
        <v>أمي</v>
      </c>
    </row>
    <row r="3" spans="1:6" x14ac:dyDescent="0.25">
      <c r="A3" t="s">
        <v>5</v>
      </c>
      <c r="B3" t="s">
        <v>45</v>
      </c>
      <c r="C3">
        <v>0.1</v>
      </c>
      <c r="D3">
        <v>0.8</v>
      </c>
      <c r="E3">
        <v>0.32</v>
      </c>
      <c r="F3" t="str" cm="1">
        <f t="array" ref="F3">_xlfn.LET(
     _xlpm.r, TRIM(B3),
     _xlfn.SWITCH(_xlpm.r,
        "Illiterate","أمي",
        "Reads and writes","يقرأ ويكتب",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 )
)</f>
        <v>يقرأ ويكتب</v>
      </c>
    </row>
    <row r="4" spans="1:6" x14ac:dyDescent="0.25">
      <c r="A4" t="s">
        <v>5</v>
      </c>
      <c r="B4" t="s">
        <v>8</v>
      </c>
      <c r="C4">
        <v>0.7</v>
      </c>
      <c r="D4">
        <v>2</v>
      </c>
      <c r="E4">
        <v>0.98</v>
      </c>
      <c r="F4" t="str" cm="1">
        <f t="array" ref="F4">_xlfn.LET(
     _xlpm.r, TRIM(B4),
     _xlfn.SWITCH(_xlpm.r,
        "Illiterate","أمي",
        "Reads and writes","يقرأ ويكتب",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 )
)</f>
        <v>ابتدائي</v>
      </c>
    </row>
    <row r="5" spans="1:6" x14ac:dyDescent="0.25">
      <c r="A5" t="s">
        <v>5</v>
      </c>
      <c r="B5" t="s">
        <v>9</v>
      </c>
      <c r="C5">
        <v>1.1000000000000001</v>
      </c>
      <c r="D5">
        <v>2.4</v>
      </c>
      <c r="E5">
        <v>1.0900000000000001</v>
      </c>
      <c r="F5" t="str" cm="1">
        <f t="array" ref="F5">_xlfn.LET(
     _xlpm.r, TRIM(B5),
     _xlfn.SWITCH(_xlpm.r,
        "Illiterate","أمي",
        "Reads and writes","يقرأ ويكتب",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 )
)</f>
        <v>إعدادي</v>
      </c>
    </row>
    <row r="6" spans="1:6" x14ac:dyDescent="0.25">
      <c r="A6" t="s">
        <v>5</v>
      </c>
      <c r="B6" t="s">
        <v>10</v>
      </c>
      <c r="C6">
        <v>1.9</v>
      </c>
      <c r="D6">
        <v>6.3</v>
      </c>
      <c r="E6">
        <v>2.1</v>
      </c>
      <c r="F6" t="str" cm="1">
        <f t="array" ref="F6">_xlfn.LET(
     _xlpm.r, TRIM(B6),
     _xlfn.SWITCH(_xlpm.r,
        "Illiterate","أمي",
        "Reads and writes","يقرأ ويكتب",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 )
)</f>
        <v>ثانوي</v>
      </c>
    </row>
    <row r="7" spans="1:6" x14ac:dyDescent="0.25">
      <c r="A7" t="s">
        <v>5</v>
      </c>
      <c r="B7" t="s">
        <v>11</v>
      </c>
      <c r="C7">
        <v>1</v>
      </c>
      <c r="D7">
        <v>6.3</v>
      </c>
      <c r="E7">
        <v>3.15</v>
      </c>
      <c r="F7" t="str" cm="1">
        <f t="array" ref="F7">_xlfn.LET(
     _xlpm.r, TRIM(B7),
     _xlfn.SWITCH(_xlpm.r,
        "Illiterate","أمي",
        "Reads and writes","يقرأ ويكتب",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 )
)</f>
        <v>بعد الثانوي غير جامعي</v>
      </c>
    </row>
    <row r="8" spans="1:6" x14ac:dyDescent="0.25">
      <c r="A8" t="s">
        <v>5</v>
      </c>
      <c r="B8" t="s">
        <v>12</v>
      </c>
      <c r="C8">
        <v>1.7</v>
      </c>
      <c r="D8">
        <v>6.7</v>
      </c>
      <c r="E8">
        <v>0.78</v>
      </c>
      <c r="F8" t="str" cm="1">
        <f t="array" ref="F8">_xlfn.LET(
     _xlpm.r, TRIM(B8),
     _xlfn.SWITCH(_xlpm.r,
        "Illiterate","أمي",
        "Reads and writes","يقرأ ويكتب",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 )
)</f>
        <v>تعليم عالٍ قصير المدى</v>
      </c>
    </row>
    <row r="9" spans="1:6" x14ac:dyDescent="0.25">
      <c r="A9" t="s">
        <v>5</v>
      </c>
      <c r="B9" t="s">
        <v>46</v>
      </c>
      <c r="C9">
        <v>2</v>
      </c>
      <c r="D9">
        <v>4.4000000000000004</v>
      </c>
      <c r="E9">
        <v>2.21</v>
      </c>
      <c r="F9" t="str" cm="1">
        <f t="array" ref="F9">_xlfn.LET(
     _xlpm.r, TRIM(B9),
     _xlfn.SWITCH(_xlpm.r,
        "Illiterate","أمي",
        "Reads and writes","يقرأ ويكتب",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 )
)</f>
        <v>بكالوريوس أو ما يعادله</v>
      </c>
    </row>
    <row r="10" spans="1:6" x14ac:dyDescent="0.25">
      <c r="A10" t="s">
        <v>5</v>
      </c>
      <c r="B10" t="s">
        <v>14</v>
      </c>
      <c r="C10">
        <v>1.8</v>
      </c>
      <c r="D10">
        <v>5.6</v>
      </c>
      <c r="E10">
        <v>1.06</v>
      </c>
      <c r="F10" t="str" cm="1">
        <f t="array" ref="F10">_xlfn.LET(
     _xlpm.r, TRIM(B10),
     _xlfn.SWITCH(_xlpm.r,
        "Illiterate","أمي",
        "Reads and writes","يقرأ ويكتب",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 )
)</f>
        <v>دبلوم عالي</v>
      </c>
    </row>
    <row r="11" spans="1:6" x14ac:dyDescent="0.25">
      <c r="A11" t="s">
        <v>5</v>
      </c>
      <c r="B11" t="s">
        <v>47</v>
      </c>
      <c r="C11">
        <v>0.5</v>
      </c>
      <c r="D11">
        <v>2.2999999999999998</v>
      </c>
      <c r="E11">
        <v>0.5</v>
      </c>
      <c r="F11" t="str" cm="1">
        <f t="array" ref="F11">_xlfn.LET(
     _xlpm.r, TRIM(B11),
     _xlfn.SWITCH(_xlpm.r,
        "Illiterate","أمي",
        "Reads and writes","يقرأ ويكتب",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 )
)</f>
        <v>ماجستير أو ما يعادله</v>
      </c>
    </row>
    <row r="12" spans="1:6" x14ac:dyDescent="0.25">
      <c r="A12" t="s">
        <v>5</v>
      </c>
      <c r="B12" t="s">
        <v>48</v>
      </c>
      <c r="C12">
        <v>0.3</v>
      </c>
      <c r="D12">
        <v>0</v>
      </c>
      <c r="E12">
        <v>1</v>
      </c>
      <c r="F12" t="str" cm="1">
        <f t="array" ref="F12">_xlfn.LET(
     _xlpm.r, TRIM(B12),
     _xlfn.SWITCH(_xlpm.r,
        "Illiterate","أمي",
        "Reads and writes","يقرأ ويكتب",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 )
)</f>
        <v>دكتوراه أو ما يعادلها</v>
      </c>
    </row>
    <row r="13" spans="1:6" x14ac:dyDescent="0.25">
      <c r="A13" t="s">
        <v>5</v>
      </c>
      <c r="B13" t="s">
        <v>17</v>
      </c>
      <c r="C13">
        <v>0</v>
      </c>
      <c r="D13">
        <v>0</v>
      </c>
      <c r="E13">
        <v>0</v>
      </c>
      <c r="F13" t="str" cm="1">
        <f t="array" ref="F13">_xlfn.LET(
     _xlpm.r, TRIM(B13),
     _xlfn.SWITCH(_xlpm.r,
        "Illiterate","أمي",
        "Reads and writes","يقرأ ويكتب",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 )
)</f>
        <v>غير مذكور</v>
      </c>
    </row>
    <row r="14" spans="1:6" x14ac:dyDescent="0.25">
      <c r="A14" t="s">
        <v>19</v>
      </c>
      <c r="B14" t="s">
        <v>6</v>
      </c>
      <c r="C14">
        <v>0.1</v>
      </c>
      <c r="D14">
        <v>0.3</v>
      </c>
      <c r="E14">
        <v>0.05</v>
      </c>
      <c r="F14" t="str" cm="1">
        <f t="array" ref="F14">_xlfn.LET(
     _xlpm.r, TRIM(B14),
     _xlfn.SWITCH(_xlpm.r,
        "Illiterate","أمي",
        "Reads and writes","يقرأ ويكتب",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 )
)</f>
        <v>أمي</v>
      </c>
    </row>
    <row r="15" spans="1:6" x14ac:dyDescent="0.25">
      <c r="A15" t="s">
        <v>19</v>
      </c>
      <c r="B15" t="s">
        <v>45</v>
      </c>
      <c r="C15">
        <v>0.2</v>
      </c>
      <c r="D15">
        <v>0.3</v>
      </c>
      <c r="E15">
        <v>0.19</v>
      </c>
      <c r="F15" t="str" cm="1">
        <f t="array" ref="F15">_xlfn.LET(
     _xlpm.r, TRIM(B15),
     _xlfn.SWITCH(_xlpm.r,
        "Illiterate","أمي",
        "Reads and writes","يقرأ ويكتب",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 )
)</f>
        <v>يقرأ ويكتب</v>
      </c>
    </row>
    <row r="16" spans="1:6" x14ac:dyDescent="0.25">
      <c r="A16" t="s">
        <v>19</v>
      </c>
      <c r="B16" t="s">
        <v>8</v>
      </c>
      <c r="C16">
        <v>0.8</v>
      </c>
      <c r="D16">
        <v>0.9</v>
      </c>
      <c r="E16">
        <v>0.88</v>
      </c>
      <c r="F16" t="str" cm="1">
        <f t="array" ref="F16">_xlfn.LET(
     _xlpm.r, TRIM(B16),
     _xlfn.SWITCH(_xlpm.r,
        "Illiterate","أمي",
        "Reads and writes","يقرأ ويكتب",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 )
)</f>
        <v>ابتدائي</v>
      </c>
    </row>
    <row r="17" spans="1:6" x14ac:dyDescent="0.25">
      <c r="A17" t="s">
        <v>19</v>
      </c>
      <c r="B17" t="s">
        <v>9</v>
      </c>
      <c r="C17">
        <v>2.2999999999999998</v>
      </c>
      <c r="D17">
        <v>4.2</v>
      </c>
      <c r="E17">
        <v>3.48</v>
      </c>
      <c r="F17" t="str" cm="1">
        <f t="array" ref="F17">_xlfn.LET(
     _xlpm.r, TRIM(B17),
     _xlfn.SWITCH(_xlpm.r,
        "Illiterate","أمي",
        "Reads and writes","يقرأ ويكتب",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 )
)</f>
        <v>إعدادي</v>
      </c>
    </row>
    <row r="18" spans="1:6" x14ac:dyDescent="0.25">
      <c r="A18" t="s">
        <v>19</v>
      </c>
      <c r="B18" t="s">
        <v>10</v>
      </c>
      <c r="C18">
        <v>7.9</v>
      </c>
      <c r="D18">
        <v>9.6</v>
      </c>
      <c r="E18">
        <v>8.3699999999999992</v>
      </c>
      <c r="F18" t="str" cm="1">
        <f t="array" ref="F18">_xlfn.LET(
     _xlpm.r, TRIM(B18),
     _xlfn.SWITCH(_xlpm.r,
        "Illiterate","أمي",
        "Reads and writes","يقرأ ويكتب",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 )
)</f>
        <v>ثانوي</v>
      </c>
    </row>
    <row r="19" spans="1:6" x14ac:dyDescent="0.25">
      <c r="A19" t="s">
        <v>19</v>
      </c>
      <c r="B19" t="s">
        <v>11</v>
      </c>
      <c r="C19">
        <v>9.1</v>
      </c>
      <c r="D19">
        <v>12.7</v>
      </c>
      <c r="E19">
        <v>6.83</v>
      </c>
      <c r="F19" t="str" cm="1">
        <f t="array" ref="F19">_xlfn.LET(
     _xlpm.r, TRIM(B19),
     _xlfn.SWITCH(_xlpm.r,
        "Illiterate","أمي",
        "Reads and writes","يقرأ ويكتب",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 )
)</f>
        <v>بعد الثانوي غير جامعي</v>
      </c>
    </row>
    <row r="20" spans="1:6" x14ac:dyDescent="0.25">
      <c r="A20" t="s">
        <v>19</v>
      </c>
      <c r="B20" t="s">
        <v>12</v>
      </c>
      <c r="C20">
        <v>5.2</v>
      </c>
      <c r="D20">
        <v>8.8000000000000007</v>
      </c>
      <c r="E20">
        <v>5.78</v>
      </c>
      <c r="F20" t="str" cm="1">
        <f t="array" ref="F20">_xlfn.LET(
     _xlpm.r, TRIM(B20),
     _xlfn.SWITCH(_xlpm.r,
        "Illiterate","أمي",
        "Reads and writes","يقرأ ويكتب",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 )
)</f>
        <v>تعليم عالٍ قصير المدى</v>
      </c>
    </row>
    <row r="21" spans="1:6" x14ac:dyDescent="0.25">
      <c r="A21" t="s">
        <v>19</v>
      </c>
      <c r="B21" t="s">
        <v>46</v>
      </c>
      <c r="C21">
        <v>7.7</v>
      </c>
      <c r="D21">
        <v>6.8</v>
      </c>
      <c r="E21">
        <v>4.82</v>
      </c>
      <c r="F21" t="str" cm="1">
        <f t="array" ref="F21">_xlfn.LET(
     _xlpm.r, TRIM(B21),
     _xlfn.SWITCH(_xlpm.r,
        "Illiterate","أمي",
        "Reads and writes","يقرأ ويكتب",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 )
)</f>
        <v>بكالوريوس أو ما يعادله</v>
      </c>
    </row>
    <row r="22" spans="1:6" x14ac:dyDescent="0.25">
      <c r="A22" t="s">
        <v>19</v>
      </c>
      <c r="B22" t="s">
        <v>14</v>
      </c>
      <c r="C22">
        <v>6</v>
      </c>
      <c r="D22">
        <v>7.8</v>
      </c>
      <c r="E22">
        <v>2.84</v>
      </c>
      <c r="F22" t="str" cm="1">
        <f t="array" ref="F22">_xlfn.LET(
     _xlpm.r, TRIM(B22),
     _xlfn.SWITCH(_xlpm.r,
        "Illiterate","أمي",
        "Reads and writes","يقرأ ويكتب",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 )
)</f>
        <v>دبلوم عالي</v>
      </c>
    </row>
    <row r="23" spans="1:6" x14ac:dyDescent="0.25">
      <c r="A23" t="s">
        <v>19</v>
      </c>
      <c r="B23" t="s">
        <v>47</v>
      </c>
      <c r="C23">
        <v>4.8</v>
      </c>
      <c r="D23">
        <v>3.8</v>
      </c>
      <c r="E23">
        <v>1.97</v>
      </c>
      <c r="F23" t="str" cm="1">
        <f t="array" ref="F23">_xlfn.LET(
     _xlpm.r, TRIM(B23),
     _xlfn.SWITCH(_xlpm.r,
        "Illiterate","أمي",
        "Reads and writes","يقرأ ويكتب",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 )
)</f>
        <v>ماجستير أو ما يعادله</v>
      </c>
    </row>
    <row r="24" spans="1:6" x14ac:dyDescent="0.25">
      <c r="A24" t="s">
        <v>19</v>
      </c>
      <c r="B24" t="s">
        <v>48</v>
      </c>
      <c r="C24">
        <v>6.3</v>
      </c>
      <c r="D24">
        <v>3.1</v>
      </c>
      <c r="E24">
        <v>1.23</v>
      </c>
      <c r="F24" t="str" cm="1">
        <f t="array" ref="F24">_xlfn.LET(
     _xlpm.r, TRIM(B24),
     _xlfn.SWITCH(_xlpm.r,
        "Illiterate","أمي",
        "Reads and writes","يقرأ ويكتب",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 )
)</f>
        <v>دكتوراه أو ما يعادلها</v>
      </c>
    </row>
    <row r="25" spans="1:6" x14ac:dyDescent="0.25">
      <c r="A25" t="s">
        <v>19</v>
      </c>
      <c r="B25" t="s">
        <v>17</v>
      </c>
      <c r="C25">
        <v>0</v>
      </c>
      <c r="D25">
        <v>0</v>
      </c>
      <c r="E25">
        <v>0</v>
      </c>
      <c r="F25" t="str" cm="1">
        <f t="array" ref="F25">_xlfn.LET(
     _xlpm.r, TRIM(B25),
     _xlfn.SWITCH(_xlpm.r,
        "Illiterate","أمي",
        "Reads and writes","يقرأ ويكتب",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 )
)</f>
        <v>غير مذكور</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1B5C0-E8D5-4B74-B878-C865F15552D5}">
  <dimension ref="A1:D9"/>
  <sheetViews>
    <sheetView workbookViewId="0">
      <selection activeCell="H5" sqref="H5"/>
    </sheetView>
  </sheetViews>
  <sheetFormatPr defaultRowHeight="15" x14ac:dyDescent="0.25"/>
  <cols>
    <col min="1" max="1" width="31.28515625" bestFit="1" customWidth="1"/>
    <col min="2" max="3" width="7.28515625" bestFit="1" customWidth="1"/>
    <col min="4" max="4" width="24.7109375" bestFit="1" customWidth="1"/>
  </cols>
  <sheetData>
    <row r="1" spans="1:4" x14ac:dyDescent="0.25">
      <c r="A1" t="s">
        <v>36</v>
      </c>
      <c r="B1" t="s">
        <v>22</v>
      </c>
      <c r="C1" t="s">
        <v>4</v>
      </c>
      <c r="D1" t="s">
        <v>51</v>
      </c>
    </row>
    <row r="2" spans="1:4" x14ac:dyDescent="0.25">
      <c r="A2" t="s">
        <v>37</v>
      </c>
      <c r="B2">
        <v>15</v>
      </c>
      <c r="C2">
        <v>15</v>
      </c>
      <c r="D2" t="str" cm="1">
        <f t="array" ref="D2">_xlfn.LET(
     _xlpm.r, TRIM(A2),
     _xlfn.SWITCH(_xlpm.r,
        "Furniture","الأثاث",
        "Print and Art","الطباعة والفنون",
        "Clothing and Accessories","الملابس والإكسسوارات",
        "Industries","الصناعات",
        "Food","الأغذية",
        "Perfumes and Body Care Products","العطور ومنتجات العناية بالجسم",
        "Public Services","الخدمات العامة",
        "Unknown","غير معروف",
        "" )
)</f>
        <v>الأثاث</v>
      </c>
    </row>
    <row r="3" spans="1:4" x14ac:dyDescent="0.25">
      <c r="A3" t="s">
        <v>38</v>
      </c>
      <c r="B3">
        <v>231</v>
      </c>
      <c r="C3">
        <v>237</v>
      </c>
      <c r="D3" t="str" cm="1">
        <f t="array" ref="D3">_xlfn.LET(
     _xlpm.r, TRIM(A3),
     _xlfn.SWITCH(_xlpm.r,
        "Furniture","الأثاث",
        "Print and Art","الطباعة والفنون",
        "Clothing and Accessories","الملابس والإكسسوارات",
        "Industries","الصناعات",
        "Food","الأغذية",
        "Perfumes and Body Care Products","العطور ومنتجات العناية بالجسم",
        "Public Services","الخدمات العامة",
        "Unknown","غير معروف",
        "" )
)</f>
        <v>الطباعة والفنون</v>
      </c>
    </row>
    <row r="4" spans="1:4" x14ac:dyDescent="0.25">
      <c r="A4" t="s">
        <v>39</v>
      </c>
      <c r="B4">
        <v>934</v>
      </c>
      <c r="C4">
        <v>988</v>
      </c>
      <c r="D4" t="str" cm="1">
        <f t="array" ref="D4">_xlfn.LET(
     _xlpm.r, TRIM(A4),
     _xlfn.SWITCH(_xlpm.r,
        "Furniture","الأثاث",
        "Print and Art","الطباعة والفنون",
        "Clothing and Accessories","الملابس والإكسسوارات",
        "Industries","الصناعات",
        "Food","الأغذية",
        "Perfumes and Body Care Products","العطور ومنتجات العناية بالجسم",
        "Public Services","الخدمات العامة",
        "Unknown","غير معروف",
        "" )
)</f>
        <v>الملابس والإكسسوارات</v>
      </c>
    </row>
    <row r="5" spans="1:4" x14ac:dyDescent="0.25">
      <c r="A5" t="s">
        <v>40</v>
      </c>
      <c r="B5">
        <v>0</v>
      </c>
      <c r="C5">
        <v>662</v>
      </c>
      <c r="D5" t="str" cm="1">
        <f t="array" ref="D5">_xlfn.LET(
     _xlpm.r, TRIM(A5),
     _xlfn.SWITCH(_xlpm.r,
        "Furniture","الأثاث",
        "Print and Art","الطباعة والفنون",
        "Clothing and Accessories","الملابس والإكسسوارات",
        "Industries","الصناعات",
        "Food","الأغذية",
        "Perfumes and Body Care Products","العطور ومنتجات العناية بالجسم",
        "Public Services","الخدمات العامة",
        "Unknown","غير معروف",
        "" )
)</f>
        <v>الصناعات</v>
      </c>
    </row>
    <row r="6" spans="1:4" x14ac:dyDescent="0.25">
      <c r="A6" t="s">
        <v>41</v>
      </c>
      <c r="B6">
        <v>635</v>
      </c>
      <c r="C6">
        <v>682</v>
      </c>
      <c r="D6" t="str" cm="1">
        <f t="array" ref="D6">_xlfn.LET(
     _xlpm.r, TRIM(A6),
     _xlfn.SWITCH(_xlpm.r,
        "Furniture","الأثاث",
        "Print and Art","الطباعة والفنون",
        "Clothing and Accessories","الملابس والإكسسوارات",
        "Industries","الصناعات",
        "Food","الأغذية",
        "Perfumes and Body Care Products","العطور ومنتجات العناية بالجسم",
        "Public Services","الخدمات العامة",
        "Unknown","غير معروف",
        "" )
)</f>
        <v>الأغذية</v>
      </c>
    </row>
    <row r="7" spans="1:4" x14ac:dyDescent="0.25">
      <c r="A7" t="s">
        <v>42</v>
      </c>
      <c r="B7">
        <v>472</v>
      </c>
      <c r="C7">
        <v>493</v>
      </c>
      <c r="D7" t="str" cm="1">
        <f t="array" ref="D7">_xlfn.LET(
     _xlpm.r, TRIM(A7),
     _xlfn.SWITCH(_xlpm.r,
        "Furniture","الأثاث",
        "Print and Art","الطباعة والفنون",
        "Clothing and Accessories","الملابس والإكسسوارات",
        "Industries","الصناعات",
        "Food","الأغذية",
        "Perfumes and Body Care Products","العطور ومنتجات العناية بالجسم",
        "Public Services","الخدمات العامة",
        "Unknown","غير معروف",
        "" )
)</f>
        <v>العطور ومنتجات العناية بالجسم</v>
      </c>
    </row>
    <row r="8" spans="1:4" x14ac:dyDescent="0.25">
      <c r="A8" t="s">
        <v>43</v>
      </c>
      <c r="B8">
        <v>89</v>
      </c>
      <c r="C8">
        <v>89</v>
      </c>
      <c r="D8" t="str" cm="1">
        <f t="array" ref="D8">_xlfn.LET(
     _xlpm.r, TRIM(A8),
     _xlfn.SWITCH(_xlpm.r,
        "Furniture","الأثاث",
        "Print and Art","الطباعة والفنون",
        "Clothing and Accessories","الملابس والإكسسوارات",
        "Industries","الصناعات",
        "Food","الأغذية",
        "Perfumes and Body Care Products","العطور ومنتجات العناية بالجسم",
        "Public Services","الخدمات العامة",
        "Unknown","غير معروف",
        "" )
)</f>
        <v>الخدمات العامة</v>
      </c>
    </row>
    <row r="9" spans="1:4" x14ac:dyDescent="0.25">
      <c r="A9" t="s">
        <v>44</v>
      </c>
      <c r="B9">
        <v>648</v>
      </c>
      <c r="C9">
        <v>0</v>
      </c>
      <c r="D9" t="str" cm="1">
        <f t="array" ref="D9">_xlfn.LET(
     _xlpm.r, TRIM(A9),
     _xlfn.SWITCH(_xlpm.r,
        "Furniture","الأثاث",
        "Print and Art","الطباعة والفنون",
        "Clothing and Accessories","الملابس والإكسسوارات",
        "Industries","الصناعات",
        "Food","الأغذية",
        "Perfumes and Body Care Products","العطور ومنتجات العناية بالجسم",
        "Public Services","الخدمات العامة",
        "Unknown","غير معروف",
        "" )
)</f>
        <v>غير معروف</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24BF1-75CD-426E-9858-CE2EDA8CC58C}">
  <dimension ref="A1:F19"/>
  <sheetViews>
    <sheetView workbookViewId="0">
      <selection activeCell="G1" sqref="G1"/>
    </sheetView>
  </sheetViews>
  <sheetFormatPr defaultRowHeight="15" x14ac:dyDescent="0.25"/>
  <cols>
    <col min="1" max="1" width="20.7109375" bestFit="1" customWidth="1"/>
    <col min="2" max="2" width="11.140625" bestFit="1" customWidth="1"/>
    <col min="3" max="4" width="7.28515625" bestFit="1" customWidth="1"/>
    <col min="5" max="5" width="24.140625" bestFit="1" customWidth="1"/>
    <col min="6" max="6" width="14.42578125" bestFit="1" customWidth="1"/>
  </cols>
  <sheetData>
    <row r="1" spans="1:6" x14ac:dyDescent="0.25">
      <c r="A1" t="s">
        <v>1</v>
      </c>
      <c r="B1" t="s">
        <v>0</v>
      </c>
      <c r="C1" t="s">
        <v>22</v>
      </c>
      <c r="D1" t="s">
        <v>4</v>
      </c>
      <c r="E1" t="s">
        <v>52</v>
      </c>
      <c r="F1" t="s">
        <v>53</v>
      </c>
    </row>
    <row r="2" spans="1:6" x14ac:dyDescent="0.25">
      <c r="A2" t="s">
        <v>7</v>
      </c>
      <c r="B2" t="s">
        <v>5</v>
      </c>
      <c r="C2">
        <v>0</v>
      </c>
      <c r="D2">
        <v>0</v>
      </c>
      <c r="E2" t="str" cm="1">
        <f t="array" ref="E2">_xlfn.LET(
     _xlpm.r, TRIM(A2),
     _xlfn.SWITCH(_xlpm.r,
        "Reads And Writes","يقرأ ويكتب",
        "Primary","ابتدائي",
        "Not Stated","غير مذكور",
        "Preparatory","إعدادي",
        "Illiterate","أمي",
        "Postgraduate","دراسات عليا",
        "Diploma","دبلوم",
        "Secondary","ثانوي",
        "University","جامعي",
        "" )
)</f>
        <v>يقرأ ويكتب</v>
      </c>
      <c r="F2" s="1" t="str">
        <f t="shared" ref="F2:F19" si="0">IF(TRIM(B2)="Male","ذكر",
   IF(TRIM(B2)="Female","أنثى",""))</f>
        <v>ذكر</v>
      </c>
    </row>
    <row r="3" spans="1:6" x14ac:dyDescent="0.25">
      <c r="A3" t="s">
        <v>8</v>
      </c>
      <c r="B3" t="s">
        <v>19</v>
      </c>
      <c r="C3">
        <v>227</v>
      </c>
      <c r="D3">
        <v>233</v>
      </c>
      <c r="E3" t="str" cm="1">
        <f t="array" ref="E3">_xlfn.LET(
     _xlpm.r, TRIM(A3),
     _xlfn.SWITCH(_xlpm.r,
        "Reads And Writes","يقرأ ويكتب",
        "Primary","ابتدائي",
        "Not Stated","غير مذكور",
        "Preparatory","إعدادي",
        "Illiterate","أمي",
        "Postgraduate","دراسات عليا",
        "Diploma","دبلوم",
        "Secondary","ثانوي",
        "University","جامعي",
        "" )
)</f>
        <v>ابتدائي</v>
      </c>
      <c r="F3" s="1" t="str">
        <f t="shared" si="0"/>
        <v>أنثى</v>
      </c>
    </row>
    <row r="4" spans="1:6" x14ac:dyDescent="0.25">
      <c r="A4" t="s">
        <v>7</v>
      </c>
      <c r="B4" t="s">
        <v>19</v>
      </c>
      <c r="C4">
        <v>2</v>
      </c>
      <c r="D4">
        <v>2</v>
      </c>
      <c r="E4" t="str" cm="1">
        <f t="array" ref="E4">_xlfn.LET(
     _xlpm.r, TRIM(A4),
     _xlfn.SWITCH(_xlpm.r,
        "Reads And Writes","يقرأ ويكتب",
        "Primary","ابتدائي",
        "Not Stated","غير مذكور",
        "Preparatory","إعدادي",
        "Illiterate","أمي",
        "Postgraduate","دراسات عليا",
        "Diploma","دبلوم",
        "Secondary","ثانوي",
        "University","جامعي",
        "" )
)</f>
        <v>يقرأ ويكتب</v>
      </c>
      <c r="F4" s="1" t="str">
        <f t="shared" si="0"/>
        <v>أنثى</v>
      </c>
    </row>
    <row r="5" spans="1:6" x14ac:dyDescent="0.25">
      <c r="A5" t="s">
        <v>17</v>
      </c>
      <c r="B5" t="s">
        <v>19</v>
      </c>
      <c r="C5">
        <v>4</v>
      </c>
      <c r="D5">
        <v>7</v>
      </c>
      <c r="E5" t="str" cm="1">
        <f t="array" ref="E5">_xlfn.LET(
     _xlpm.r, TRIM(A5),
     _xlfn.SWITCH(_xlpm.r,
        "Reads And Writes","يقرأ ويكتب",
        "Primary","ابتدائي",
        "Not Stated","غير مذكور",
        "Preparatory","إعدادي",
        "Illiterate","أمي",
        "Postgraduate","دراسات عليا",
        "Diploma","دبلوم",
        "Secondary","ثانوي",
        "University","جامعي",
        "" )
)</f>
        <v>غير مذكور</v>
      </c>
      <c r="F5" s="1" t="str">
        <f t="shared" si="0"/>
        <v>أنثى</v>
      </c>
    </row>
    <row r="6" spans="1:6" x14ac:dyDescent="0.25">
      <c r="A6" t="s">
        <v>9</v>
      </c>
      <c r="B6" t="s">
        <v>19</v>
      </c>
      <c r="C6">
        <v>360</v>
      </c>
      <c r="D6">
        <v>365</v>
      </c>
      <c r="E6" t="str" cm="1">
        <f t="array" ref="E6">_xlfn.LET(
     _xlpm.r, TRIM(A6),
     _xlfn.SWITCH(_xlpm.r,
        "Reads And Writes","يقرأ ويكتب",
        "Primary","ابتدائي",
        "Not Stated","غير مذكور",
        "Preparatory","إعدادي",
        "Illiterate","أمي",
        "Postgraduate","دراسات عليا",
        "Diploma","دبلوم",
        "Secondary","ثانوي",
        "University","جامعي",
        "" )
)</f>
        <v>إعدادي</v>
      </c>
      <c r="F6" s="1" t="str">
        <f t="shared" si="0"/>
        <v>أنثى</v>
      </c>
    </row>
    <row r="7" spans="1:6" x14ac:dyDescent="0.25">
      <c r="A7" t="s">
        <v>6</v>
      </c>
      <c r="B7" t="s">
        <v>19</v>
      </c>
      <c r="C7">
        <v>477</v>
      </c>
      <c r="D7">
        <v>485</v>
      </c>
      <c r="E7" t="str" cm="1">
        <f t="array" ref="E7">_xlfn.LET(
     _xlpm.r, TRIM(A7),
     _xlfn.SWITCH(_xlpm.r,
        "Reads And Writes","يقرأ ويكتب",
        "Primary","ابتدائي",
        "Not Stated","غير مذكور",
        "Preparatory","إعدادي",
        "Illiterate","أمي",
        "Postgraduate","دراسات عليا",
        "Diploma","دبلوم",
        "Secondary","ثانوي",
        "University","جامعي",
        "" )
)</f>
        <v>أمي</v>
      </c>
      <c r="F7" s="1" t="str">
        <f t="shared" si="0"/>
        <v>أنثى</v>
      </c>
    </row>
    <row r="8" spans="1:6" x14ac:dyDescent="0.25">
      <c r="A8" t="s">
        <v>33</v>
      </c>
      <c r="B8" t="s">
        <v>19</v>
      </c>
      <c r="C8">
        <v>16</v>
      </c>
      <c r="D8">
        <v>21</v>
      </c>
      <c r="E8" t="str" cm="1">
        <f t="array" ref="E8">_xlfn.LET(
     _xlpm.r, TRIM(A8),
     _xlfn.SWITCH(_xlpm.r,
        "Reads And Writes","يقرأ ويكتب",
        "Primary","ابتدائي",
        "Not Stated","غير مذكور",
        "Preparatory","إعدادي",
        "Illiterate","أمي",
        "Postgraduate","دراسات عليا",
        "Diploma","دبلوم",
        "Secondary","ثانوي",
        "University","جامعي",
        "" )
)</f>
        <v>دراسات عليا</v>
      </c>
      <c r="F8" s="1" t="str">
        <f t="shared" si="0"/>
        <v>أنثى</v>
      </c>
    </row>
    <row r="9" spans="1:6" x14ac:dyDescent="0.25">
      <c r="A9" t="s">
        <v>9</v>
      </c>
      <c r="B9" t="s">
        <v>5</v>
      </c>
      <c r="C9">
        <v>20</v>
      </c>
      <c r="D9">
        <v>21</v>
      </c>
      <c r="E9" t="str" cm="1">
        <f t="array" ref="E9">_xlfn.LET(
     _xlpm.r, TRIM(A9),
     _xlfn.SWITCH(_xlpm.r,
        "Reads And Writes","يقرأ ويكتب",
        "Primary","ابتدائي",
        "Not Stated","غير مذكور",
        "Preparatory","إعدادي",
        "Illiterate","أمي",
        "Postgraduate","دراسات عليا",
        "Diploma","دبلوم",
        "Secondary","ثانوي",
        "University","جامعي",
        "" )
)</f>
        <v>إعدادي</v>
      </c>
      <c r="F9" s="1" t="str">
        <f t="shared" si="0"/>
        <v>ذكر</v>
      </c>
    </row>
    <row r="10" spans="1:6" x14ac:dyDescent="0.25">
      <c r="A10" t="s">
        <v>34</v>
      </c>
      <c r="B10" t="s">
        <v>5</v>
      </c>
      <c r="C10">
        <v>31</v>
      </c>
      <c r="D10">
        <v>32</v>
      </c>
      <c r="E10" t="str" cm="1">
        <f t="array" ref="E10">_xlfn.LET(
     _xlpm.r, TRIM(A10),
     _xlfn.SWITCH(_xlpm.r,
        "Reads And Writes","يقرأ ويكتب",
        "Primary","ابتدائي",
        "Not Stated","غير مذكور",
        "Preparatory","إعدادي",
        "Illiterate","أمي",
        "Postgraduate","دراسات عليا",
        "Diploma","دبلوم",
        "Secondary","ثانوي",
        "University","جامعي",
        "" )
)</f>
        <v>دبلوم</v>
      </c>
      <c r="F10" s="1" t="str">
        <f t="shared" si="0"/>
        <v>ذكر</v>
      </c>
    </row>
    <row r="11" spans="1:6" x14ac:dyDescent="0.25">
      <c r="A11" t="s">
        <v>33</v>
      </c>
      <c r="B11" t="s">
        <v>5</v>
      </c>
      <c r="C11">
        <v>2</v>
      </c>
      <c r="D11">
        <v>2</v>
      </c>
      <c r="E11" t="str" cm="1">
        <f t="array" ref="E11">_xlfn.LET(
     _xlpm.r, TRIM(A11),
     _xlfn.SWITCH(_xlpm.r,
        "Reads And Writes","يقرأ ويكتب",
        "Primary","ابتدائي",
        "Not Stated","غير مذكور",
        "Preparatory","إعدادي",
        "Illiterate","أمي",
        "Postgraduate","دراسات عليا",
        "Diploma","دبلوم",
        "Secondary","ثانوي",
        "University","جامعي",
        "" )
)</f>
        <v>دراسات عليا</v>
      </c>
      <c r="F11" s="1" t="str">
        <f t="shared" si="0"/>
        <v>ذكر</v>
      </c>
    </row>
    <row r="12" spans="1:6" x14ac:dyDescent="0.25">
      <c r="A12" t="s">
        <v>10</v>
      </c>
      <c r="B12" t="s">
        <v>5</v>
      </c>
      <c r="C12">
        <v>78</v>
      </c>
      <c r="D12">
        <v>90</v>
      </c>
      <c r="E12" t="str" cm="1">
        <f t="array" ref="E12">_xlfn.LET(
     _xlpm.r, TRIM(A12),
     _xlfn.SWITCH(_xlpm.r,
        "Reads And Writes","يقرأ ويكتب",
        "Primary","ابتدائي",
        "Not Stated","غير مذكور",
        "Preparatory","إعدادي",
        "Illiterate","أمي",
        "Postgraduate","دراسات عليا",
        "Diploma","دبلوم",
        "Secondary","ثانوي",
        "University","جامعي",
        "" )
)</f>
        <v>ثانوي</v>
      </c>
      <c r="F12" s="1" t="str">
        <f t="shared" si="0"/>
        <v>ذكر</v>
      </c>
    </row>
    <row r="13" spans="1:6" x14ac:dyDescent="0.25">
      <c r="A13" t="s">
        <v>10</v>
      </c>
      <c r="B13" t="s">
        <v>19</v>
      </c>
      <c r="C13">
        <v>888</v>
      </c>
      <c r="D13">
        <v>924</v>
      </c>
      <c r="E13" t="str" cm="1">
        <f t="array" ref="E13">_xlfn.LET(
     _xlpm.r, TRIM(A13),
     _xlfn.SWITCH(_xlpm.r,
        "Reads And Writes","يقرأ ويكتب",
        "Primary","ابتدائي",
        "Not Stated","غير مذكور",
        "Preparatory","إعدادي",
        "Illiterate","أمي",
        "Postgraduate","دراسات عليا",
        "Diploma","دبلوم",
        "Secondary","ثانوي",
        "University","جامعي",
        "" )
)</f>
        <v>ثانوي</v>
      </c>
      <c r="F13" s="1" t="str">
        <f t="shared" si="0"/>
        <v>أنثى</v>
      </c>
    </row>
    <row r="14" spans="1:6" x14ac:dyDescent="0.25">
      <c r="A14" t="s">
        <v>34</v>
      </c>
      <c r="B14" t="s">
        <v>19</v>
      </c>
      <c r="C14">
        <v>219</v>
      </c>
      <c r="D14">
        <v>231</v>
      </c>
      <c r="E14" t="str" cm="1">
        <f t="array" ref="E14">_xlfn.LET(
     _xlpm.r, TRIM(A14),
     _xlfn.SWITCH(_xlpm.r,
        "Reads And Writes","يقرأ ويكتب",
        "Primary","ابتدائي",
        "Not Stated","غير مذكور",
        "Preparatory","إعدادي",
        "Illiterate","أمي",
        "Postgraduate","دراسات عليا",
        "Diploma","دبلوم",
        "Secondary","ثانوي",
        "University","جامعي",
        "" )
)</f>
        <v>دبلوم</v>
      </c>
      <c r="F14" s="1" t="str">
        <f t="shared" si="0"/>
        <v>أنثى</v>
      </c>
    </row>
    <row r="15" spans="1:6" x14ac:dyDescent="0.25">
      <c r="A15" t="s">
        <v>35</v>
      </c>
      <c r="B15" t="s">
        <v>19</v>
      </c>
      <c r="C15">
        <v>609</v>
      </c>
      <c r="D15">
        <v>653</v>
      </c>
      <c r="E15" t="str" cm="1">
        <f t="array" ref="E15">_xlfn.LET(
     _xlpm.r, TRIM(A15),
     _xlfn.SWITCH(_xlpm.r,
        "Reads And Writes","يقرأ ويكتب",
        "Primary","ابتدائي",
        "Not Stated","غير مذكور",
        "Preparatory","إعدادي",
        "Illiterate","أمي",
        "Postgraduate","دراسات عليا",
        "Diploma","دبلوم",
        "Secondary","ثانوي",
        "University","جامعي",
        "" )
)</f>
        <v>جامعي</v>
      </c>
      <c r="F15" s="1" t="str">
        <f t="shared" si="0"/>
        <v>أنثى</v>
      </c>
    </row>
    <row r="16" spans="1:6" x14ac:dyDescent="0.25">
      <c r="A16" t="s">
        <v>6</v>
      </c>
      <c r="B16" t="s">
        <v>5</v>
      </c>
      <c r="C16">
        <v>21</v>
      </c>
      <c r="D16">
        <v>22</v>
      </c>
      <c r="E16" t="str" cm="1">
        <f t="array" ref="E16">_xlfn.LET(
     _xlpm.r, TRIM(A16),
     _xlfn.SWITCH(_xlpm.r,
        "Reads And Writes","يقرأ ويكتب",
        "Primary","ابتدائي",
        "Not Stated","غير مذكور",
        "Preparatory","إعدادي",
        "Illiterate","أمي",
        "Postgraduate","دراسات عليا",
        "Diploma","دبلوم",
        "Secondary","ثانوي",
        "University","جامعي",
        "" )
)</f>
        <v>أمي</v>
      </c>
      <c r="F16" s="1" t="str">
        <f t="shared" si="0"/>
        <v>ذكر</v>
      </c>
    </row>
    <row r="17" spans="1:6" x14ac:dyDescent="0.25">
      <c r="A17" t="s">
        <v>8</v>
      </c>
      <c r="B17" t="s">
        <v>5</v>
      </c>
      <c r="C17">
        <v>29</v>
      </c>
      <c r="D17">
        <v>30</v>
      </c>
      <c r="E17" t="str" cm="1">
        <f t="array" ref="E17">_xlfn.LET(
     _xlpm.r, TRIM(A17),
     _xlfn.SWITCH(_xlpm.r,
        "Reads And Writes","يقرأ ويكتب",
        "Primary","ابتدائي",
        "Not Stated","غير مذكور",
        "Preparatory","إعدادي",
        "Illiterate","أمي",
        "Postgraduate","دراسات عليا",
        "Diploma","دبلوم",
        "Secondary","ثانوي",
        "University","جامعي",
        "" )
)</f>
        <v>ابتدائي</v>
      </c>
      <c r="F17" s="1" t="str">
        <f t="shared" si="0"/>
        <v>ذكر</v>
      </c>
    </row>
    <row r="18" spans="1:6" x14ac:dyDescent="0.25">
      <c r="A18" t="s">
        <v>35</v>
      </c>
      <c r="B18" t="s">
        <v>5</v>
      </c>
      <c r="C18">
        <v>40</v>
      </c>
      <c r="D18">
        <v>47</v>
      </c>
      <c r="E18" t="str" cm="1">
        <f t="array" ref="E18">_xlfn.LET(
     _xlpm.r, TRIM(A18),
     _xlfn.SWITCH(_xlpm.r,
        "Reads And Writes","يقرأ ويكتب",
        "Primary","ابتدائي",
        "Not Stated","غير مذكور",
        "Preparatory","إعدادي",
        "Illiterate","أمي",
        "Postgraduate","دراسات عليا",
        "Diploma","دبلوم",
        "Secondary","ثانوي",
        "University","جامعي",
        "" )
)</f>
        <v>جامعي</v>
      </c>
      <c r="F18" s="1" t="str">
        <f t="shared" si="0"/>
        <v>ذكر</v>
      </c>
    </row>
    <row r="19" spans="1:6" x14ac:dyDescent="0.25">
      <c r="A19" t="s">
        <v>17</v>
      </c>
      <c r="B19" t="s">
        <v>5</v>
      </c>
      <c r="C19">
        <v>1</v>
      </c>
      <c r="D19">
        <v>1</v>
      </c>
      <c r="E19" t="str" cm="1">
        <f t="array" ref="E19">_xlfn.LET(
     _xlpm.r, TRIM(A19),
     _xlfn.SWITCH(_xlpm.r,
        "Reads And Writes","يقرأ ويكتب",
        "Primary","ابتدائي",
        "Not Stated","غير مذكور",
        "Preparatory","إعدادي",
        "Illiterate","أمي",
        "Postgraduate","دراسات عليا",
        "Diploma","دبلوم",
        "Secondary","ثانوي",
        "University","جامعي",
        "" )
)</f>
        <v>غير مذكور</v>
      </c>
      <c r="F19" s="1" t="str">
        <f t="shared" si="0"/>
        <v>ذكر</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7D494-E29E-4806-9708-570C7727EC11}">
  <dimension ref="A1:G23"/>
  <sheetViews>
    <sheetView workbookViewId="0">
      <selection activeCell="I4" sqref="I4"/>
    </sheetView>
  </sheetViews>
  <sheetFormatPr defaultRowHeight="15" x14ac:dyDescent="0.25"/>
  <cols>
    <col min="1" max="1" width="11.140625" bestFit="1" customWidth="1"/>
    <col min="2" max="2" width="42.42578125" bestFit="1" customWidth="1"/>
    <col min="3" max="5" width="7.28515625" bestFit="1" customWidth="1"/>
    <col min="7" max="7" width="30.85546875" bestFit="1" customWidth="1"/>
  </cols>
  <sheetData>
    <row r="1" spans="1:7" x14ac:dyDescent="0.25">
      <c r="A1" t="s">
        <v>0</v>
      </c>
      <c r="B1" t="s">
        <v>20</v>
      </c>
      <c r="C1" t="s">
        <v>21</v>
      </c>
      <c r="D1" t="s">
        <v>22</v>
      </c>
      <c r="E1" t="s">
        <v>4</v>
      </c>
      <c r="F1" t="s">
        <v>53</v>
      </c>
      <c r="G1" t="s">
        <v>55</v>
      </c>
    </row>
    <row r="2" spans="1:7" x14ac:dyDescent="0.25">
      <c r="A2" t="s">
        <v>5</v>
      </c>
      <c r="B2" t="s">
        <v>23</v>
      </c>
      <c r="C2">
        <v>0.28999999999999998</v>
      </c>
      <c r="D2">
        <v>0.21</v>
      </c>
      <c r="E2">
        <v>0.52</v>
      </c>
      <c r="F2" t="str">
        <f t="shared" ref="F2:F23" si="0">IF(TRIM(A2)="Male","ذكر",
   IF(TRIM(A2)="Female","أنثى",""))</f>
        <v>ذكر</v>
      </c>
      <c r="G2" t="str" cm="1">
        <f t="array" ref="G2">_xlfn.LET(
    _xlpm.r, LOWER(TRIM(B2)),
    _xlfn.SWITCH(_xlpm.r,
        "household duties - unpaid",               "أعمال منزلية - غير مدفوعة",
        "student",                                 "طالب",
        "unable to work (disabled, illness, incapable)", "غير قادر على العمل (إعاقة، مرض، عجز)",
        "retired",                                 "متقاعد",
        "65 years and more not working",           "65 سنة فأكثر غير عامل",
        "independent income",                      "دخل مستقل",
        "social circumstances",                    "ظروف اجتماعية",
        "unwilling to work",                       "غير راغب في العمل",
        "didn't find suitable work",               "لم يجد عملاً مناسباً",
        "other",                                   "أخرى",
        "not stated",                              "غير مذكور",
        "" ) )</f>
        <v>أعمال منزلية - غير مدفوعة</v>
      </c>
    </row>
    <row r="3" spans="1:7" x14ac:dyDescent="0.25">
      <c r="A3" t="s">
        <v>5</v>
      </c>
      <c r="B3" t="s">
        <v>24</v>
      </c>
      <c r="C3">
        <v>61.71</v>
      </c>
      <c r="D3">
        <v>61.22</v>
      </c>
      <c r="E3">
        <v>60.54</v>
      </c>
      <c r="F3" t="str">
        <f t="shared" si="0"/>
        <v>ذكر</v>
      </c>
      <c r="G3" t="str" cm="1">
        <f t="array" ref="G3">_xlfn.LET(
    _xlpm.r, LOWER(TRIM(B3)),
    _xlfn.SWITCH(_xlpm.r,
        "household duties - unpaid",               "أعمال منزلية - غير مدفوعة",
        "student",                                 "طالب",
        "unable to work (disabled, illness, incapable)", "غير قادر على العمل (إعاقة، مرض، عجز)",
        "retired",                                 "متقاعد",
        "65 years and more not working",           "65 سنة فأكثر غير عامل",
        "independent income",                      "دخل مستقل",
        "social circumstances",                    "ظروف اجتماعية",
        "unwilling to work",                       "غير راغب في العمل",
        "didn't find suitable work",               "لم يجد عملاً مناسباً",
        "other",                                   "أخرى",
        "not stated",                              "غير مذكور",
        "" ) )</f>
        <v>طالب</v>
      </c>
    </row>
    <row r="4" spans="1:7" x14ac:dyDescent="0.25">
      <c r="A4" t="s">
        <v>5</v>
      </c>
      <c r="B4" t="s">
        <v>25</v>
      </c>
      <c r="C4">
        <v>7.01</v>
      </c>
      <c r="D4">
        <v>7.73</v>
      </c>
      <c r="E4">
        <v>7.83</v>
      </c>
      <c r="F4" t="str">
        <f t="shared" si="0"/>
        <v>ذكر</v>
      </c>
      <c r="G4" t="str" cm="1">
        <f t="array" ref="G4">_xlfn.LET(
    _xlpm.r, LOWER(TRIM(B4)),
    _xlfn.SWITCH(_xlpm.r,
        "household duties - unpaid",               "أعمال منزلية - غير مدفوعة",
        "student",                                 "طالب",
        "unable to work (disabled, illness, incapable)", "غير قادر على العمل (إعاقة، مرض، عجز)",
        "retired",                                 "متقاعد",
        "65 years and more not working",           "65 سنة فأكثر غير عامل",
        "independent income",                      "دخل مستقل",
        "social circumstances",                    "ظروف اجتماعية",
        "unwilling to work",                       "غير راغب في العمل",
        "didn't find suitable work",               "لم يجد عملاً مناسباً",
        "other",                                   "أخرى",
        "not stated",                              "غير مذكور",
        "" ) )</f>
        <v>غير قادر على العمل (إعاقة، مرض، عجز)</v>
      </c>
    </row>
    <row r="5" spans="1:7" x14ac:dyDescent="0.25">
      <c r="A5" t="s">
        <v>5</v>
      </c>
      <c r="B5" t="s">
        <v>26</v>
      </c>
      <c r="C5">
        <v>9.5399999999999991</v>
      </c>
      <c r="D5">
        <v>9.24</v>
      </c>
      <c r="E5">
        <v>7.19</v>
      </c>
      <c r="F5" t="str">
        <f t="shared" si="0"/>
        <v>ذكر</v>
      </c>
      <c r="G5" t="str" cm="1">
        <f t="array" ref="G5">_xlfn.LET(
    _xlpm.r, LOWER(TRIM(B5)),
    _xlfn.SWITCH(_xlpm.r,
        "household duties - unpaid",               "أعمال منزلية - غير مدفوعة",
        "student",                                 "طالب",
        "unable to work (disabled, illness, incapable)", "غير قادر على العمل (إعاقة، مرض، عجز)",
        "retired",                                 "متقاعد",
        "65 years and more not working",           "65 سنة فأكثر غير عامل",
        "independent income",                      "دخل مستقل",
        "social circumstances",                    "ظروف اجتماعية",
        "unwilling to work",                       "غير راغب في العمل",
        "didn't find suitable work",               "لم يجد عملاً مناسباً",
        "other",                                   "أخرى",
        "not stated",                              "غير مذكور",
        "" ) )</f>
        <v>متقاعد</v>
      </c>
    </row>
    <row r="6" spans="1:7" x14ac:dyDescent="0.25">
      <c r="A6" t="s">
        <v>5</v>
      </c>
      <c r="B6" t="s">
        <v>27</v>
      </c>
      <c r="C6">
        <v>5.03</v>
      </c>
      <c r="D6">
        <v>6.71</v>
      </c>
      <c r="E6">
        <v>5.6</v>
      </c>
      <c r="F6" t="str">
        <f t="shared" si="0"/>
        <v>ذكر</v>
      </c>
      <c r="G6" t="str" cm="1">
        <f t="array" ref="G6">_xlfn.LET(
    _xlpm.r, LOWER(TRIM(B6)),
    _xlfn.SWITCH(_xlpm.r,
        "household duties - unpaid",               "أعمال منزلية - غير مدفوعة",
        "student",                                 "طالب",
        "unable to work (disabled, illness, incapable)", "غير قادر على العمل (إعاقة، مرض، عجز)",
        "retired",                                 "متقاعد",
        "65 years and more not working",           "65 سنة فأكثر غير عامل",
        "independent income",                      "دخل مستقل",
        "social circumstances",                    "ظروف اجتماعية",
        "unwilling to work",                       "غير راغب في العمل",
        "didn't find suitable work",               "لم يجد عملاً مناسباً",
        "other",                                   "أخرى",
        "not stated",                              "غير مذكور",
        "" ) )</f>
        <v>65 سنة فأكثر غير عامل</v>
      </c>
    </row>
    <row r="7" spans="1:7" x14ac:dyDescent="0.25">
      <c r="A7" t="s">
        <v>5</v>
      </c>
      <c r="B7" t="s">
        <v>28</v>
      </c>
      <c r="C7">
        <v>5.21</v>
      </c>
      <c r="D7">
        <v>3.6</v>
      </c>
      <c r="E7">
        <v>2.16</v>
      </c>
      <c r="F7" t="str">
        <f t="shared" si="0"/>
        <v>ذكر</v>
      </c>
      <c r="G7" t="str" cm="1">
        <f t="array" ref="G7">_xlfn.LET(
    _xlpm.r, LOWER(TRIM(B7)),
    _xlfn.SWITCH(_xlpm.r,
        "household duties - unpaid",               "أعمال منزلية - غير مدفوعة",
        "student",                                 "طالب",
        "unable to work (disabled, illness, incapable)", "غير قادر على العمل (إعاقة، مرض، عجز)",
        "retired",                                 "متقاعد",
        "65 years and more not working",           "65 سنة فأكثر غير عامل",
        "independent income",                      "دخل مستقل",
        "social circumstances",                    "ظروف اجتماعية",
        "unwilling to work",                       "غير راغب في العمل",
        "didn't find suitable work",               "لم يجد عملاً مناسباً",
        "other",                                   "أخرى",
        "not stated",                              "غير مذكور",
        "" ) )</f>
        <v>دخل مستقل</v>
      </c>
    </row>
    <row r="8" spans="1:7" x14ac:dyDescent="0.25">
      <c r="A8" t="s">
        <v>5</v>
      </c>
      <c r="B8" t="s">
        <v>29</v>
      </c>
      <c r="C8">
        <v>0.97</v>
      </c>
      <c r="D8">
        <v>1.41</v>
      </c>
      <c r="E8">
        <v>1.1200000000000001</v>
      </c>
      <c r="F8" t="str">
        <f t="shared" si="0"/>
        <v>ذكر</v>
      </c>
      <c r="G8" t="str" cm="1">
        <f t="array" ref="G8">_xlfn.LET(
    _xlpm.r, LOWER(TRIM(B8)),
    _xlfn.SWITCH(_xlpm.r,
        "household duties - unpaid",               "أعمال منزلية - غير مدفوعة",
        "student",                                 "طالب",
        "unable to work (disabled, illness, incapable)", "غير قادر على العمل (إعاقة، مرض، عجز)",
        "retired",                                 "متقاعد",
        "65 years and more not working",           "65 سنة فأكثر غير عامل",
        "independent income",                      "دخل مستقل",
        "social circumstances",                    "ظروف اجتماعية",
        "unwilling to work",                       "غير راغب في العمل",
        "didn't find suitable work",               "لم يجد عملاً مناسباً",
        "other",                                   "أخرى",
        "not stated",                              "غير مذكور",
        "" ) )</f>
        <v>ظروف اجتماعية</v>
      </c>
    </row>
    <row r="9" spans="1:7" x14ac:dyDescent="0.25">
      <c r="A9" t="s">
        <v>5</v>
      </c>
      <c r="B9" t="s">
        <v>30</v>
      </c>
      <c r="C9">
        <v>1.52</v>
      </c>
      <c r="D9">
        <v>1.1000000000000001</v>
      </c>
      <c r="E9">
        <v>2.1800000000000002</v>
      </c>
      <c r="F9" t="str">
        <f t="shared" si="0"/>
        <v>ذكر</v>
      </c>
      <c r="G9" t="str" cm="1">
        <f t="array" ref="G9">_xlfn.LET(
    _xlpm.r, LOWER(TRIM(B9)),
    _xlfn.SWITCH(_xlpm.r,
        "household duties - unpaid",               "أعمال منزلية - غير مدفوعة",
        "student",                                 "طالب",
        "unable to work (disabled, illness, incapable)", "غير قادر على العمل (إعاقة، مرض، عجز)",
        "retired",                                 "متقاعد",
        "65 years and more not working",           "65 سنة فأكثر غير عامل",
        "independent income",                      "دخل مستقل",
        "social circumstances",                    "ظروف اجتماعية",
        "unwilling to work",                       "غير راغب في العمل",
        "didn't find suitable work",               "لم يجد عملاً مناسباً",
        "other",                                   "أخرى",
        "not stated",                              "غير مذكور",
        "" ) )</f>
        <v>غير راغب في العمل</v>
      </c>
    </row>
    <row r="10" spans="1:7" x14ac:dyDescent="0.25">
      <c r="A10" t="s">
        <v>5</v>
      </c>
      <c r="B10" t="s">
        <v>31</v>
      </c>
      <c r="C10">
        <v>1.96</v>
      </c>
      <c r="D10">
        <v>2.5499999999999998</v>
      </c>
      <c r="E10">
        <v>1.88</v>
      </c>
      <c r="F10" t="str">
        <f t="shared" si="0"/>
        <v>ذكر</v>
      </c>
      <c r="G10" t="str" cm="1">
        <f t="array" ref="G10">_xlfn.LET(
    _xlpm.r, LOWER(TRIM(B10)),
    _xlfn.SWITCH(_xlpm.r,
        "household duties - unpaid",               "أعمال منزلية - غير مدفوعة",
        "student",                                 "طالب",
        "unable to work (disabled, illness, incapable)", "غير قادر على العمل (إعاقة، مرض، عجز)",
        "retired",                                 "متقاعد",
        "65 years and more not working",           "65 سنة فأكثر غير عامل",
        "independent income",                      "دخل مستقل",
        "social circumstances",                    "ظروف اجتماعية",
        "unwilling to work",                       "غير راغب في العمل",
        "didn't find suitable work",               "لم يجد عملاً مناسباً",
        "other",                                   "أخرى",
        "not stated",                              "غير مذكور",
        "" ) )</f>
        <v>لم يجد عملاً مناسباً</v>
      </c>
    </row>
    <row r="11" spans="1:7" x14ac:dyDescent="0.25">
      <c r="A11" t="s">
        <v>5</v>
      </c>
      <c r="B11" t="s">
        <v>32</v>
      </c>
      <c r="C11">
        <v>2.98</v>
      </c>
      <c r="D11">
        <v>3.52</v>
      </c>
      <c r="E11">
        <v>7.47</v>
      </c>
      <c r="F11" t="str">
        <f t="shared" si="0"/>
        <v>ذكر</v>
      </c>
      <c r="G11" t="str" cm="1">
        <f t="array" ref="G11">_xlfn.LET(
    _xlpm.r, LOWER(TRIM(B11)),
    _xlfn.SWITCH(_xlpm.r,
        "household duties - unpaid",               "أعمال منزلية - غير مدفوعة",
        "student",                                 "طالب",
        "unable to work (disabled, illness, incapable)", "غير قادر على العمل (إعاقة، مرض، عجز)",
        "retired",                                 "متقاعد",
        "65 years and more not working",           "65 سنة فأكثر غير عامل",
        "independent income",                      "دخل مستقل",
        "social circumstances",                    "ظروف اجتماعية",
        "unwilling to work",                       "غير راغب في العمل",
        "didn't find suitable work",               "لم يجد عملاً مناسباً",
        "other",                                   "أخرى",
        "not stated",                              "غير مذكور",
        "" ) )</f>
        <v>أخرى</v>
      </c>
    </row>
    <row r="12" spans="1:7" x14ac:dyDescent="0.25">
      <c r="A12" t="s">
        <v>5</v>
      </c>
      <c r="B12" t="s">
        <v>17</v>
      </c>
      <c r="C12">
        <v>3.79</v>
      </c>
      <c r="D12">
        <v>2.71</v>
      </c>
      <c r="E12">
        <v>3.52</v>
      </c>
      <c r="F12" t="str">
        <f t="shared" si="0"/>
        <v>ذكر</v>
      </c>
      <c r="G12" t="str" cm="1">
        <f t="array" ref="G12">_xlfn.LET(
    _xlpm.r, LOWER(TRIM(B12)),
    _xlfn.SWITCH(_xlpm.r,
        "household duties - unpaid",               "أعمال منزلية - غير مدفوعة",
        "student",                                 "طالب",
        "unable to work (disabled, illness, incapable)", "غير قادر على العمل (إعاقة، مرض، عجز)",
        "retired",                                 "متقاعد",
        "65 years and more not working",           "65 سنة فأكثر غير عامل",
        "independent income",                      "دخل مستقل",
        "social circumstances",                    "ظروف اجتماعية",
        "unwilling to work",                       "غير راغب في العمل",
        "didn't find suitable work",               "لم يجد عملاً مناسباً",
        "other",                                   "أخرى",
        "not stated",                              "غير مذكور",
        "" ) )</f>
        <v>غير مذكور</v>
      </c>
    </row>
    <row r="13" spans="1:7" x14ac:dyDescent="0.25">
      <c r="A13" t="s">
        <v>19</v>
      </c>
      <c r="B13" t="s">
        <v>23</v>
      </c>
      <c r="C13">
        <v>63.76</v>
      </c>
      <c r="D13">
        <v>68.27</v>
      </c>
      <c r="E13">
        <v>66.510000000000005</v>
      </c>
      <c r="F13" t="str">
        <f t="shared" si="0"/>
        <v>أنثى</v>
      </c>
      <c r="G13" t="str" cm="1">
        <f t="array" ref="G13">_xlfn.LET(
    _xlpm.r, LOWER(TRIM(B13)),
    _xlfn.SWITCH(_xlpm.r,
        "household duties - unpaid",               "أعمال منزلية - غير مدفوعة",
        "student",                                 "طالب",
        "unable to work (disabled, illness, incapable)", "غير قادر على العمل (إعاقة، مرض، عجز)",
        "retired",                                 "متقاعد",
        "65 years and more not working",           "65 سنة فأكثر غير عامل",
        "independent income",                      "دخل مستقل",
        "social circumstances",                    "ظروف اجتماعية",
        "unwilling to work",                       "غير راغب في العمل",
        "didn't find suitable work",               "لم يجد عملاً مناسباً",
        "other",                                   "أخرى",
        "not stated",                              "غير مذكور",
        "" ) )</f>
        <v>أعمال منزلية - غير مدفوعة</v>
      </c>
    </row>
    <row r="14" spans="1:7" x14ac:dyDescent="0.25">
      <c r="A14" t="s">
        <v>19</v>
      </c>
      <c r="B14" t="s">
        <v>24</v>
      </c>
      <c r="C14">
        <v>20.28</v>
      </c>
      <c r="D14">
        <v>19.46</v>
      </c>
      <c r="E14">
        <v>20.98</v>
      </c>
      <c r="F14" t="str">
        <f t="shared" si="0"/>
        <v>أنثى</v>
      </c>
      <c r="G14" t="str" cm="1">
        <f t="array" ref="G14">_xlfn.LET(
    _xlpm.r, LOWER(TRIM(B14)),
    _xlfn.SWITCH(_xlpm.r,
        "household duties - unpaid",               "أعمال منزلية - غير مدفوعة",
        "student",                                 "طالب",
        "unable to work (disabled, illness, incapable)", "غير قادر على العمل (إعاقة، مرض، عجز)",
        "retired",                                 "متقاعد",
        "65 years and more not working",           "65 سنة فأكثر غير عامل",
        "independent income",                      "دخل مستقل",
        "social circumstances",                    "ظروف اجتماعية",
        "unwilling to work",                       "غير راغب في العمل",
        "didn't find suitable work",               "لم يجد عملاً مناسباً",
        "other",                                   "أخرى",
        "not stated",                              "غير مذكور",
        "" ) )</f>
        <v>طالب</v>
      </c>
    </row>
    <row r="15" spans="1:7" x14ac:dyDescent="0.25">
      <c r="A15" t="s">
        <v>19</v>
      </c>
      <c r="B15" t="s">
        <v>25</v>
      </c>
      <c r="C15">
        <v>1.23</v>
      </c>
      <c r="D15">
        <v>1.42</v>
      </c>
      <c r="E15">
        <v>1.83</v>
      </c>
      <c r="F15" t="str">
        <f t="shared" si="0"/>
        <v>أنثى</v>
      </c>
      <c r="G15" t="str" cm="1">
        <f t="array" ref="G15">_xlfn.LET(
    _xlpm.r, LOWER(TRIM(B15)),
    _xlfn.SWITCH(_xlpm.r,
        "household duties - unpaid",               "أعمال منزلية - غير مدفوعة",
        "student",                                 "طالب",
        "unable to work (disabled, illness, incapable)", "غير قادر على العمل (إعاقة، مرض، عجز)",
        "retired",                                 "متقاعد",
        "65 years and more not working",           "65 سنة فأكثر غير عامل",
        "independent income",                      "دخل مستقل",
        "social circumstances",                    "ظروف اجتماعية",
        "unwilling to work",                       "غير راغب في العمل",
        "didn't find suitable work",               "لم يجد عملاً مناسباً",
        "other",                                   "أخرى",
        "not stated",                              "غير مذكور",
        "" ) )</f>
        <v>غير قادر على العمل (إعاقة، مرض، عجز)</v>
      </c>
    </row>
    <row r="16" spans="1:7" x14ac:dyDescent="0.25">
      <c r="A16" t="s">
        <v>19</v>
      </c>
      <c r="B16" t="s">
        <v>26</v>
      </c>
      <c r="C16">
        <v>1.03</v>
      </c>
      <c r="D16">
        <v>0.69</v>
      </c>
      <c r="E16">
        <v>1.25</v>
      </c>
      <c r="F16" t="str">
        <f t="shared" si="0"/>
        <v>أنثى</v>
      </c>
      <c r="G16" t="str" cm="1">
        <f t="array" ref="G16">_xlfn.LET(
    _xlpm.r, LOWER(TRIM(B16)),
    _xlfn.SWITCH(_xlpm.r,
        "household duties - unpaid",               "أعمال منزلية - غير مدفوعة",
        "student",                                 "طالب",
        "unable to work (disabled, illness, incapable)", "غير قادر على العمل (إعاقة، مرض، عجز)",
        "retired",                                 "متقاعد",
        "65 years and more not working",           "65 سنة فأكثر غير عامل",
        "independent income",                      "دخل مستقل",
        "social circumstances",                    "ظروف اجتماعية",
        "unwilling to work",                       "غير راغب في العمل",
        "didn't find suitable work",               "لم يجد عملاً مناسباً",
        "other",                                   "أخرى",
        "not stated",                              "غير مذكور",
        "" ) )</f>
        <v>متقاعد</v>
      </c>
    </row>
    <row r="17" spans="1:7" x14ac:dyDescent="0.25">
      <c r="A17" t="s">
        <v>19</v>
      </c>
      <c r="B17" t="s">
        <v>27</v>
      </c>
      <c r="C17">
        <v>2.58</v>
      </c>
      <c r="D17">
        <v>4.3899999999999997</v>
      </c>
      <c r="E17">
        <v>3.73</v>
      </c>
      <c r="F17" t="str">
        <f t="shared" si="0"/>
        <v>أنثى</v>
      </c>
      <c r="G17" t="str" cm="1">
        <f t="array" ref="G17">_xlfn.LET(
    _xlpm.r, LOWER(TRIM(B17)),
    _xlfn.SWITCH(_xlpm.r,
        "household duties - unpaid",               "أعمال منزلية - غير مدفوعة",
        "student",                                 "طالب",
        "unable to work (disabled, illness, incapable)", "غير قادر على العمل (إعاقة، مرض، عجز)",
        "retired",                                 "متقاعد",
        "65 years and more not working",           "65 سنة فأكثر غير عامل",
        "independent income",                      "دخل مستقل",
        "social circumstances",                    "ظروف اجتماعية",
        "unwilling to work",                       "غير راغب في العمل",
        "didn't find suitable work",               "لم يجد عملاً مناسباً",
        "other",                                   "أخرى",
        "not stated",                              "غير مذكور",
        "" ) )</f>
        <v>65 سنة فأكثر غير عامل</v>
      </c>
    </row>
    <row r="18" spans="1:7" x14ac:dyDescent="0.25">
      <c r="A18" t="s">
        <v>19</v>
      </c>
      <c r="B18" t="s">
        <v>28</v>
      </c>
      <c r="C18">
        <v>0.36</v>
      </c>
      <c r="D18">
        <v>0.21</v>
      </c>
      <c r="E18">
        <v>0.67</v>
      </c>
      <c r="F18" t="str">
        <f t="shared" si="0"/>
        <v>أنثى</v>
      </c>
      <c r="G18" t="str" cm="1">
        <f t="array" ref="G18">_xlfn.LET(
    _xlpm.r, LOWER(TRIM(B18)),
    _xlfn.SWITCH(_xlpm.r,
        "household duties - unpaid",               "أعمال منزلية - غير مدفوعة",
        "student",                                 "طالب",
        "unable to work (disabled, illness, incapable)", "غير قادر على العمل (إعاقة، مرض، عجز)",
        "retired",                                 "متقاعد",
        "65 years and more not working",           "65 سنة فأكثر غير عامل",
        "independent income",                      "دخل مستقل",
        "social circumstances",                    "ظروف اجتماعية",
        "unwilling to work",                       "غير راغب في العمل",
        "didn't find suitable work",               "لم يجد عملاً مناسباً",
        "other",                                   "أخرى",
        "not stated",                              "غير مذكور",
        "" ) )</f>
        <v>دخل مستقل</v>
      </c>
    </row>
    <row r="19" spans="1:7" x14ac:dyDescent="0.25">
      <c r="A19" t="s">
        <v>19</v>
      </c>
      <c r="B19" t="s">
        <v>29</v>
      </c>
      <c r="C19">
        <v>1.89</v>
      </c>
      <c r="D19">
        <v>1.41</v>
      </c>
      <c r="E19">
        <v>1.07</v>
      </c>
      <c r="F19" t="str">
        <f t="shared" si="0"/>
        <v>أنثى</v>
      </c>
      <c r="G19" t="str" cm="1">
        <f t="array" ref="G19">_xlfn.LET(
    _xlpm.r, LOWER(TRIM(B19)),
    _xlfn.SWITCH(_xlpm.r,
        "household duties - unpaid",               "أعمال منزلية - غير مدفوعة",
        "student",                                 "طالب",
        "unable to work (disabled, illness, incapable)", "غير قادر على العمل (إعاقة، مرض، عجز)",
        "retired",                                 "متقاعد",
        "65 years and more not working",           "65 سنة فأكثر غير عامل",
        "independent income",                      "دخل مستقل",
        "social circumstances",                    "ظروف اجتماعية",
        "unwilling to work",                       "غير راغب في العمل",
        "didn't find suitable work",               "لم يجد عملاً مناسباً",
        "other",                                   "أخرى",
        "not stated",                              "غير مذكور",
        "" ) )</f>
        <v>ظروف اجتماعية</v>
      </c>
    </row>
    <row r="20" spans="1:7" x14ac:dyDescent="0.25">
      <c r="A20" t="s">
        <v>19</v>
      </c>
      <c r="B20" t="s">
        <v>30</v>
      </c>
      <c r="C20">
        <v>2.11</v>
      </c>
      <c r="D20">
        <v>0.97</v>
      </c>
      <c r="E20">
        <v>1.48</v>
      </c>
      <c r="F20" t="str">
        <f t="shared" si="0"/>
        <v>أنثى</v>
      </c>
      <c r="G20" t="str" cm="1">
        <f t="array" ref="G20">_xlfn.LET(
    _xlpm.r, LOWER(TRIM(B20)),
    _xlfn.SWITCH(_xlpm.r,
        "household duties - unpaid",               "أعمال منزلية - غير مدفوعة",
        "student",                                 "طالب",
        "unable to work (disabled, illness, incapable)", "غير قادر على العمل (إعاقة، مرض، عجز)",
        "retired",                                 "متقاعد",
        "65 years and more not working",           "65 سنة فأكثر غير عامل",
        "independent income",                      "دخل مستقل",
        "social circumstances",                    "ظروف اجتماعية",
        "unwilling to work",                       "غير راغب في العمل",
        "didn't find suitable work",               "لم يجد عملاً مناسباً",
        "other",                                   "أخرى",
        "not stated",                              "غير مذكور",
        "" ) )</f>
        <v>غير راغب في العمل</v>
      </c>
    </row>
    <row r="21" spans="1:7" x14ac:dyDescent="0.25">
      <c r="A21" t="s">
        <v>19</v>
      </c>
      <c r="B21" t="s">
        <v>31</v>
      </c>
      <c r="C21">
        <v>2.11</v>
      </c>
      <c r="D21">
        <v>1.5</v>
      </c>
      <c r="E21">
        <v>0.72</v>
      </c>
      <c r="F21" t="str">
        <f t="shared" si="0"/>
        <v>أنثى</v>
      </c>
      <c r="G21" t="str" cm="1">
        <f t="array" ref="G21">_xlfn.LET(
    _xlpm.r, LOWER(TRIM(B21)),
    _xlfn.SWITCH(_xlpm.r,
        "household duties - unpaid",               "أعمال منزلية - غير مدفوعة",
        "student",                                 "طالب",
        "unable to work (disabled, illness, incapable)", "غير قادر على العمل (إعاقة، مرض، عجز)",
        "retired",                                 "متقاعد",
        "65 years and more not working",           "65 سنة فأكثر غير عامل",
        "independent income",                      "دخل مستقل",
        "social circumstances",                    "ظروف اجتماعية",
        "unwilling to work",                       "غير راغب في العمل",
        "didn't find suitable work",               "لم يجد عملاً مناسباً",
        "other",                                   "أخرى",
        "not stated",                              "غير مذكور",
        "" ) )</f>
        <v>لم يجد عملاً مناسباً</v>
      </c>
    </row>
    <row r="22" spans="1:7" x14ac:dyDescent="0.25">
      <c r="A22" t="s">
        <v>19</v>
      </c>
      <c r="B22" t="s">
        <v>32</v>
      </c>
      <c r="C22">
        <v>0.77</v>
      </c>
      <c r="D22">
        <v>0.61</v>
      </c>
      <c r="E22">
        <v>0.83</v>
      </c>
      <c r="F22" t="str">
        <f t="shared" si="0"/>
        <v>أنثى</v>
      </c>
      <c r="G22" t="str" cm="1">
        <f t="array" ref="G22">_xlfn.LET(
    _xlpm.r, LOWER(TRIM(B22)),
    _xlfn.SWITCH(_xlpm.r,
        "household duties - unpaid",               "أعمال منزلية - غير مدفوعة",
        "student",                                 "طالب",
        "unable to work (disabled, illness, incapable)", "غير قادر على العمل (إعاقة، مرض، عجز)",
        "retired",                                 "متقاعد",
        "65 years and more not working",           "65 سنة فأكثر غير عامل",
        "independent income",                      "دخل مستقل",
        "social circumstances",                    "ظروف اجتماعية",
        "unwilling to work",                       "غير راغب في العمل",
        "didn't find suitable work",               "لم يجد عملاً مناسباً",
        "other",                                   "أخرى",
        "not stated",                              "غير مذكور",
        "" ) )</f>
        <v>أخرى</v>
      </c>
    </row>
    <row r="23" spans="1:7" x14ac:dyDescent="0.25">
      <c r="A23" t="s">
        <v>19</v>
      </c>
      <c r="B23" t="s">
        <v>17</v>
      </c>
      <c r="C23">
        <v>3.87</v>
      </c>
      <c r="D23">
        <v>1.06</v>
      </c>
      <c r="E23">
        <v>0.92</v>
      </c>
      <c r="F23" t="str">
        <f t="shared" si="0"/>
        <v>أنثى</v>
      </c>
      <c r="G23" t="str" cm="1">
        <f t="array" ref="G23">_xlfn.LET(
    _xlpm.r, LOWER(TRIM(B23)),
    _xlfn.SWITCH(_xlpm.r,
        "household duties - unpaid",               "أعمال منزلية - غير مدفوعة",
        "student",                                 "طالب",
        "unable to work (disabled, illness, incapable)", "غير قادر على العمل (إعاقة، مرض، عجز)",
        "retired",                                 "متقاعد",
        "65 years and more not working",           "65 سنة فأكثر غير عامل",
        "independent income",                      "دخل مستقل",
        "social circumstances",                    "ظروف اجتماعية",
        "unwilling to work",                       "غير راغب في العمل",
        "didn't find suitable work",               "لم يجد عملاً مناسباً",
        "other",                                   "أخرى",
        "not stated",                              "غير مذكور",
        "" ) )</f>
        <v>غير مذكور</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F3B9B-8804-43EB-B10B-FAD6C77C4DAD}">
  <dimension ref="A1:G27"/>
  <sheetViews>
    <sheetView workbookViewId="0">
      <selection activeCell="I18" sqref="I18"/>
    </sheetView>
  </sheetViews>
  <sheetFormatPr defaultRowHeight="15" x14ac:dyDescent="0.25"/>
  <cols>
    <col min="1" max="1" width="11.140625" bestFit="1" customWidth="1"/>
    <col min="2" max="2" width="27.7109375" bestFit="1" customWidth="1"/>
    <col min="3" max="5" width="7.28515625" bestFit="1" customWidth="1"/>
    <col min="7" max="7" width="21.42578125" customWidth="1"/>
  </cols>
  <sheetData>
    <row r="1" spans="1:7" x14ac:dyDescent="0.25">
      <c r="A1" t="s">
        <v>0</v>
      </c>
      <c r="B1" t="s">
        <v>1</v>
      </c>
      <c r="C1" t="s">
        <v>2</v>
      </c>
      <c r="D1" t="s">
        <v>3</v>
      </c>
      <c r="E1" t="s">
        <v>4</v>
      </c>
      <c r="F1" t="s">
        <v>53</v>
      </c>
      <c r="G1" t="s">
        <v>52</v>
      </c>
    </row>
    <row r="2" spans="1:7" x14ac:dyDescent="0.25">
      <c r="A2" t="s">
        <v>5</v>
      </c>
      <c r="B2" t="s">
        <v>6</v>
      </c>
      <c r="C2">
        <v>90.1</v>
      </c>
      <c r="D2">
        <v>87.2</v>
      </c>
      <c r="E2">
        <v>88.45</v>
      </c>
      <c r="F2" t="str">
        <f t="shared" ref="F2:F27" si="0">IF(TRIM(A2)="Male","ذكر",
   IF(TRIM(A2)="Female","أنثى",""))</f>
        <v>ذكر</v>
      </c>
      <c r="G2" t="str" cm="1">
        <f t="array" ref="G2">_xlfn.LET(
    _xlpm.r, LOWER(TRIM(B2)),
    _xlfn.SWITCH(_xlpm.r,
        "illiterate","أمي",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"total","الإجمالي",
        "" ) )</f>
        <v>أمي</v>
      </c>
    </row>
    <row r="3" spans="1:7" x14ac:dyDescent="0.25">
      <c r="A3" t="s">
        <v>5</v>
      </c>
      <c r="B3" t="s">
        <v>7</v>
      </c>
      <c r="C3">
        <v>97.5</v>
      </c>
      <c r="D3">
        <v>92.1</v>
      </c>
      <c r="E3">
        <v>98.31</v>
      </c>
      <c r="F3" t="str">
        <f t="shared" si="0"/>
        <v>ذكر</v>
      </c>
      <c r="G3" t="str" cm="1">
        <f t="array" ref="G3">_xlfn.LET(
    _xlpm.r, LOWER(TRIM(B3)),
    _xlfn.SWITCH(_xlpm.r,
        "illiterate","أمي",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"total","الإجمالي",
        "" ) )</f>
        <v>يقرأ ويكتب</v>
      </c>
    </row>
    <row r="4" spans="1:7" x14ac:dyDescent="0.25">
      <c r="A4" t="s">
        <v>5</v>
      </c>
      <c r="B4" t="s">
        <v>8</v>
      </c>
      <c r="C4">
        <v>92.8</v>
      </c>
      <c r="D4">
        <v>89.9</v>
      </c>
      <c r="E4">
        <v>96.83</v>
      </c>
      <c r="F4" t="str">
        <f t="shared" si="0"/>
        <v>ذكر</v>
      </c>
      <c r="G4" t="str" cm="1">
        <f t="array" ref="G4">_xlfn.LET(
    _xlpm.r, LOWER(TRIM(B4)),
    _xlfn.SWITCH(_xlpm.r,
        "illiterate","أمي",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"total","الإجمالي",
        "" ) )</f>
        <v>ابتدائي</v>
      </c>
    </row>
    <row r="5" spans="1:7" x14ac:dyDescent="0.25">
      <c r="A5" t="s">
        <v>5</v>
      </c>
      <c r="B5" t="s">
        <v>9</v>
      </c>
      <c r="C5">
        <v>84.7</v>
      </c>
      <c r="D5">
        <v>73.400000000000006</v>
      </c>
      <c r="E5">
        <v>79.739999999999995</v>
      </c>
      <c r="F5" t="str">
        <f t="shared" si="0"/>
        <v>ذكر</v>
      </c>
      <c r="G5" t="str" cm="1">
        <f t="array" ref="G5">_xlfn.LET(
    _xlpm.r, LOWER(TRIM(B5)),
    _xlfn.SWITCH(_xlpm.r,
        "illiterate","أمي",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"total","الإجمالي",
        "" ) )</f>
        <v>إعدادي</v>
      </c>
    </row>
    <row r="6" spans="1:7" x14ac:dyDescent="0.25">
      <c r="A6" t="s">
        <v>5</v>
      </c>
      <c r="B6" t="s">
        <v>10</v>
      </c>
      <c r="C6">
        <v>88.4</v>
      </c>
      <c r="D6">
        <v>77.7</v>
      </c>
      <c r="E6">
        <v>88.73</v>
      </c>
      <c r="F6" t="str">
        <f t="shared" si="0"/>
        <v>ذكر</v>
      </c>
      <c r="G6" t="str" cm="1">
        <f t="array" ref="G6">_xlfn.LET(
    _xlpm.r, LOWER(TRIM(B6)),
    _xlfn.SWITCH(_xlpm.r,
        "illiterate","أمي",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"total","الإجمالي",
        "" ) )</f>
        <v>ثانوي</v>
      </c>
    </row>
    <row r="7" spans="1:7" x14ac:dyDescent="0.25">
      <c r="A7" t="s">
        <v>5</v>
      </c>
      <c r="B7" t="s">
        <v>11</v>
      </c>
      <c r="C7">
        <v>93.9</v>
      </c>
      <c r="D7">
        <v>86.4</v>
      </c>
      <c r="E7">
        <v>95.84</v>
      </c>
      <c r="F7" t="str">
        <f t="shared" si="0"/>
        <v>ذكر</v>
      </c>
      <c r="G7" t="str" cm="1">
        <f t="array" ref="G7">_xlfn.LET(
    _xlpm.r, LOWER(TRIM(B7)),
    _xlfn.SWITCH(_xlpm.r,
        "illiterate","أمي",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"total","الإجمالي",
        "" ) )</f>
        <v>بعد الثانوي غير جامعي</v>
      </c>
    </row>
    <row r="8" spans="1:7" x14ac:dyDescent="0.25">
      <c r="A8" t="s">
        <v>5</v>
      </c>
      <c r="B8" t="s">
        <v>12</v>
      </c>
      <c r="C8">
        <v>95.4</v>
      </c>
      <c r="D8">
        <v>90.8</v>
      </c>
      <c r="E8">
        <v>96.83</v>
      </c>
      <c r="F8" t="str">
        <f t="shared" si="0"/>
        <v>ذكر</v>
      </c>
      <c r="G8" t="str" cm="1">
        <f t="array" ref="G8">_xlfn.LET(
    _xlpm.r, LOWER(TRIM(B8)),
    _xlfn.SWITCH(_xlpm.r,
        "illiterate","أمي",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"total","الإجمالي",
        "" ) )</f>
        <v>تعليم عالٍ قصير المدى</v>
      </c>
    </row>
    <row r="9" spans="1:7" x14ac:dyDescent="0.25">
      <c r="A9" t="s">
        <v>5</v>
      </c>
      <c r="B9" t="s">
        <v>13</v>
      </c>
      <c r="C9">
        <v>96.6</v>
      </c>
      <c r="D9">
        <v>93.8</v>
      </c>
      <c r="E9">
        <v>94.33</v>
      </c>
      <c r="F9" t="str">
        <f t="shared" si="0"/>
        <v>ذكر</v>
      </c>
      <c r="G9" t="str" cm="1">
        <f t="array" ref="G9">_xlfn.LET(
    _xlpm.r, LOWER(TRIM(B9)),
    _xlfn.SWITCH(_xlpm.r,
        "illiterate","أمي",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"total","الإجمالي",
        "" ) )</f>
        <v>بكالوريوس أو ما يعادله</v>
      </c>
    </row>
    <row r="10" spans="1:7" x14ac:dyDescent="0.25">
      <c r="A10" t="s">
        <v>5</v>
      </c>
      <c r="B10" t="s">
        <v>14</v>
      </c>
      <c r="C10">
        <v>98</v>
      </c>
      <c r="D10">
        <v>89.6</v>
      </c>
      <c r="E10">
        <v>98.73</v>
      </c>
      <c r="F10" t="str">
        <f t="shared" si="0"/>
        <v>ذكر</v>
      </c>
      <c r="G10" t="str" cm="1">
        <f t="array" ref="G10">_xlfn.LET(
    _xlpm.r, LOWER(TRIM(B10)),
    _xlfn.SWITCH(_xlpm.r,
        "illiterate","أمي",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"total","الإجمالي",
        "" ) )</f>
        <v>دبلوم عالي</v>
      </c>
    </row>
    <row r="11" spans="1:7" x14ac:dyDescent="0.25">
      <c r="A11" t="s">
        <v>5</v>
      </c>
      <c r="B11" t="s">
        <v>15</v>
      </c>
      <c r="C11">
        <v>99</v>
      </c>
      <c r="D11">
        <v>92.3</v>
      </c>
      <c r="E11">
        <v>95.58</v>
      </c>
      <c r="F11" t="str">
        <f t="shared" si="0"/>
        <v>ذكر</v>
      </c>
      <c r="G11" t="str" cm="1">
        <f t="array" ref="G11">_xlfn.LET(
    _xlpm.r, LOWER(TRIM(B11)),
    _xlfn.SWITCH(_xlpm.r,
        "illiterate","أمي",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"total","الإجمالي",
        "" ) )</f>
        <v>ماجستير أو ما يعادله</v>
      </c>
    </row>
    <row r="12" spans="1:7" x14ac:dyDescent="0.25">
      <c r="A12" t="s">
        <v>5</v>
      </c>
      <c r="B12" t="s">
        <v>16</v>
      </c>
      <c r="C12">
        <v>97.6</v>
      </c>
      <c r="D12">
        <v>91.3</v>
      </c>
      <c r="E12">
        <v>91.67</v>
      </c>
      <c r="F12" t="str">
        <f t="shared" si="0"/>
        <v>ذكر</v>
      </c>
      <c r="G12" t="str" cm="1">
        <f t="array" ref="G12">_xlfn.LET(
    _xlpm.r, LOWER(TRIM(B12)),
    _xlfn.SWITCH(_xlpm.r,
        "illiterate","أمي",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"total","الإجمالي",
        "" ) )</f>
        <v>دكتوراه أو ما يعادلها</v>
      </c>
    </row>
    <row r="13" spans="1:7" x14ac:dyDescent="0.25">
      <c r="A13" t="s">
        <v>5</v>
      </c>
      <c r="B13" t="s">
        <v>17</v>
      </c>
      <c r="C13">
        <v>23.4</v>
      </c>
      <c r="D13">
        <v>96.9</v>
      </c>
      <c r="E13">
        <v>100</v>
      </c>
      <c r="F13" t="str">
        <f t="shared" si="0"/>
        <v>ذكر</v>
      </c>
      <c r="G13" t="str" cm="1">
        <f t="array" ref="G13">_xlfn.LET(
    _xlpm.r, LOWER(TRIM(B13)),
    _xlfn.SWITCH(_xlpm.r,
        "illiterate","أمي",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"total","الإجمالي",
        "" ) )</f>
        <v>غير مذكور</v>
      </c>
    </row>
    <row r="14" spans="1:7" hidden="1" x14ac:dyDescent="0.25">
      <c r="A14" t="s">
        <v>5</v>
      </c>
      <c r="B14" t="s">
        <v>18</v>
      </c>
      <c r="C14">
        <v>92</v>
      </c>
      <c r="D14">
        <v>86.4</v>
      </c>
      <c r="E14">
        <v>90.8</v>
      </c>
      <c r="F14" t="str">
        <f t="shared" si="0"/>
        <v>ذكر</v>
      </c>
      <c r="G14" t="str" cm="1">
        <f t="array" ref="G14">_xlfn.LET(
    _xlpm.r, LOWER(TRIM(B14)),
    _xlfn.SWITCH(_xlpm.r,
        "illiterate","أمي",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"total","الإجمالي",
        "" ) )</f>
        <v>الإجمالي</v>
      </c>
    </row>
    <row r="15" spans="1:7" x14ac:dyDescent="0.25">
      <c r="A15" t="s">
        <v>19</v>
      </c>
      <c r="B15" t="s">
        <v>6</v>
      </c>
      <c r="C15">
        <v>62.9</v>
      </c>
      <c r="D15">
        <v>57.5</v>
      </c>
      <c r="E15">
        <v>54.18</v>
      </c>
      <c r="F15" t="str">
        <f t="shared" si="0"/>
        <v>أنثى</v>
      </c>
      <c r="G15" t="str" cm="1">
        <f t="array" ref="G15">_xlfn.LET(
    _xlpm.r, LOWER(TRIM(B15)),
    _xlfn.SWITCH(_xlpm.r,
        "illiterate","أمي",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"total","الإجمالي",
        "" ) )</f>
        <v>أمي</v>
      </c>
    </row>
    <row r="16" spans="1:7" x14ac:dyDescent="0.25">
      <c r="A16" t="s">
        <v>19</v>
      </c>
      <c r="B16" t="s">
        <v>7</v>
      </c>
      <c r="C16">
        <v>77.400000000000006</v>
      </c>
      <c r="D16">
        <v>89.4</v>
      </c>
      <c r="E16">
        <v>80.069999999999993</v>
      </c>
      <c r="F16" t="str">
        <f t="shared" si="0"/>
        <v>أنثى</v>
      </c>
      <c r="G16" t="str" cm="1">
        <f t="array" ref="G16">_xlfn.LET(
    _xlpm.r, LOWER(TRIM(B16)),
    _xlfn.SWITCH(_xlpm.r,
        "illiterate","أمي",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"total","الإجمالي",
        "" ) )</f>
        <v>يقرأ ويكتب</v>
      </c>
    </row>
    <row r="17" spans="1:7" x14ac:dyDescent="0.25">
      <c r="A17" t="s">
        <v>19</v>
      </c>
      <c r="B17" t="s">
        <v>8</v>
      </c>
      <c r="C17">
        <v>67.3</v>
      </c>
      <c r="D17">
        <v>79.7</v>
      </c>
      <c r="E17">
        <v>69.89</v>
      </c>
      <c r="F17" t="str">
        <f t="shared" si="0"/>
        <v>أنثى</v>
      </c>
      <c r="G17" t="str" cm="1">
        <f t="array" ref="G17">_xlfn.LET(
    _xlpm.r, LOWER(TRIM(B17)),
    _xlfn.SWITCH(_xlpm.r,
        "illiterate","أمي",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"total","الإجمالي",
        "" ) )</f>
        <v>ابتدائي</v>
      </c>
    </row>
    <row r="18" spans="1:7" x14ac:dyDescent="0.25">
      <c r="A18" t="s">
        <v>19</v>
      </c>
      <c r="B18" t="s">
        <v>9</v>
      </c>
      <c r="C18">
        <v>44.2</v>
      </c>
      <c r="D18">
        <v>41.9</v>
      </c>
      <c r="E18">
        <v>32.99</v>
      </c>
      <c r="F18" t="str">
        <f t="shared" si="0"/>
        <v>أنثى</v>
      </c>
      <c r="G18" t="str" cm="1">
        <f t="array" ref="G18">_xlfn.LET(
    _xlpm.r, LOWER(TRIM(B18)),
    _xlfn.SWITCH(_xlpm.r,
        "illiterate","أمي",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"total","الإجمالي",
        "" ) )</f>
        <v>إعدادي</v>
      </c>
    </row>
    <row r="19" spans="1:7" x14ac:dyDescent="0.25">
      <c r="A19" t="s">
        <v>19</v>
      </c>
      <c r="B19" t="s">
        <v>10</v>
      </c>
      <c r="C19">
        <v>45.3</v>
      </c>
      <c r="D19">
        <v>50.9</v>
      </c>
      <c r="E19">
        <v>43.46</v>
      </c>
      <c r="F19" t="str">
        <f t="shared" si="0"/>
        <v>أنثى</v>
      </c>
      <c r="G19" t="str" cm="1">
        <f t="array" ref="G19">_xlfn.LET(
    _xlpm.r, LOWER(TRIM(B19)),
    _xlfn.SWITCH(_xlpm.r,
        "illiterate","أمي",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"total","الإجمالي",
        "" ) )</f>
        <v>ثانوي</v>
      </c>
    </row>
    <row r="20" spans="1:7" x14ac:dyDescent="0.25">
      <c r="A20" t="s">
        <v>19</v>
      </c>
      <c r="B20" t="s">
        <v>11</v>
      </c>
      <c r="C20">
        <v>44.7</v>
      </c>
      <c r="D20">
        <v>58.7</v>
      </c>
      <c r="E20">
        <v>52.41</v>
      </c>
      <c r="F20" t="str">
        <f t="shared" si="0"/>
        <v>أنثى</v>
      </c>
      <c r="G20" t="str" cm="1">
        <f t="array" ref="G20">_xlfn.LET(
    _xlpm.r, LOWER(TRIM(B20)),
    _xlfn.SWITCH(_xlpm.r,
        "illiterate","أمي",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"total","الإجمالي",
        "" ) )</f>
        <v>بعد الثانوي غير جامعي</v>
      </c>
    </row>
    <row r="21" spans="1:7" x14ac:dyDescent="0.25">
      <c r="A21" t="s">
        <v>19</v>
      </c>
      <c r="B21" t="s">
        <v>12</v>
      </c>
      <c r="C21">
        <v>64.8</v>
      </c>
      <c r="D21">
        <v>69.400000000000006</v>
      </c>
      <c r="E21">
        <v>67.66</v>
      </c>
      <c r="F21" t="str">
        <f t="shared" si="0"/>
        <v>أنثى</v>
      </c>
      <c r="G21" t="str" cm="1">
        <f t="array" ref="G21">_xlfn.LET(
    _xlpm.r, LOWER(TRIM(B21)),
    _xlfn.SWITCH(_xlpm.r,
        "illiterate","أمي",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"total","الإجمالي",
        "" ) )</f>
        <v>تعليم عالٍ قصير المدى</v>
      </c>
    </row>
    <row r="22" spans="1:7" x14ac:dyDescent="0.25">
      <c r="A22" t="s">
        <v>19</v>
      </c>
      <c r="B22" t="s">
        <v>13</v>
      </c>
      <c r="C22">
        <v>61.5</v>
      </c>
      <c r="D22">
        <v>72.5</v>
      </c>
      <c r="E22">
        <v>58.34</v>
      </c>
      <c r="F22" t="str">
        <f t="shared" si="0"/>
        <v>أنثى</v>
      </c>
      <c r="G22" t="str" cm="1">
        <f t="array" ref="G22">_xlfn.LET(
    _xlpm.r, LOWER(TRIM(B22)),
    _xlfn.SWITCH(_xlpm.r,
        "illiterate","أمي",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"total","الإجمالي",
        "" ) )</f>
        <v>بكالوريوس أو ما يعادله</v>
      </c>
    </row>
    <row r="23" spans="1:7" x14ac:dyDescent="0.25">
      <c r="A23" t="s">
        <v>19</v>
      </c>
      <c r="B23" t="s">
        <v>14</v>
      </c>
      <c r="C23">
        <v>64.3</v>
      </c>
      <c r="D23">
        <v>63.4</v>
      </c>
      <c r="E23">
        <v>58.62</v>
      </c>
      <c r="F23" t="str">
        <f t="shared" si="0"/>
        <v>أنثى</v>
      </c>
      <c r="G23" t="str" cm="1">
        <f t="array" ref="G23">_xlfn.LET(
    _xlpm.r, LOWER(TRIM(B23)),
    _xlfn.SWITCH(_xlpm.r,
        "illiterate","أمي",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"total","الإجمالي",
        "" ) )</f>
        <v>دبلوم عالي</v>
      </c>
    </row>
    <row r="24" spans="1:7" x14ac:dyDescent="0.25">
      <c r="A24" t="s">
        <v>19</v>
      </c>
      <c r="B24" t="s">
        <v>15</v>
      </c>
      <c r="C24">
        <v>65.099999999999994</v>
      </c>
      <c r="D24">
        <v>77.3</v>
      </c>
      <c r="E24">
        <v>62.14</v>
      </c>
      <c r="F24" t="str">
        <f t="shared" si="0"/>
        <v>أنثى</v>
      </c>
      <c r="G24" t="str" cm="1">
        <f t="array" ref="G24">_xlfn.LET(
    _xlpm.r, LOWER(TRIM(B24)),
    _xlfn.SWITCH(_xlpm.r,
        "illiterate","أمي",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"total","الإجمالي",
        "" ) )</f>
        <v>ماجستير أو ما يعادله</v>
      </c>
    </row>
    <row r="25" spans="1:7" x14ac:dyDescent="0.25">
      <c r="A25" t="s">
        <v>19</v>
      </c>
      <c r="B25" t="s">
        <v>16</v>
      </c>
      <c r="C25">
        <v>62.3</v>
      </c>
      <c r="D25">
        <v>96.4</v>
      </c>
      <c r="E25">
        <v>73.83</v>
      </c>
      <c r="F25" t="str">
        <f t="shared" si="0"/>
        <v>أنثى</v>
      </c>
      <c r="G25" t="str" cm="1">
        <f t="array" ref="G25">_xlfn.LET(
    _xlpm.r, LOWER(TRIM(B25)),
    _xlfn.SWITCH(_xlpm.r,
        "illiterate","أمي",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"total","الإجمالي",
        "" ) )</f>
        <v>دكتوراه أو ما يعادلها</v>
      </c>
    </row>
    <row r="26" spans="1:7" x14ac:dyDescent="0.25">
      <c r="A26" t="s">
        <v>19</v>
      </c>
      <c r="B26" t="s">
        <v>17</v>
      </c>
      <c r="C26">
        <v>9.5</v>
      </c>
      <c r="D26">
        <v>0</v>
      </c>
      <c r="E26">
        <v>0</v>
      </c>
      <c r="F26" t="str">
        <f t="shared" si="0"/>
        <v>أنثى</v>
      </c>
      <c r="G26" t="str" cm="1">
        <f t="array" ref="G26">_xlfn.LET(
    _xlpm.r, LOWER(TRIM(B26)),
    _xlfn.SWITCH(_xlpm.r,
        "illiterate","أمي",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"total","الإجمالي",
        "" ) )</f>
        <v>غير مذكور</v>
      </c>
    </row>
    <row r="27" spans="1:7" hidden="1" x14ac:dyDescent="0.25">
      <c r="A27" t="s">
        <v>19</v>
      </c>
      <c r="B27" t="s">
        <v>18</v>
      </c>
      <c r="C27">
        <v>57.5</v>
      </c>
      <c r="D27">
        <v>65.7</v>
      </c>
      <c r="E27">
        <v>54.48</v>
      </c>
      <c r="F27" t="str">
        <f t="shared" si="0"/>
        <v>أنثى</v>
      </c>
      <c r="G27" t="str" cm="1">
        <f t="array" ref="G27">_xlfn.LET(
    _xlpm.r, LOWER(TRIM(B27)),
    _xlfn.SWITCH(_xlpm.r,
        "illiterate","أمي",
        "reads and writes","يقرأ ويكتب",
        "primary","ابتدائي",
        "preparatory","إعدادي",
        "secondary","ثانوي",
        "post-secondary non-tertiary","بعد الثانوي غير جامعي",
        "short-cycle tertiary education","تعليم عالٍ قصير المدى",
        "bachelor or equivalent","بكالوريوس أو ما يعادله",
        "higher diploma","دبلوم عالي",
        "masters or equivalent","ماجستير أو ما يعادله",
        "doctoral or equivalent","دكتوراه أو ما يعادلها",
        "not stated","غير مذكور",
        "total","الإجمالي",
        "" ) )</f>
        <v>الإجمالي</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969D24-7E5F-4B91-BF8C-ECD1680877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GENDER</vt:lpstr>
      <vt:lpstr>Unemployment Rate For Populatio</vt:lpstr>
      <vt:lpstr>Productive Families By Type Of </vt:lpstr>
      <vt:lpstr>Productive Families</vt:lpstr>
      <vt:lpstr>Percentage Distribution - Outsi</vt:lpstr>
      <vt:lpstr>Labour Force Participation Rate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Mishma Azfar</dc:creator>
  <cp:lastModifiedBy>Mishma Azfar</cp:lastModifiedBy>
  <dcterms:created xsi:type="dcterms:W3CDTF">2025-06-13T11:01:18Z</dcterms:created>
  <dcterms:modified xsi:type="dcterms:W3CDTF">2025-06-13T17:36:46Z</dcterms:modified>
</cp:coreProperties>
</file>