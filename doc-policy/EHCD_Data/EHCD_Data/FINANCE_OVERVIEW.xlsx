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Mishma Azfar\Desktop\WorkFiles\Projects\EHDC\EHDC_DATA\FINANCE\"/>
    </mc:Choice>
  </mc:AlternateContent>
  <xr:revisionPtr revIDLastSave="0" documentId="13_ncr:1_{F25BFB71-AD1D-4B3D-A2BD-F6901270217F}" xr6:coauthVersionLast="47" xr6:coauthVersionMax="47" xr10:uidLastSave="{00000000-0000-0000-0000-000000000000}"/>
  <bookViews>
    <workbookView xWindow="-120" yWindow="-120" windowWidth="29040" windowHeight="16440" firstSheet="1" activeTab="6" xr2:uid="{9ACBD0E9-30F1-4D2C-99E5-7E6AE0DBEF7B}"/>
  </bookViews>
  <sheets>
    <sheet name="TOTAL_REVENUE" sheetId="7" r:id="rId1"/>
    <sheet name="TOTAL_EXPENDITURE" sheetId="6" r:id="rId2"/>
    <sheet name="REVENUE_2023" sheetId="5" r:id="rId3"/>
    <sheet name="REVENUE_2022" sheetId="4" r:id="rId4"/>
    <sheet name="EXPENDITURE_2023" sheetId="3" r:id="rId5"/>
    <sheet name="EXPENDITURE_2022" sheetId="2" r:id="rId6"/>
    <sheet name="FINANCE_OVERVIEW" sheetId="8" r:id="rId7"/>
    <sheet name="Sheet1" sheetId="1" r:id="rId8"/>
  </sheets>
  <definedNames>
    <definedName name="ExternalData_1" localSheetId="5" hidden="1">EXPENDITURE_2022!$A$1:$D$711</definedName>
    <definedName name="ExternalData_2" localSheetId="4" hidden="1">EXPENDITURE_2023!$A$1:$D$857</definedName>
    <definedName name="ExternalData_3" localSheetId="3" hidden="1">'REVENUE_2022'!$A$1:$D$176</definedName>
    <definedName name="ExternalData_4" localSheetId="2" hidden="1">'REVENUE_2023'!$A$1:$D$156</definedName>
    <definedName name="ExternalData_5" localSheetId="1" hidden="1">TOTAL_EXPENDITURE!$A$1:$D$1567</definedName>
    <definedName name="ExternalData_6" localSheetId="0" hidden="1">TOTAL_REVENUE!$A$1:$D$331</definedName>
    <definedName name="ExternalData_7" localSheetId="6" hidden="1">FINANCE_OVERVIEW!$A$1:$F$1897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8" l="1" a="1"/>
  <c r="G2" i="8" s="1"/>
  <c r="G3" i="8" a="1"/>
  <c r="G3" i="8" s="1"/>
  <c r="G4" i="8" a="1"/>
  <c r="G4" i="8" s="1"/>
  <c r="G5" i="8" a="1"/>
  <c r="G5" i="8" s="1"/>
  <c r="G6" i="8" a="1"/>
  <c r="G6" i="8" s="1"/>
  <c r="G7" i="8" a="1"/>
  <c r="G7" i="8" s="1"/>
  <c r="G8" i="8" a="1"/>
  <c r="G8" i="8"/>
  <c r="G9" i="8" a="1"/>
  <c r="G9" i="8" s="1"/>
  <c r="G10" i="8" a="1"/>
  <c r="G10" i="8" s="1"/>
  <c r="G11" i="8" a="1"/>
  <c r="G11" i="8" s="1"/>
  <c r="G12" i="8" a="1"/>
  <c r="G12" i="8" s="1"/>
  <c r="G13" i="8" a="1"/>
  <c r="G13" i="8" s="1"/>
  <c r="G14" i="8" a="1"/>
  <c r="G14" i="8" s="1"/>
  <c r="G15" i="8" a="1"/>
  <c r="G15" i="8" s="1"/>
  <c r="G16" i="8" a="1"/>
  <c r="G16" i="8" s="1"/>
  <c r="G17" i="8" a="1"/>
  <c r="G17" i="8" s="1"/>
  <c r="G18" i="8" a="1"/>
  <c r="G18" i="8" s="1"/>
  <c r="G19" i="8" a="1"/>
  <c r="G19" i="8" s="1"/>
  <c r="G20" i="8" a="1"/>
  <c r="G20" i="8" s="1"/>
  <c r="G21" i="8" a="1"/>
  <c r="G21" i="8" s="1"/>
  <c r="G22" i="8" a="1"/>
  <c r="G22" i="8" s="1"/>
  <c r="G23" i="8" a="1"/>
  <c r="G23" i="8" s="1"/>
  <c r="G24" i="8" a="1"/>
  <c r="G24" i="8" s="1"/>
  <c r="G25" i="8" a="1"/>
  <c r="G25" i="8" s="1"/>
  <c r="G26" i="8" a="1"/>
  <c r="G26" i="8" s="1"/>
  <c r="G27" i="8" a="1"/>
  <c r="G27" i="8" s="1"/>
  <c r="G28" i="8" a="1"/>
  <c r="G28" i="8" s="1"/>
  <c r="G29" i="8" a="1"/>
  <c r="G29" i="8" s="1"/>
  <c r="G30" i="8" a="1"/>
  <c r="G30" i="8" s="1"/>
  <c r="G31" i="8" a="1"/>
  <c r="G31" i="8" s="1"/>
  <c r="G32" i="8" a="1"/>
  <c r="G32" i="8" s="1"/>
  <c r="G33" i="8" a="1"/>
  <c r="G33" i="8" s="1"/>
  <c r="G34" i="8" a="1"/>
  <c r="G34" i="8" s="1"/>
  <c r="G35" i="8" a="1"/>
  <c r="G35" i="8"/>
  <c r="G36" i="8" a="1"/>
  <c r="G36" i="8" s="1"/>
  <c r="G37" i="8" a="1"/>
  <c r="G37" i="8" s="1"/>
  <c r="G38" i="8" a="1"/>
  <c r="G38" i="8" s="1"/>
  <c r="G39" i="8" a="1"/>
  <c r="G39" i="8" s="1"/>
  <c r="G40" i="8" a="1"/>
  <c r="G40" i="8" s="1"/>
  <c r="G41" i="8" a="1"/>
  <c r="G41" i="8" s="1"/>
  <c r="G42" i="8" a="1"/>
  <c r="G42" i="8" s="1"/>
  <c r="G43" i="8" a="1"/>
  <c r="G43" i="8" s="1"/>
  <c r="G44" i="8" a="1"/>
  <c r="G44" i="8" s="1"/>
  <c r="G45" i="8" a="1"/>
  <c r="G45" i="8" s="1"/>
  <c r="G46" i="8" a="1"/>
  <c r="G46" i="8" s="1"/>
  <c r="G47" i="8" a="1"/>
  <c r="G47" i="8" s="1"/>
  <c r="G48" i="8" a="1"/>
  <c r="G48" i="8" s="1"/>
  <c r="G49" i="8" a="1"/>
  <c r="G49" i="8" s="1"/>
  <c r="G50" i="8" a="1"/>
  <c r="G50" i="8" s="1"/>
  <c r="G51" i="8" a="1"/>
  <c r="G51" i="8" s="1"/>
  <c r="G52" i="8" a="1"/>
  <c r="G52" i="8" s="1"/>
  <c r="G53" i="8" a="1"/>
  <c r="G53" i="8" s="1"/>
  <c r="G54" i="8" a="1"/>
  <c r="G54" i="8" s="1"/>
  <c r="G55" i="8" a="1"/>
  <c r="G55" i="8" s="1"/>
  <c r="G56" i="8" a="1"/>
  <c r="G56" i="8" s="1"/>
  <c r="G57" i="8" a="1"/>
  <c r="G57" i="8" s="1"/>
  <c r="G58" i="8" a="1"/>
  <c r="G58" i="8" s="1"/>
  <c r="G59" i="8" a="1"/>
  <c r="G59" i="8" s="1"/>
  <c r="G60" i="8" a="1"/>
  <c r="G60" i="8" s="1"/>
  <c r="G61" i="8" a="1"/>
  <c r="G61" i="8" s="1"/>
  <c r="G62" i="8" a="1"/>
  <c r="G62" i="8"/>
  <c r="G63" i="8" a="1"/>
  <c r="G63" i="8" s="1"/>
  <c r="G64" i="8" a="1"/>
  <c r="G64" i="8" s="1"/>
  <c r="G65" i="8" a="1"/>
  <c r="G65" i="8" s="1"/>
  <c r="G66" i="8" a="1"/>
  <c r="G66" i="8" s="1"/>
  <c r="G67" i="8" a="1"/>
  <c r="G67" i="8" s="1"/>
  <c r="G68" i="8" a="1"/>
  <c r="G68" i="8" s="1"/>
  <c r="G69" i="8" a="1"/>
  <c r="G69" i="8" s="1"/>
  <c r="G70" i="8" a="1"/>
  <c r="G70" i="8" s="1"/>
  <c r="G71" i="8" a="1"/>
  <c r="G71" i="8" s="1"/>
  <c r="G72" i="8" a="1"/>
  <c r="G72" i="8" s="1"/>
  <c r="G73" i="8" a="1"/>
  <c r="G73" i="8" s="1"/>
  <c r="G74" i="8" a="1"/>
  <c r="G74" i="8" s="1"/>
  <c r="G75" i="8" a="1"/>
  <c r="G75" i="8" s="1"/>
  <c r="G76" i="8" a="1"/>
  <c r="G76" i="8" s="1"/>
  <c r="G77" i="8" a="1"/>
  <c r="G77" i="8" s="1"/>
  <c r="G78" i="8" a="1"/>
  <c r="G78" i="8" s="1"/>
  <c r="G79" i="8" a="1"/>
  <c r="G79" i="8" s="1"/>
  <c r="G80" i="8" a="1"/>
  <c r="G80" i="8" s="1"/>
  <c r="G81" i="8" a="1"/>
  <c r="G81" i="8" s="1"/>
  <c r="G82" i="8" a="1"/>
  <c r="G82" i="8" s="1"/>
  <c r="G83" i="8" a="1"/>
  <c r="G83" i="8" s="1"/>
  <c r="G84" i="8" a="1"/>
  <c r="G84" i="8" s="1"/>
  <c r="G85" i="8" a="1"/>
  <c r="G85" i="8" s="1"/>
  <c r="G86" i="8" a="1"/>
  <c r="G86" i="8" s="1"/>
  <c r="G87" i="8" a="1"/>
  <c r="G87" i="8" s="1"/>
  <c r="G88" i="8" a="1"/>
  <c r="G88" i="8" s="1"/>
  <c r="G89" i="8" a="1"/>
  <c r="G89" i="8"/>
  <c r="G90" i="8" a="1"/>
  <c r="G90" i="8" s="1"/>
  <c r="G91" i="8" a="1"/>
  <c r="G91" i="8" s="1"/>
  <c r="G92" i="8" a="1"/>
  <c r="G92" i="8" s="1"/>
  <c r="G93" i="8" a="1"/>
  <c r="G93" i="8" s="1"/>
  <c r="G94" i="8" a="1"/>
  <c r="G94" i="8" s="1"/>
  <c r="G95" i="8" a="1"/>
  <c r="G95" i="8" s="1"/>
  <c r="G96" i="8" a="1"/>
  <c r="G96" i="8" s="1"/>
  <c r="G97" i="8" a="1"/>
  <c r="G97" i="8" s="1"/>
  <c r="G98" i="8" a="1"/>
  <c r="G98" i="8" s="1"/>
  <c r="G99" i="8" a="1"/>
  <c r="G99" i="8" s="1"/>
  <c r="G100" i="8" a="1"/>
  <c r="G100" i="8" s="1"/>
  <c r="G101" i="8" a="1"/>
  <c r="G101" i="8" s="1"/>
  <c r="G102" i="8" a="1"/>
  <c r="G102" i="8" s="1"/>
  <c r="G103" i="8" a="1"/>
  <c r="G103" i="8" s="1"/>
  <c r="G104" i="8" a="1"/>
  <c r="G104" i="8" s="1"/>
  <c r="G105" i="8" a="1"/>
  <c r="G105" i="8" s="1"/>
  <c r="G106" i="8" a="1"/>
  <c r="G106" i="8" s="1"/>
  <c r="G107" i="8" a="1"/>
  <c r="G107" i="8" s="1"/>
  <c r="G108" i="8" a="1"/>
  <c r="G108" i="8" s="1"/>
  <c r="G109" i="8" a="1"/>
  <c r="G109" i="8" s="1"/>
  <c r="G110" i="8" a="1"/>
  <c r="G110" i="8" s="1"/>
  <c r="G111" i="8" a="1"/>
  <c r="G111" i="8" s="1"/>
  <c r="G112" i="8" a="1"/>
  <c r="G112" i="8" s="1"/>
  <c r="G113" i="8" a="1"/>
  <c r="G113" i="8" s="1"/>
  <c r="G114" i="8" a="1"/>
  <c r="G114" i="8" s="1"/>
  <c r="G115" i="8" a="1"/>
  <c r="G115" i="8" s="1"/>
  <c r="G116" i="8" a="1"/>
  <c r="G116" i="8"/>
  <c r="G117" i="8" a="1"/>
  <c r="G117" i="8" s="1"/>
  <c r="G118" i="8" a="1"/>
  <c r="G118" i="8" s="1"/>
  <c r="G119" i="8" a="1"/>
  <c r="G119" i="8" s="1"/>
  <c r="G120" i="8" a="1"/>
  <c r="G120" i="8" s="1"/>
  <c r="G121" i="8" a="1"/>
  <c r="G121" i="8" s="1"/>
  <c r="G122" i="8" a="1"/>
  <c r="G122" i="8" s="1"/>
  <c r="G123" i="8" a="1"/>
  <c r="G123" i="8" s="1"/>
  <c r="G124" i="8" a="1"/>
  <c r="G124" i="8" s="1"/>
  <c r="G125" i="8" a="1"/>
  <c r="G125" i="8" s="1"/>
  <c r="G126" i="8" a="1"/>
  <c r="G126" i="8" s="1"/>
  <c r="G127" i="8" a="1"/>
  <c r="G127" i="8" s="1"/>
  <c r="G128" i="8" a="1"/>
  <c r="G128" i="8" s="1"/>
  <c r="G129" i="8" a="1"/>
  <c r="G129" i="8" s="1"/>
  <c r="G130" i="8" a="1"/>
  <c r="G130" i="8" s="1"/>
  <c r="G131" i="8" a="1"/>
  <c r="G131" i="8" s="1"/>
  <c r="G132" i="8" a="1"/>
  <c r="G132" i="8" s="1"/>
  <c r="G133" i="8" a="1"/>
  <c r="G133" i="8" s="1"/>
  <c r="G134" i="8" a="1"/>
  <c r="G134" i="8" s="1"/>
  <c r="G135" i="8" a="1"/>
  <c r="G135" i="8" s="1"/>
  <c r="G136" i="8" a="1"/>
  <c r="G136" i="8" s="1"/>
  <c r="G137" i="8" a="1"/>
  <c r="G137" i="8" s="1"/>
  <c r="G138" i="8" a="1"/>
  <c r="G138" i="8" s="1"/>
  <c r="G139" i="8" a="1"/>
  <c r="G139" i="8" s="1"/>
  <c r="G140" i="8" a="1"/>
  <c r="G140" i="8" s="1"/>
  <c r="G141" i="8" a="1"/>
  <c r="G141" i="8" s="1"/>
  <c r="G142" i="8" a="1"/>
  <c r="G142" i="8" s="1"/>
  <c r="G143" i="8" a="1"/>
  <c r="G143" i="8"/>
  <c r="G144" i="8" a="1"/>
  <c r="G144" i="8" s="1"/>
  <c r="G145" i="8" a="1"/>
  <c r="G145" i="8" s="1"/>
  <c r="G146" i="8" a="1"/>
  <c r="G146" i="8" s="1"/>
  <c r="G147" i="8" a="1"/>
  <c r="G147" i="8" s="1"/>
  <c r="G148" i="8" a="1"/>
  <c r="G148" i="8" s="1"/>
  <c r="G149" i="8" a="1"/>
  <c r="G149" i="8" s="1"/>
  <c r="G150" i="8" a="1"/>
  <c r="G150" i="8" s="1"/>
  <c r="G151" i="8" a="1"/>
  <c r="G151" i="8" s="1"/>
  <c r="G152" i="8" a="1"/>
  <c r="G152" i="8" s="1"/>
  <c r="G153" i="8" a="1"/>
  <c r="G153" i="8" s="1"/>
  <c r="G154" i="8" a="1"/>
  <c r="G154" i="8" s="1"/>
  <c r="G155" i="8" a="1"/>
  <c r="G155" i="8" s="1"/>
  <c r="G156" i="8" a="1"/>
  <c r="G156" i="8" s="1"/>
  <c r="G157" i="8" a="1"/>
  <c r="G157" i="8" s="1"/>
  <c r="G158" i="8" a="1"/>
  <c r="G158" i="8" s="1"/>
  <c r="G159" i="8" a="1"/>
  <c r="G159" i="8" s="1"/>
  <c r="G160" i="8" a="1"/>
  <c r="G160" i="8" s="1"/>
  <c r="G161" i="8" a="1"/>
  <c r="G161" i="8" s="1"/>
  <c r="G162" i="8" a="1"/>
  <c r="G162" i="8" s="1"/>
  <c r="G163" i="8" a="1"/>
  <c r="G163" i="8" s="1"/>
  <c r="G164" i="8" a="1"/>
  <c r="G164" i="8" s="1"/>
  <c r="G165" i="8" a="1"/>
  <c r="G165" i="8" s="1"/>
  <c r="G166" i="8" a="1"/>
  <c r="G166" i="8" s="1"/>
  <c r="G167" i="8" a="1"/>
  <c r="G167" i="8" s="1"/>
  <c r="G168" i="8" a="1"/>
  <c r="G168" i="8" s="1"/>
  <c r="G169" i="8" a="1"/>
  <c r="G169" i="8" s="1"/>
  <c r="G170" i="8" a="1"/>
  <c r="G170" i="8" s="1"/>
  <c r="G171" i="8" a="1"/>
  <c r="G171" i="8" s="1"/>
  <c r="G172" i="8" a="1"/>
  <c r="G172" i="8" s="1"/>
  <c r="G173" i="8" a="1"/>
  <c r="G173" i="8" s="1"/>
  <c r="G174" i="8" a="1"/>
  <c r="G174" i="8" s="1"/>
  <c r="G175" i="8" a="1"/>
  <c r="G175" i="8" s="1"/>
  <c r="G176" i="8" a="1"/>
  <c r="G176" i="8" s="1"/>
  <c r="G177" i="8" a="1"/>
  <c r="G177" i="8" s="1"/>
  <c r="G178" i="8" a="1"/>
  <c r="G178" i="8" s="1"/>
  <c r="G179" i="8" a="1"/>
  <c r="G179" i="8" s="1"/>
  <c r="G180" i="8" a="1"/>
  <c r="G180" i="8" s="1"/>
  <c r="G181" i="8" a="1"/>
  <c r="G181" i="8" s="1"/>
  <c r="G182" i="8" a="1"/>
  <c r="G182" i="8" s="1"/>
  <c r="G183" i="8" a="1"/>
  <c r="G183" i="8" s="1"/>
  <c r="G184" i="8" a="1"/>
  <c r="G184" i="8" s="1"/>
  <c r="G185" i="8" a="1"/>
  <c r="G185" i="8" s="1"/>
  <c r="G186" i="8" a="1"/>
  <c r="G186" i="8" s="1"/>
  <c r="G187" i="8" a="1"/>
  <c r="G187" i="8" s="1"/>
  <c r="G188" i="8" a="1"/>
  <c r="G188" i="8" s="1"/>
  <c r="G189" i="8" a="1"/>
  <c r="G189" i="8" s="1"/>
  <c r="G190" i="8" a="1"/>
  <c r="G190" i="8" s="1"/>
  <c r="G191" i="8" a="1"/>
  <c r="G191" i="8" s="1"/>
  <c r="G192" i="8" a="1"/>
  <c r="G192" i="8" s="1"/>
  <c r="G193" i="8" a="1"/>
  <c r="G193" i="8" s="1"/>
  <c r="G194" i="8" a="1"/>
  <c r="G194" i="8" s="1"/>
  <c r="G195" i="8" a="1"/>
  <c r="G195" i="8" s="1"/>
  <c r="G196" i="8" a="1"/>
  <c r="G196" i="8" s="1"/>
  <c r="G197" i="8" a="1"/>
  <c r="G197" i="8" s="1"/>
  <c r="G198" i="8" a="1"/>
  <c r="G198" i="8" s="1"/>
  <c r="G199" i="8" a="1"/>
  <c r="G199" i="8" s="1"/>
  <c r="G200" i="8" a="1"/>
  <c r="G200" i="8" s="1"/>
  <c r="G201" i="8" a="1"/>
  <c r="G201" i="8" s="1"/>
  <c r="G202" i="8" a="1"/>
  <c r="G202" i="8" s="1"/>
  <c r="G203" i="8" a="1"/>
  <c r="G203" i="8" s="1"/>
  <c r="G204" i="8" a="1"/>
  <c r="G204" i="8" s="1"/>
  <c r="G205" i="8" a="1"/>
  <c r="G205" i="8" s="1"/>
  <c r="G206" i="8" a="1"/>
  <c r="G206" i="8" s="1"/>
  <c r="G207" i="8" a="1"/>
  <c r="G207" i="8" s="1"/>
  <c r="G208" i="8" a="1"/>
  <c r="G208" i="8" s="1"/>
  <c r="G209" i="8" a="1"/>
  <c r="G209" i="8" s="1"/>
  <c r="G210" i="8" a="1"/>
  <c r="G210" i="8" s="1"/>
  <c r="G211" i="8" a="1"/>
  <c r="G211" i="8" s="1"/>
  <c r="G212" i="8" a="1"/>
  <c r="G212" i="8" s="1"/>
  <c r="G213" i="8" a="1"/>
  <c r="G213" i="8" s="1"/>
  <c r="G214" i="8" a="1"/>
  <c r="G214" i="8" s="1"/>
  <c r="G215" i="8" a="1"/>
  <c r="G215" i="8" s="1"/>
  <c r="G216" i="8" a="1"/>
  <c r="G216" i="8" s="1"/>
  <c r="G217" i="8" a="1"/>
  <c r="G217" i="8" s="1"/>
  <c r="G218" i="8" a="1"/>
  <c r="G218" i="8" s="1"/>
  <c r="G219" i="8" a="1"/>
  <c r="G219" i="8" s="1"/>
  <c r="G220" i="8" a="1"/>
  <c r="G220" i="8" s="1"/>
  <c r="G221" i="8" a="1"/>
  <c r="G221" i="8" s="1"/>
  <c r="G222" i="8" a="1"/>
  <c r="G222" i="8" s="1"/>
  <c r="G223" i="8" a="1"/>
  <c r="G223" i="8" s="1"/>
  <c r="G224" i="8" a="1"/>
  <c r="G224" i="8" s="1"/>
  <c r="G225" i="8" a="1"/>
  <c r="G225" i="8" s="1"/>
  <c r="G226" i="8" a="1"/>
  <c r="G226" i="8" s="1"/>
  <c r="G227" i="8" a="1"/>
  <c r="G227" i="8" s="1"/>
  <c r="G228" i="8" a="1"/>
  <c r="G228" i="8" s="1"/>
  <c r="G229" i="8" a="1"/>
  <c r="G229" i="8" s="1"/>
  <c r="G230" i="8" a="1"/>
  <c r="G230" i="8" s="1"/>
  <c r="G231" i="8" a="1"/>
  <c r="G231" i="8" s="1"/>
  <c r="G232" i="8" a="1"/>
  <c r="G232" i="8" s="1"/>
  <c r="G233" i="8" a="1"/>
  <c r="G233" i="8" s="1"/>
  <c r="G234" i="8" a="1"/>
  <c r="G234" i="8" s="1"/>
  <c r="G235" i="8" a="1"/>
  <c r="G235" i="8" s="1"/>
  <c r="G236" i="8" a="1"/>
  <c r="G236" i="8" s="1"/>
  <c r="G237" i="8" a="1"/>
  <c r="G237" i="8" s="1"/>
  <c r="G238" i="8" a="1"/>
  <c r="G238" i="8" s="1"/>
  <c r="G239" i="8" a="1"/>
  <c r="G239" i="8" s="1"/>
  <c r="G240" i="8" a="1"/>
  <c r="G240" i="8" s="1"/>
  <c r="G241" i="8" a="1"/>
  <c r="G241" i="8" s="1"/>
  <c r="G242" i="8" a="1"/>
  <c r="G242" i="8" s="1"/>
  <c r="G243" i="8" a="1"/>
  <c r="G243" i="8" s="1"/>
  <c r="G244" i="8" a="1"/>
  <c r="G244" i="8" s="1"/>
  <c r="G245" i="8" a="1"/>
  <c r="G245" i="8" s="1"/>
  <c r="G246" i="8" a="1"/>
  <c r="G246" i="8" s="1"/>
  <c r="G247" i="8" a="1"/>
  <c r="G247" i="8" s="1"/>
  <c r="G248" i="8" a="1"/>
  <c r="G248" i="8" s="1"/>
  <c r="G249" i="8" a="1"/>
  <c r="G249" i="8" s="1"/>
  <c r="G250" i="8" a="1"/>
  <c r="G250" i="8" s="1"/>
  <c r="G251" i="8" a="1"/>
  <c r="G251" i="8" s="1"/>
  <c r="G252" i="8" a="1"/>
  <c r="G252" i="8" s="1"/>
  <c r="G253" i="8" a="1"/>
  <c r="G253" i="8" s="1"/>
  <c r="G254" i="8" a="1"/>
  <c r="G254" i="8" s="1"/>
  <c r="G255" i="8" a="1"/>
  <c r="G255" i="8" s="1"/>
  <c r="G256" i="8" a="1"/>
  <c r="G256" i="8" s="1"/>
  <c r="G257" i="8" a="1"/>
  <c r="G257" i="8" s="1"/>
  <c r="G258" i="8" a="1"/>
  <c r="G258" i="8" s="1"/>
  <c r="G259" i="8" a="1"/>
  <c r="G259" i="8" s="1"/>
  <c r="G260" i="8" a="1"/>
  <c r="G260" i="8" s="1"/>
  <c r="G261" i="8" a="1"/>
  <c r="G261" i="8" s="1"/>
  <c r="G262" i="8" a="1"/>
  <c r="G262" i="8" s="1"/>
  <c r="G263" i="8" a="1"/>
  <c r="G263" i="8" s="1"/>
  <c r="G264" i="8" a="1"/>
  <c r="G264" i="8" s="1"/>
  <c r="G265" i="8" a="1"/>
  <c r="G265" i="8" s="1"/>
  <c r="G266" i="8" a="1"/>
  <c r="G266" i="8" s="1"/>
  <c r="G267" i="8" a="1"/>
  <c r="G267" i="8" s="1"/>
  <c r="G268" i="8" a="1"/>
  <c r="G268" i="8" s="1"/>
  <c r="G269" i="8" a="1"/>
  <c r="G269" i="8" s="1"/>
  <c r="G270" i="8" a="1"/>
  <c r="G270" i="8" s="1"/>
  <c r="G271" i="8" a="1"/>
  <c r="G271" i="8" s="1"/>
  <c r="G272" i="8" a="1"/>
  <c r="G272" i="8" s="1"/>
  <c r="G273" i="8" a="1"/>
  <c r="G273" i="8" s="1"/>
  <c r="G274" i="8" a="1"/>
  <c r="G274" i="8" s="1"/>
  <c r="G275" i="8" a="1"/>
  <c r="G275" i="8" s="1"/>
  <c r="G276" i="8" a="1"/>
  <c r="G276" i="8" s="1"/>
  <c r="G277" i="8" a="1"/>
  <c r="G277" i="8" s="1"/>
  <c r="G278" i="8" a="1"/>
  <c r="G278" i="8" s="1"/>
  <c r="G279" i="8" a="1"/>
  <c r="G279" i="8" s="1"/>
  <c r="G280" i="8" a="1"/>
  <c r="G280" i="8" s="1"/>
  <c r="G281" i="8" a="1"/>
  <c r="G281" i="8" s="1"/>
  <c r="G282" i="8" a="1"/>
  <c r="G282" i="8" s="1"/>
  <c r="G283" i="8" a="1"/>
  <c r="G283" i="8" s="1"/>
  <c r="G284" i="8" a="1"/>
  <c r="G284" i="8" s="1"/>
  <c r="G285" i="8" a="1"/>
  <c r="G285" i="8" s="1"/>
  <c r="G286" i="8" a="1"/>
  <c r="G286" i="8" s="1"/>
  <c r="G287" i="8" a="1"/>
  <c r="G287" i="8" s="1"/>
  <c r="G288" i="8" a="1"/>
  <c r="G288" i="8" s="1"/>
  <c r="G289" i="8" a="1"/>
  <c r="G289" i="8" s="1"/>
  <c r="G290" i="8" a="1"/>
  <c r="G290" i="8" s="1"/>
  <c r="G291" i="8" a="1"/>
  <c r="G291" i="8" s="1"/>
  <c r="G292" i="8" a="1"/>
  <c r="G292" i="8" s="1"/>
  <c r="G293" i="8" a="1"/>
  <c r="G293" i="8" s="1"/>
  <c r="G294" i="8" a="1"/>
  <c r="G294" i="8" s="1"/>
  <c r="G295" i="8" a="1"/>
  <c r="G295" i="8" s="1"/>
  <c r="G296" i="8" a="1"/>
  <c r="G296" i="8" s="1"/>
  <c r="G297" i="8" a="1"/>
  <c r="G297" i="8" s="1"/>
  <c r="G298" i="8" a="1"/>
  <c r="G298" i="8" s="1"/>
  <c r="G299" i="8" a="1"/>
  <c r="G299" i="8" s="1"/>
  <c r="G300" i="8" a="1"/>
  <c r="G300" i="8" s="1"/>
  <c r="G301" i="8" a="1"/>
  <c r="G301" i="8" s="1"/>
  <c r="G302" i="8" a="1"/>
  <c r="G302" i="8" s="1"/>
  <c r="G303" i="8" a="1"/>
  <c r="G303" i="8" s="1"/>
  <c r="G304" i="8" a="1"/>
  <c r="G304" i="8" s="1"/>
  <c r="G305" i="8" a="1"/>
  <c r="G305" i="8" s="1"/>
  <c r="G306" i="8" a="1"/>
  <c r="G306" i="8" s="1"/>
  <c r="G307" i="8" a="1"/>
  <c r="G307" i="8" s="1"/>
  <c r="G308" i="8" a="1"/>
  <c r="G308" i="8" s="1"/>
  <c r="G309" i="8" a="1"/>
  <c r="G309" i="8" s="1"/>
  <c r="G310" i="8" a="1"/>
  <c r="G310" i="8" s="1"/>
  <c r="G311" i="8" a="1"/>
  <c r="G311" i="8" s="1"/>
  <c r="G312" i="8" a="1"/>
  <c r="G312" i="8" s="1"/>
  <c r="G313" i="8" a="1"/>
  <c r="G313" i="8" s="1"/>
  <c r="G314" i="8" a="1"/>
  <c r="G314" i="8" s="1"/>
  <c r="G315" i="8" a="1"/>
  <c r="G315" i="8" s="1"/>
  <c r="G316" i="8" a="1"/>
  <c r="G316" i="8" s="1"/>
  <c r="G317" i="8" a="1"/>
  <c r="G317" i="8" s="1"/>
  <c r="G318" i="8" a="1"/>
  <c r="G318" i="8" s="1"/>
  <c r="G319" i="8" a="1"/>
  <c r="G319" i="8" s="1"/>
  <c r="G320" i="8" a="1"/>
  <c r="G320" i="8" s="1"/>
  <c r="G321" i="8" a="1"/>
  <c r="G321" i="8" s="1"/>
  <c r="G322" i="8" a="1"/>
  <c r="G322" i="8" s="1"/>
  <c r="G323" i="8" a="1"/>
  <c r="G323" i="8" s="1"/>
  <c r="G324" i="8" a="1"/>
  <c r="G324" i="8" s="1"/>
  <c r="G325" i="8" a="1"/>
  <c r="G325" i="8" s="1"/>
  <c r="G326" i="8" a="1"/>
  <c r="G326" i="8" s="1"/>
  <c r="G327" i="8" a="1"/>
  <c r="G327" i="8" s="1"/>
  <c r="G328" i="8" a="1"/>
  <c r="G328" i="8" s="1"/>
  <c r="G329" i="8" a="1"/>
  <c r="G329" i="8" s="1"/>
  <c r="G330" i="8" a="1"/>
  <c r="G330" i="8" s="1"/>
  <c r="G331" i="8" a="1"/>
  <c r="G331" i="8" s="1"/>
  <c r="G332" i="8" a="1"/>
  <c r="G332" i="8" s="1"/>
  <c r="G333" i="8" a="1"/>
  <c r="G333" i="8" s="1"/>
  <c r="G334" i="8" a="1"/>
  <c r="G334" i="8" s="1"/>
  <c r="G335" i="8" a="1"/>
  <c r="G335" i="8" s="1"/>
  <c r="G336" i="8" a="1"/>
  <c r="G336" i="8" s="1"/>
  <c r="G337" i="8" a="1"/>
  <c r="G337" i="8" s="1"/>
  <c r="G338" i="8" a="1"/>
  <c r="G338" i="8" s="1"/>
  <c r="G339" i="8" a="1"/>
  <c r="G339" i="8" s="1"/>
  <c r="G340" i="8" a="1"/>
  <c r="G340" i="8" s="1"/>
  <c r="G341" i="8" a="1"/>
  <c r="G341" i="8" s="1"/>
  <c r="G342" i="8" a="1"/>
  <c r="G342" i="8" s="1"/>
  <c r="G343" i="8" a="1"/>
  <c r="G343" i="8" s="1"/>
  <c r="G344" i="8" a="1"/>
  <c r="G344" i="8" s="1"/>
  <c r="G345" i="8" a="1"/>
  <c r="G345" i="8" s="1"/>
  <c r="G346" i="8" a="1"/>
  <c r="G346" i="8" s="1"/>
  <c r="G347" i="8" a="1"/>
  <c r="G347" i="8" s="1"/>
  <c r="G348" i="8" a="1"/>
  <c r="G348" i="8" s="1"/>
  <c r="G349" i="8" a="1"/>
  <c r="G349" i="8" s="1"/>
  <c r="G350" i="8" a="1"/>
  <c r="G350" i="8" s="1"/>
  <c r="G351" i="8" a="1"/>
  <c r="G351" i="8" s="1"/>
  <c r="G352" i="8" a="1"/>
  <c r="G352" i="8" s="1"/>
  <c r="G353" i="8" a="1"/>
  <c r="G353" i="8" s="1"/>
  <c r="G354" i="8" a="1"/>
  <c r="G354" i="8" s="1"/>
  <c r="G355" i="8" a="1"/>
  <c r="G355" i="8" s="1"/>
  <c r="G356" i="8" a="1"/>
  <c r="G356" i="8" s="1"/>
  <c r="G357" i="8" a="1"/>
  <c r="G357" i="8" s="1"/>
  <c r="G358" i="8" a="1"/>
  <c r="G358" i="8" s="1"/>
  <c r="G359" i="8" a="1"/>
  <c r="G359" i="8" s="1"/>
  <c r="G360" i="8" a="1"/>
  <c r="G360" i="8" s="1"/>
  <c r="G361" i="8" a="1"/>
  <c r="G361" i="8" s="1"/>
  <c r="G362" i="8" a="1"/>
  <c r="G362" i="8" s="1"/>
  <c r="G363" i="8" a="1"/>
  <c r="G363" i="8" s="1"/>
  <c r="G364" i="8" a="1"/>
  <c r="G364" i="8" s="1"/>
  <c r="G365" i="8" a="1"/>
  <c r="G365" i="8" s="1"/>
  <c r="G366" i="8" a="1"/>
  <c r="G366" i="8" s="1"/>
  <c r="G367" i="8" a="1"/>
  <c r="G367" i="8" s="1"/>
  <c r="G368" i="8" a="1"/>
  <c r="G368" i="8" s="1"/>
  <c r="G369" i="8" a="1"/>
  <c r="G369" i="8" s="1"/>
  <c r="G370" i="8" a="1"/>
  <c r="G370" i="8" s="1"/>
  <c r="G371" i="8" a="1"/>
  <c r="G371" i="8" s="1"/>
  <c r="G372" i="8" a="1"/>
  <c r="G372" i="8" s="1"/>
  <c r="G373" i="8" a="1"/>
  <c r="G373" i="8" s="1"/>
  <c r="G374" i="8" a="1"/>
  <c r="G374" i="8" s="1"/>
  <c r="G375" i="8" a="1"/>
  <c r="G375" i="8" s="1"/>
  <c r="G376" i="8" a="1"/>
  <c r="G376" i="8" s="1"/>
  <c r="G377" i="8" a="1"/>
  <c r="G377" i="8" s="1"/>
  <c r="G378" i="8" a="1"/>
  <c r="G378" i="8" s="1"/>
  <c r="G379" i="8" a="1"/>
  <c r="G379" i="8" s="1"/>
  <c r="G380" i="8" a="1"/>
  <c r="G380" i="8" s="1"/>
  <c r="G381" i="8" a="1"/>
  <c r="G381" i="8" s="1"/>
  <c r="G382" i="8" a="1"/>
  <c r="G382" i="8" s="1"/>
  <c r="G383" i="8" a="1"/>
  <c r="G383" i="8" s="1"/>
  <c r="G384" i="8" a="1"/>
  <c r="G384" i="8" s="1"/>
  <c r="G385" i="8" a="1"/>
  <c r="G385" i="8" s="1"/>
  <c r="G386" i="8" a="1"/>
  <c r="G386" i="8" s="1"/>
  <c r="G387" i="8" a="1"/>
  <c r="G387" i="8" s="1"/>
  <c r="G388" i="8" a="1"/>
  <c r="G388" i="8" s="1"/>
  <c r="G389" i="8" a="1"/>
  <c r="G389" i="8" s="1"/>
  <c r="G390" i="8" a="1"/>
  <c r="G390" i="8" s="1"/>
  <c r="G391" i="8" a="1"/>
  <c r="G391" i="8" s="1"/>
  <c r="G392" i="8" a="1"/>
  <c r="G392" i="8" s="1"/>
  <c r="G393" i="8" a="1"/>
  <c r="G393" i="8" s="1"/>
  <c r="G394" i="8" a="1"/>
  <c r="G394" i="8" s="1"/>
  <c r="G395" i="8" a="1"/>
  <c r="G395" i="8" s="1"/>
  <c r="G396" i="8" a="1"/>
  <c r="G396" i="8" s="1"/>
  <c r="G397" i="8" a="1"/>
  <c r="G397" i="8" s="1"/>
  <c r="G398" i="8" a="1"/>
  <c r="G398" i="8" s="1"/>
  <c r="G399" i="8" a="1"/>
  <c r="G399" i="8" s="1"/>
  <c r="G400" i="8" a="1"/>
  <c r="G400" i="8" s="1"/>
  <c r="G401" i="8" a="1"/>
  <c r="G401" i="8" s="1"/>
  <c r="G402" i="8" a="1"/>
  <c r="G402" i="8" s="1"/>
  <c r="G403" i="8" a="1"/>
  <c r="G403" i="8" s="1"/>
  <c r="G404" i="8" a="1"/>
  <c r="G404" i="8" s="1"/>
  <c r="G405" i="8" a="1"/>
  <c r="G405" i="8" s="1"/>
  <c r="G406" i="8" a="1"/>
  <c r="G406" i="8" s="1"/>
  <c r="G407" i="8" a="1"/>
  <c r="G407" i="8" s="1"/>
  <c r="G408" i="8" a="1"/>
  <c r="G408" i="8" s="1"/>
  <c r="G409" i="8" a="1"/>
  <c r="G409" i="8" s="1"/>
  <c r="G410" i="8" a="1"/>
  <c r="G410" i="8" s="1"/>
  <c r="G411" i="8" a="1"/>
  <c r="G411" i="8" s="1"/>
  <c r="G412" i="8" a="1"/>
  <c r="G412" i="8" s="1"/>
  <c r="G413" i="8" a="1"/>
  <c r="G413" i="8" s="1"/>
  <c r="G414" i="8" a="1"/>
  <c r="G414" i="8" s="1"/>
  <c r="G415" i="8" a="1"/>
  <c r="G415" i="8" s="1"/>
  <c r="G416" i="8" a="1"/>
  <c r="G416" i="8" s="1"/>
  <c r="G417" i="8" a="1"/>
  <c r="G417" i="8" s="1"/>
  <c r="G418" i="8" a="1"/>
  <c r="G418" i="8" s="1"/>
  <c r="G419" i="8" a="1"/>
  <c r="G419" i="8" s="1"/>
  <c r="G420" i="8" a="1"/>
  <c r="G420" i="8" s="1"/>
  <c r="G421" i="8" a="1"/>
  <c r="G421" i="8" s="1"/>
  <c r="G422" i="8" a="1"/>
  <c r="G422" i="8" s="1"/>
  <c r="G423" i="8" a="1"/>
  <c r="G423" i="8" s="1"/>
  <c r="G424" i="8" a="1"/>
  <c r="G424" i="8" s="1"/>
  <c r="G425" i="8" a="1"/>
  <c r="G425" i="8" s="1"/>
  <c r="G426" i="8" a="1"/>
  <c r="G426" i="8" s="1"/>
  <c r="G427" i="8" a="1"/>
  <c r="G427" i="8" s="1"/>
  <c r="G428" i="8" a="1"/>
  <c r="G428" i="8" s="1"/>
  <c r="G429" i="8" a="1"/>
  <c r="G429" i="8" s="1"/>
  <c r="G430" i="8" a="1"/>
  <c r="G430" i="8" s="1"/>
  <c r="G431" i="8" a="1"/>
  <c r="G431" i="8" s="1"/>
  <c r="G432" i="8" a="1"/>
  <c r="G432" i="8" s="1"/>
  <c r="G433" i="8" a="1"/>
  <c r="G433" i="8" s="1"/>
  <c r="G434" i="8" a="1"/>
  <c r="G434" i="8" s="1"/>
  <c r="G435" i="8" a="1"/>
  <c r="G435" i="8" s="1"/>
  <c r="G436" i="8" a="1"/>
  <c r="G436" i="8" s="1"/>
  <c r="G437" i="8" a="1"/>
  <c r="G437" i="8" s="1"/>
  <c r="G438" i="8" a="1"/>
  <c r="G438" i="8" s="1"/>
  <c r="G439" i="8" a="1"/>
  <c r="G439" i="8" s="1"/>
  <c r="G440" i="8" a="1"/>
  <c r="G440" i="8" s="1"/>
  <c r="G441" i="8" a="1"/>
  <c r="G441" i="8" s="1"/>
  <c r="G442" i="8" a="1"/>
  <c r="G442" i="8" s="1"/>
  <c r="G443" i="8" a="1"/>
  <c r="G443" i="8" s="1"/>
  <c r="G444" i="8" a="1"/>
  <c r="G444" i="8" s="1"/>
  <c r="G445" i="8" a="1"/>
  <c r="G445" i="8" s="1"/>
  <c r="G446" i="8" a="1"/>
  <c r="G446" i="8" s="1"/>
  <c r="G447" i="8" a="1"/>
  <c r="G447" i="8" s="1"/>
  <c r="G448" i="8" a="1"/>
  <c r="G448" i="8" s="1"/>
  <c r="G449" i="8" a="1"/>
  <c r="G449" i="8" s="1"/>
  <c r="G450" i="8" a="1"/>
  <c r="G450" i="8" s="1"/>
  <c r="G451" i="8" a="1"/>
  <c r="G451" i="8" s="1"/>
  <c r="G452" i="8" a="1"/>
  <c r="G452" i="8" s="1"/>
  <c r="G453" i="8" a="1"/>
  <c r="G453" i="8" s="1"/>
  <c r="G454" i="8" a="1"/>
  <c r="G454" i="8" s="1"/>
  <c r="G455" i="8" a="1"/>
  <c r="G455" i="8" s="1"/>
  <c r="G456" i="8" a="1"/>
  <c r="G456" i="8" s="1"/>
  <c r="G457" i="8" a="1"/>
  <c r="G457" i="8" s="1"/>
  <c r="G458" i="8" a="1"/>
  <c r="G458" i="8" s="1"/>
  <c r="G459" i="8" a="1"/>
  <c r="G459" i="8" s="1"/>
  <c r="G460" i="8" a="1"/>
  <c r="G460" i="8" s="1"/>
  <c r="G461" i="8" a="1"/>
  <c r="G461" i="8" s="1"/>
  <c r="G462" i="8" a="1"/>
  <c r="G462" i="8" s="1"/>
  <c r="G463" i="8" a="1"/>
  <c r="G463" i="8" s="1"/>
  <c r="G464" i="8" a="1"/>
  <c r="G464" i="8" s="1"/>
  <c r="G465" i="8" a="1"/>
  <c r="G465" i="8" s="1"/>
  <c r="G466" i="8" a="1"/>
  <c r="G466" i="8" s="1"/>
  <c r="G467" i="8" a="1"/>
  <c r="G467" i="8" s="1"/>
  <c r="G468" i="8" a="1"/>
  <c r="G468" i="8" s="1"/>
  <c r="G469" i="8" a="1"/>
  <c r="G469" i="8" s="1"/>
  <c r="G470" i="8" a="1"/>
  <c r="G470" i="8" s="1"/>
  <c r="G471" i="8" a="1"/>
  <c r="G471" i="8" s="1"/>
  <c r="G472" i="8" a="1"/>
  <c r="G472" i="8" s="1"/>
  <c r="G473" i="8" a="1"/>
  <c r="G473" i="8" s="1"/>
  <c r="G474" i="8" a="1"/>
  <c r="G474" i="8" s="1"/>
  <c r="G475" i="8" a="1"/>
  <c r="G475" i="8" s="1"/>
  <c r="G476" i="8" a="1"/>
  <c r="G476" i="8" s="1"/>
  <c r="G477" i="8" a="1"/>
  <c r="G477" i="8" s="1"/>
  <c r="G478" i="8" a="1"/>
  <c r="G478" i="8" s="1"/>
  <c r="G479" i="8" a="1"/>
  <c r="G479" i="8" s="1"/>
  <c r="G480" i="8" a="1"/>
  <c r="G480" i="8" s="1"/>
  <c r="G481" i="8" a="1"/>
  <c r="G481" i="8" s="1"/>
  <c r="G482" i="8" a="1"/>
  <c r="G482" i="8" s="1"/>
  <c r="G483" i="8" a="1"/>
  <c r="G483" i="8" s="1"/>
  <c r="G484" i="8" a="1"/>
  <c r="G484" i="8" s="1"/>
  <c r="G485" i="8" a="1"/>
  <c r="G485" i="8" s="1"/>
  <c r="G486" i="8" a="1"/>
  <c r="G486" i="8" s="1"/>
  <c r="G487" i="8" a="1"/>
  <c r="G487" i="8" s="1"/>
  <c r="G488" i="8" a="1"/>
  <c r="G488" i="8" s="1"/>
  <c r="G489" i="8" a="1"/>
  <c r="G489" i="8" s="1"/>
  <c r="G490" i="8" a="1"/>
  <c r="G490" i="8" s="1"/>
  <c r="G491" i="8" a="1"/>
  <c r="G491" i="8" s="1"/>
  <c r="G492" i="8" a="1"/>
  <c r="G492" i="8" s="1"/>
  <c r="G493" i="8" a="1"/>
  <c r="G493" i="8" s="1"/>
  <c r="G494" i="8" a="1"/>
  <c r="G494" i="8" s="1"/>
  <c r="G495" i="8" a="1"/>
  <c r="G495" i="8" s="1"/>
  <c r="G496" i="8" a="1"/>
  <c r="G496" i="8" s="1"/>
  <c r="G497" i="8" a="1"/>
  <c r="G497" i="8" s="1"/>
  <c r="G498" i="8" a="1"/>
  <c r="G498" i="8" s="1"/>
  <c r="G499" i="8" a="1"/>
  <c r="G499" i="8" s="1"/>
  <c r="G500" i="8" a="1"/>
  <c r="G500" i="8" s="1"/>
  <c r="G501" i="8" a="1"/>
  <c r="G501" i="8" s="1"/>
  <c r="G502" i="8" a="1"/>
  <c r="G502" i="8" s="1"/>
  <c r="G503" i="8" a="1"/>
  <c r="G503" i="8" s="1"/>
  <c r="G504" i="8" a="1"/>
  <c r="G504" i="8" s="1"/>
  <c r="G505" i="8" a="1"/>
  <c r="G505" i="8" s="1"/>
  <c r="G506" i="8" a="1"/>
  <c r="G506" i="8" s="1"/>
  <c r="G507" i="8" a="1"/>
  <c r="G507" i="8" s="1"/>
  <c r="G508" i="8" a="1"/>
  <c r="G508" i="8" s="1"/>
  <c r="G509" i="8" a="1"/>
  <c r="G509" i="8" s="1"/>
  <c r="G510" i="8" a="1"/>
  <c r="G510" i="8" s="1"/>
  <c r="G511" i="8" a="1"/>
  <c r="G511" i="8" s="1"/>
  <c r="G512" i="8" a="1"/>
  <c r="G512" i="8"/>
  <c r="G513" i="8" a="1"/>
  <c r="G513" i="8" s="1"/>
  <c r="G514" i="8" a="1"/>
  <c r="G514" i="8"/>
  <c r="G515" i="8" a="1"/>
  <c r="G515" i="8" s="1"/>
  <c r="G516" i="8" a="1"/>
  <c r="G516" i="8"/>
  <c r="G517" i="8" a="1"/>
  <c r="G517" i="8"/>
  <c r="G518" i="8" a="1"/>
  <c r="G518" i="8"/>
  <c r="G519" i="8" a="1"/>
  <c r="G519" i="8" s="1"/>
  <c r="G520" i="8" a="1"/>
  <c r="G520" i="8"/>
  <c r="G521" i="8" a="1"/>
  <c r="G521" i="8" s="1"/>
  <c r="G522" i="8" a="1"/>
  <c r="G522" i="8"/>
  <c r="G523" i="8" a="1"/>
  <c r="G523" i="8" s="1"/>
  <c r="G524" i="8" a="1"/>
  <c r="G524" i="8" s="1"/>
  <c r="G525" i="8" a="1"/>
  <c r="G525" i="8"/>
  <c r="G526" i="8" a="1"/>
  <c r="G526" i="8" s="1"/>
  <c r="G527" i="8" a="1"/>
  <c r="G527" i="8" s="1"/>
  <c r="G528" i="8" a="1"/>
  <c r="G528" i="8"/>
  <c r="G529" i="8" a="1"/>
  <c r="G529" i="8"/>
  <c r="G530" i="8" a="1"/>
  <c r="G530" i="8"/>
  <c r="G531" i="8" a="1"/>
  <c r="G531" i="8"/>
  <c r="G532" i="8" a="1"/>
  <c r="G532" i="8" s="1"/>
  <c r="G533" i="8" a="1"/>
  <c r="G533" i="8" s="1"/>
  <c r="G534" i="8" a="1"/>
  <c r="G534" i="8"/>
  <c r="G535" i="8" a="1"/>
  <c r="G535" i="8"/>
  <c r="G536" i="8" a="1"/>
  <c r="G536" i="8" s="1"/>
  <c r="G537" i="8" a="1"/>
  <c r="G537" i="8" s="1"/>
  <c r="G538" i="8" a="1"/>
  <c r="G538" i="8" s="1"/>
  <c r="G539" i="8" a="1"/>
  <c r="G539" i="8" s="1"/>
  <c r="G540" i="8" a="1"/>
  <c r="G540" i="8"/>
  <c r="G541" i="8" a="1"/>
  <c r="G541" i="8"/>
  <c r="G542" i="8" a="1"/>
  <c r="G542" i="8"/>
  <c r="G543" i="8" a="1"/>
  <c r="G543" i="8" s="1"/>
  <c r="G544" i="8" a="1"/>
  <c r="G544" i="8" s="1"/>
  <c r="G545" i="8" a="1"/>
  <c r="G545" i="8" s="1"/>
  <c r="G546" i="8" a="1"/>
  <c r="G546" i="8" s="1"/>
  <c r="G547" i="8" a="1"/>
  <c r="G547" i="8" s="1"/>
  <c r="G548" i="8" a="1"/>
  <c r="G548" i="8"/>
  <c r="G549" i="8" a="1"/>
  <c r="G549" i="8" s="1"/>
  <c r="G550" i="8" a="1"/>
  <c r="G550" i="8" s="1"/>
  <c r="G551" i="8" a="1"/>
  <c r="G551" i="8" s="1"/>
  <c r="G552" i="8" a="1"/>
  <c r="G552" i="8"/>
  <c r="G553" i="8" a="1"/>
  <c r="G553" i="8" s="1"/>
  <c r="G554" i="8" a="1"/>
  <c r="G554" i="8" s="1"/>
  <c r="G555" i="8" a="1"/>
  <c r="G555" i="8"/>
  <c r="G556" i="8" a="1"/>
  <c r="G556" i="8"/>
  <c r="G557" i="8" a="1"/>
  <c r="G557" i="8" s="1"/>
  <c r="G558" i="8" a="1"/>
  <c r="G558" i="8"/>
  <c r="G559" i="8" a="1"/>
  <c r="G559" i="8" s="1"/>
  <c r="G560" i="8" a="1"/>
  <c r="G560" i="8" s="1"/>
  <c r="G561" i="8" a="1"/>
  <c r="G561" i="8" s="1"/>
  <c r="G562" i="8" a="1"/>
  <c r="G562" i="8" s="1"/>
  <c r="G563" i="8" a="1"/>
  <c r="G563" i="8" s="1"/>
  <c r="G564" i="8" a="1"/>
  <c r="G564" i="8"/>
  <c r="G565" i="8" a="1"/>
  <c r="G565" i="8" s="1"/>
  <c r="G566" i="8" a="1"/>
  <c r="G566" i="8" s="1"/>
  <c r="G567" i="8" a="1"/>
  <c r="G567" i="8" s="1"/>
  <c r="G568" i="8" a="1"/>
  <c r="G568" i="8" s="1"/>
  <c r="G569" i="8" a="1"/>
  <c r="G569" i="8" s="1"/>
  <c r="G570" i="8" a="1"/>
  <c r="G570" i="8"/>
  <c r="G571" i="8" a="1"/>
  <c r="G571" i="8" s="1"/>
  <c r="G572" i="8" a="1"/>
  <c r="G572" i="8" s="1"/>
  <c r="G573" i="8" a="1"/>
  <c r="G573" i="8" s="1"/>
  <c r="G574" i="8" a="1"/>
  <c r="G574" i="8" s="1"/>
  <c r="G575" i="8" a="1"/>
  <c r="G575" i="8" s="1"/>
  <c r="G576" i="8" a="1"/>
  <c r="G576" i="8" s="1"/>
  <c r="G577" i="8" a="1"/>
  <c r="G577" i="8"/>
  <c r="G578" i="8" a="1"/>
  <c r="G578" i="8"/>
  <c r="G579" i="8" a="1"/>
  <c r="G579" i="8" s="1"/>
  <c r="G580" i="8" a="1"/>
  <c r="G580" i="8" s="1"/>
  <c r="G581" i="8" a="1"/>
  <c r="G581" i="8" s="1"/>
  <c r="G582" i="8" a="1"/>
  <c r="G582" i="8"/>
  <c r="G583" i="8" a="1"/>
  <c r="G583" i="8" s="1"/>
  <c r="G584" i="8" a="1"/>
  <c r="G584" i="8"/>
  <c r="G585" i="8" a="1"/>
  <c r="G585" i="8" s="1"/>
  <c r="G586" i="8" a="1"/>
  <c r="G586" i="8" s="1"/>
  <c r="G587" i="8" a="1"/>
  <c r="G587" i="8" s="1"/>
  <c r="G588" i="8" a="1"/>
  <c r="G588" i="8"/>
  <c r="G589" i="8" a="1"/>
  <c r="G589" i="8" s="1"/>
  <c r="G590" i="8" a="1"/>
  <c r="G590" i="8" s="1"/>
  <c r="G591" i="8" a="1"/>
  <c r="G591" i="8"/>
  <c r="G592" i="8" a="1"/>
  <c r="G592" i="8"/>
  <c r="G593" i="8" a="1"/>
  <c r="G593" i="8" s="1"/>
  <c r="G594" i="8" a="1"/>
  <c r="G594" i="8"/>
  <c r="G595" i="8" a="1"/>
  <c r="G595" i="8" s="1"/>
  <c r="G596" i="8" a="1"/>
  <c r="G596" i="8" s="1"/>
  <c r="G597" i="8" a="1"/>
  <c r="G597" i="8" s="1"/>
  <c r="G598" i="8" a="1"/>
  <c r="G598" i="8" s="1"/>
  <c r="G599" i="8" a="1"/>
  <c r="G599" i="8" s="1"/>
  <c r="G600" i="8" a="1"/>
  <c r="G600" i="8"/>
  <c r="G601" i="8" a="1"/>
  <c r="G601" i="8" s="1"/>
  <c r="G602" i="8" a="1"/>
  <c r="G602" i="8" s="1"/>
  <c r="G603" i="8" a="1"/>
  <c r="G603" i="8" s="1"/>
  <c r="G604" i="8" a="1"/>
  <c r="G604" i="8" s="1"/>
  <c r="G605" i="8" a="1"/>
  <c r="G605" i="8" s="1"/>
  <c r="G606" i="8" a="1"/>
  <c r="G606" i="8"/>
  <c r="G607" i="8" a="1"/>
  <c r="G607" i="8" s="1"/>
  <c r="G608" i="8" a="1"/>
  <c r="G608" i="8" s="1"/>
  <c r="G609" i="8" a="1"/>
  <c r="G609" i="8" s="1"/>
  <c r="G610" i="8" a="1"/>
  <c r="G610" i="8" s="1"/>
  <c r="G611" i="8" a="1"/>
  <c r="G611" i="8" s="1"/>
  <c r="G612" i="8" a="1"/>
  <c r="G612" i="8" s="1"/>
  <c r="G613" i="8" a="1"/>
  <c r="G613" i="8"/>
  <c r="G614" i="8" a="1"/>
  <c r="G614" i="8"/>
  <c r="G615" i="8" a="1"/>
  <c r="G615" i="8" s="1"/>
  <c r="G616" i="8" a="1"/>
  <c r="G616" i="8" s="1"/>
  <c r="G617" i="8" a="1"/>
  <c r="G617" i="8" s="1"/>
  <c r="G618" i="8" a="1"/>
  <c r="G618" i="8"/>
  <c r="G619" i="8" a="1"/>
  <c r="G619" i="8" s="1"/>
  <c r="G620" i="8" a="1"/>
  <c r="G620" i="8"/>
  <c r="G621" i="8" a="1"/>
  <c r="G621" i="8" s="1"/>
  <c r="G622" i="8" a="1"/>
  <c r="G622" i="8" s="1"/>
  <c r="G623" i="8" a="1"/>
  <c r="G623" i="8" s="1"/>
  <c r="G624" i="8" a="1"/>
  <c r="G624" i="8"/>
  <c r="G625" i="8" a="1"/>
  <c r="G625" i="8" s="1"/>
  <c r="G626" i="8" a="1"/>
  <c r="G626" i="8" s="1"/>
  <c r="G627" i="8" a="1"/>
  <c r="G627" i="8"/>
  <c r="G628" i="8" a="1"/>
  <c r="G628" i="8"/>
  <c r="G629" i="8" a="1"/>
  <c r="G629" i="8" s="1"/>
  <c r="G630" i="8" a="1"/>
  <c r="G630" i="8"/>
  <c r="G631" i="8" a="1"/>
  <c r="G631" i="8" s="1"/>
  <c r="G632" i="8" a="1"/>
  <c r="G632" i="8" s="1"/>
  <c r="G633" i="8" a="1"/>
  <c r="G633" i="8" s="1"/>
  <c r="G634" i="8" a="1"/>
  <c r="G634" i="8" s="1"/>
  <c r="G635" i="8" a="1"/>
  <c r="G635" i="8" s="1"/>
  <c r="G636" i="8" a="1"/>
  <c r="G636" i="8"/>
  <c r="G637" i="8" a="1"/>
  <c r="G637" i="8" s="1"/>
  <c r="G638" i="8" a="1"/>
  <c r="G638" i="8" s="1"/>
  <c r="G639" i="8" a="1"/>
  <c r="G639" i="8" s="1"/>
  <c r="G640" i="8" a="1"/>
  <c r="G640" i="8" s="1"/>
  <c r="G641" i="8" a="1"/>
  <c r="G641" i="8" s="1"/>
  <c r="G642" i="8" a="1"/>
  <c r="G642" i="8"/>
  <c r="G643" i="8" a="1"/>
  <c r="G643" i="8" s="1"/>
  <c r="G644" i="8" a="1"/>
  <c r="G644" i="8" s="1"/>
  <c r="G645" i="8" a="1"/>
  <c r="G645" i="8" s="1"/>
  <c r="G646" i="8" a="1"/>
  <c r="G646" i="8" s="1"/>
  <c r="G647" i="8" a="1"/>
  <c r="G647" i="8" s="1"/>
  <c r="G648" i="8" a="1"/>
  <c r="G648" i="8" s="1"/>
  <c r="G649" i="8" a="1"/>
  <c r="G649" i="8"/>
  <c r="G650" i="8" a="1"/>
  <c r="G650" i="8"/>
  <c r="G651" i="8" a="1"/>
  <c r="G651" i="8" s="1"/>
  <c r="G652" i="8" a="1"/>
  <c r="G652" i="8" s="1"/>
  <c r="G653" i="8" a="1"/>
  <c r="G653" i="8" s="1"/>
  <c r="G654" i="8" a="1"/>
  <c r="G654" i="8"/>
  <c r="G655" i="8" a="1"/>
  <c r="G655" i="8" s="1"/>
  <c r="G656" i="8" a="1"/>
  <c r="G656" i="8"/>
  <c r="G657" i="8" a="1"/>
  <c r="G657" i="8" s="1"/>
  <c r="G658" i="8" a="1"/>
  <c r="G658" i="8" s="1"/>
  <c r="G659" i="8" a="1"/>
  <c r="G659" i="8" s="1"/>
  <c r="G660" i="8" a="1"/>
  <c r="G660" i="8"/>
  <c r="G661" i="8" a="1"/>
  <c r="G661" i="8" s="1"/>
  <c r="G662" i="8" a="1"/>
  <c r="G662" i="8" s="1"/>
  <c r="G663" i="8" a="1"/>
  <c r="G663" i="8"/>
  <c r="G664" i="8" a="1"/>
  <c r="G664" i="8"/>
  <c r="G665" i="8" a="1"/>
  <c r="G665" i="8" s="1"/>
  <c r="G666" i="8" a="1"/>
  <c r="G666" i="8"/>
  <c r="G667" i="8" a="1"/>
  <c r="G667" i="8" s="1"/>
  <c r="G668" i="8" a="1"/>
  <c r="G668" i="8" s="1"/>
  <c r="G669" i="8" a="1"/>
  <c r="G669" i="8" s="1"/>
  <c r="G670" i="8" a="1"/>
  <c r="G670" i="8" s="1"/>
  <c r="G671" i="8" a="1"/>
  <c r="G671" i="8" s="1"/>
  <c r="G672" i="8" a="1"/>
  <c r="G672" i="8"/>
  <c r="G673" i="8" a="1"/>
  <c r="G673" i="8" s="1"/>
  <c r="G674" i="8" a="1"/>
  <c r="G674" i="8" s="1"/>
  <c r="G675" i="8" a="1"/>
  <c r="G675" i="8"/>
  <c r="G676" i="8" a="1"/>
  <c r="G676" i="8"/>
  <c r="G677" i="8" a="1"/>
  <c r="G677" i="8" s="1"/>
  <c r="G678" i="8" a="1"/>
  <c r="G678" i="8"/>
  <c r="G679" i="8" a="1"/>
  <c r="G679" i="8" s="1"/>
  <c r="G680" i="8" a="1"/>
  <c r="G680" i="8" s="1"/>
  <c r="G681" i="8" a="1"/>
  <c r="G681" i="8" s="1"/>
  <c r="G682" i="8" a="1"/>
  <c r="G682" i="8" s="1"/>
  <c r="G683" i="8" a="1"/>
  <c r="G683" i="8" s="1"/>
  <c r="G684" i="8" a="1"/>
  <c r="G684" i="8"/>
  <c r="G685" i="8" a="1"/>
  <c r="G685" i="8" s="1"/>
  <c r="G686" i="8" a="1"/>
  <c r="G686" i="8"/>
  <c r="G687" i="8" a="1"/>
  <c r="G687" i="8" s="1"/>
  <c r="G688" i="8" a="1"/>
  <c r="G688" i="8" s="1"/>
  <c r="G689" i="8" a="1"/>
  <c r="G689" i="8" s="1"/>
  <c r="G690" i="8" a="1"/>
  <c r="G690" i="8"/>
  <c r="G691" i="8" a="1"/>
  <c r="G691" i="8"/>
  <c r="G692" i="8" a="1"/>
  <c r="G692" i="8" s="1"/>
  <c r="G693" i="8" a="1"/>
  <c r="G693" i="8" s="1"/>
  <c r="G694" i="8" a="1"/>
  <c r="G694" i="8"/>
  <c r="G695" i="8" a="1"/>
  <c r="G695" i="8" s="1"/>
  <c r="G696" i="8" a="1"/>
  <c r="G696" i="8" s="1"/>
  <c r="G697" i="8" a="1"/>
  <c r="G697" i="8" s="1"/>
  <c r="G698" i="8" a="1"/>
  <c r="G698" i="8"/>
  <c r="G699" i="8" a="1"/>
  <c r="G699" i="8" s="1"/>
  <c r="G700" i="8" a="1"/>
  <c r="G700" i="8" s="1"/>
  <c r="G701" i="8" a="1"/>
  <c r="G701" i="8" s="1"/>
  <c r="G702" i="8" a="1"/>
  <c r="G702" i="8"/>
  <c r="G703" i="8" a="1"/>
  <c r="G703" i="8" s="1"/>
  <c r="G704" i="8" a="1"/>
  <c r="G704" i="8"/>
  <c r="G705" i="8" a="1"/>
  <c r="G705" i="8" s="1"/>
  <c r="G706" i="8" a="1"/>
  <c r="G706" i="8" s="1"/>
  <c r="G707" i="8" a="1"/>
  <c r="G707" i="8" s="1"/>
  <c r="G708" i="8" a="1"/>
  <c r="G708" i="8" s="1"/>
  <c r="G709" i="8" a="1"/>
  <c r="G709" i="8"/>
  <c r="G710" i="8" a="1"/>
  <c r="G710" i="8" s="1"/>
  <c r="G711" i="8" a="1"/>
  <c r="G711" i="8" s="1"/>
  <c r="G712" i="8" a="1"/>
  <c r="G712" i="8" s="1"/>
  <c r="G713" i="8" a="1"/>
  <c r="G713" i="8" s="1"/>
  <c r="G714" i="8" a="1"/>
  <c r="G714" i="8" s="1"/>
  <c r="G715" i="8" a="1"/>
  <c r="G715" i="8" s="1"/>
  <c r="G716" i="8" a="1"/>
  <c r="G716" i="8" s="1"/>
  <c r="G717" i="8" a="1"/>
  <c r="G717" i="8"/>
  <c r="G718" i="8" a="1"/>
  <c r="G718" i="8"/>
  <c r="G719" i="8" a="1"/>
  <c r="G719" i="8" s="1"/>
  <c r="G720" i="8" a="1"/>
  <c r="G720" i="8" s="1"/>
  <c r="G721" i="8" a="1"/>
  <c r="G721" i="8" s="1"/>
  <c r="G722" i="8" a="1"/>
  <c r="G722" i="8"/>
  <c r="G723" i="8" a="1"/>
  <c r="G723" i="8" s="1"/>
  <c r="G724" i="8" a="1"/>
  <c r="G724" i="8"/>
  <c r="G725" i="8" a="1"/>
  <c r="G725" i="8" s="1"/>
  <c r="G726" i="8" a="1"/>
  <c r="G726" i="8" s="1"/>
  <c r="G727" i="8" a="1"/>
  <c r="G727" i="8" s="1"/>
  <c r="G728" i="8" a="1"/>
  <c r="G728" i="8" s="1"/>
  <c r="G729" i="8" a="1"/>
  <c r="G729" i="8" s="1"/>
  <c r="G730" i="8" a="1"/>
  <c r="G730" i="8" s="1"/>
  <c r="G731" i="8" a="1"/>
  <c r="G731" i="8" s="1"/>
  <c r="G732" i="8" a="1"/>
  <c r="G732" i="8"/>
  <c r="G733" i="8" a="1"/>
  <c r="G733" i="8" s="1"/>
  <c r="G734" i="8" a="1"/>
  <c r="G734" i="8" s="1"/>
  <c r="G735" i="8" a="1"/>
  <c r="G735" i="8" s="1"/>
  <c r="G736" i="8" a="1"/>
  <c r="G736" i="8" s="1"/>
  <c r="G737" i="8" a="1"/>
  <c r="G737" i="8" s="1"/>
  <c r="G738" i="8" a="1"/>
  <c r="G738" i="8" s="1"/>
  <c r="G739" i="8" a="1"/>
  <c r="G739" i="8" s="1"/>
  <c r="G740" i="8" a="1"/>
  <c r="G740" i="8"/>
  <c r="G741" i="8" a="1"/>
  <c r="G741" i="8" s="1"/>
  <c r="G742" i="8" a="1"/>
  <c r="G742" i="8"/>
  <c r="G743" i="8" a="1"/>
  <c r="G743" i="8" s="1"/>
  <c r="G744" i="8" a="1"/>
  <c r="G744" i="8" s="1"/>
  <c r="G745" i="8" a="1"/>
  <c r="G745" i="8" s="1"/>
  <c r="G746" i="8" a="1"/>
  <c r="G746" i="8" s="1"/>
  <c r="G747" i="8" a="1"/>
  <c r="G747" i="8"/>
  <c r="G748" i="8" a="1"/>
  <c r="G748" i="8"/>
  <c r="G749" i="8" a="1"/>
  <c r="G749" i="8" s="1"/>
  <c r="G750" i="8" a="1"/>
  <c r="G750" i="8" s="1"/>
  <c r="G751" i="8" a="1"/>
  <c r="G751" i="8" s="1"/>
  <c r="G752" i="8" a="1"/>
  <c r="G752" i="8" s="1"/>
  <c r="G753" i="8" a="1"/>
  <c r="G753" i="8" s="1"/>
  <c r="G754" i="8" a="1"/>
  <c r="G754" i="8"/>
  <c r="G755" i="8" a="1"/>
  <c r="G755" i="8" s="1"/>
  <c r="G756" i="8" a="1"/>
  <c r="G756" i="8"/>
  <c r="G757" i="8" a="1"/>
  <c r="G757" i="8"/>
  <c r="G758" i="8" a="1"/>
  <c r="G758" i="8"/>
  <c r="G759" i="8" a="1"/>
  <c r="G759" i="8" s="1"/>
  <c r="G760" i="8" a="1"/>
  <c r="G760" i="8" s="1"/>
  <c r="G761" i="8" a="1"/>
  <c r="G761" i="8" s="1"/>
  <c r="G762" i="8" a="1"/>
  <c r="G762" i="8"/>
  <c r="G763" i="8" a="1"/>
  <c r="G763" i="8"/>
  <c r="G764" i="8" a="1"/>
  <c r="G764" i="8" s="1"/>
  <c r="G765" i="8" a="1"/>
  <c r="G765" i="8" s="1"/>
  <c r="G766" i="8" a="1"/>
  <c r="G766" i="8"/>
  <c r="G767" i="8" a="1"/>
  <c r="G767" i="8" s="1"/>
  <c r="G768" i="8" a="1"/>
  <c r="G768" i="8" s="1"/>
  <c r="G769" i="8" a="1"/>
  <c r="G769" i="8" s="1"/>
  <c r="G770" i="8" a="1"/>
  <c r="G770" i="8"/>
  <c r="G771" i="8" a="1"/>
  <c r="G771" i="8"/>
  <c r="G772" i="8" a="1"/>
  <c r="G772" i="8"/>
  <c r="G773" i="8" a="1"/>
  <c r="G773" i="8" s="1"/>
  <c r="G774" i="8" a="1"/>
  <c r="G774" i="8" s="1"/>
  <c r="G775" i="8" a="1"/>
  <c r="G775" i="8" s="1"/>
  <c r="G776" i="8" a="1"/>
  <c r="G776" i="8" s="1"/>
  <c r="G777" i="8" a="1"/>
  <c r="G777" i="8" s="1"/>
  <c r="G778" i="8" a="1"/>
  <c r="G778" i="8"/>
  <c r="G779" i="8" a="1"/>
  <c r="G779" i="8" s="1"/>
  <c r="G780" i="8" a="1"/>
  <c r="G780" i="8"/>
  <c r="G781" i="8" a="1"/>
  <c r="G781" i="8"/>
  <c r="G782" i="8" a="1"/>
  <c r="G782" i="8" s="1"/>
  <c r="G783" i="8" a="1"/>
  <c r="G783" i="8" s="1"/>
  <c r="G784" i="8" a="1"/>
  <c r="G784" i="8"/>
  <c r="G785" i="8" a="1"/>
  <c r="G785" i="8" s="1"/>
  <c r="G786" i="8" a="1"/>
  <c r="G786" i="8"/>
  <c r="G787" i="8" a="1"/>
  <c r="G787" i="8" s="1"/>
  <c r="G788" i="8" a="1"/>
  <c r="G788" i="8" s="1"/>
  <c r="G789" i="8" a="1"/>
  <c r="G789" i="8"/>
  <c r="G790" i="8" a="1"/>
  <c r="G790" i="8"/>
  <c r="G791" i="8" a="1"/>
  <c r="G791" i="8" s="1"/>
  <c r="G792" i="8" a="1"/>
  <c r="G792" i="8"/>
  <c r="G793" i="8" a="1"/>
  <c r="G793" i="8"/>
  <c r="G794" i="8" a="1"/>
  <c r="G794" i="8" s="1"/>
  <c r="G795" i="8" a="1"/>
  <c r="G795" i="8" s="1"/>
  <c r="G796" i="8" a="1"/>
  <c r="G796" i="8"/>
  <c r="G797" i="8" a="1"/>
  <c r="G797" i="8" s="1"/>
  <c r="G798" i="8" a="1"/>
  <c r="G798" i="8" s="1"/>
  <c r="G799" i="8" a="1"/>
  <c r="G799" i="8"/>
  <c r="G800" i="8" a="1"/>
  <c r="G800" i="8" s="1"/>
  <c r="G801" i="8" a="1"/>
  <c r="G801" i="8"/>
  <c r="G802" i="8" a="1"/>
  <c r="G802" i="8"/>
  <c r="G803" i="8" a="1"/>
  <c r="G803" i="8" s="1"/>
  <c r="G804" i="8" a="1"/>
  <c r="G804" i="8" s="1"/>
  <c r="G805" i="8" a="1"/>
  <c r="G805" i="8" s="1"/>
  <c r="G806" i="8" a="1"/>
  <c r="G806" i="8" s="1"/>
  <c r="G807" i="8" a="1"/>
  <c r="G807" i="8"/>
  <c r="G808" i="8" a="1"/>
  <c r="G808" i="8"/>
  <c r="G809" i="8" a="1"/>
  <c r="G809" i="8" s="1"/>
  <c r="G810" i="8" a="1"/>
  <c r="G810" i="8" s="1"/>
  <c r="G811" i="8" a="1"/>
  <c r="G811" i="8" s="1"/>
  <c r="G812" i="8" a="1"/>
  <c r="G812" i="8"/>
  <c r="G813" i="8" a="1"/>
  <c r="G813" i="8" s="1"/>
  <c r="G814" i="8" a="1"/>
  <c r="G814" i="8"/>
  <c r="G815" i="8" a="1"/>
  <c r="G815" i="8" s="1"/>
  <c r="G816" i="8" a="1"/>
  <c r="G816" i="8"/>
  <c r="G817" i="8" a="1"/>
  <c r="G817" i="8"/>
  <c r="G818" i="8" a="1"/>
  <c r="G818" i="8" s="1"/>
  <c r="G819" i="8" a="1"/>
  <c r="G819" i="8" s="1"/>
  <c r="G820" i="8" a="1"/>
  <c r="G820" i="8" s="1"/>
  <c r="G821" i="8" a="1"/>
  <c r="G821" i="8" s="1"/>
  <c r="G822" i="8" a="1"/>
  <c r="G822" i="8"/>
  <c r="G823" i="8" a="1"/>
  <c r="G823" i="8" s="1"/>
  <c r="G824" i="8" a="1"/>
  <c r="G824" i="8" s="1"/>
  <c r="G825" i="8" a="1"/>
  <c r="G825" i="8"/>
  <c r="G826" i="8" a="1"/>
  <c r="G826" i="8"/>
  <c r="G827" i="8" a="1"/>
  <c r="G827" i="8" s="1"/>
  <c r="G828" i="8" a="1"/>
  <c r="G828" i="8" s="1"/>
  <c r="G829" i="8" a="1"/>
  <c r="G829" i="8"/>
  <c r="G830" i="8" a="1"/>
  <c r="G830" i="8"/>
  <c r="G831" i="8" a="1"/>
  <c r="G831" i="8" s="1"/>
  <c r="G832" i="8" a="1"/>
  <c r="G832" i="8"/>
  <c r="G833" i="8" a="1"/>
  <c r="G833" i="8" s="1"/>
  <c r="G834" i="8" a="1"/>
  <c r="G834" i="8" s="1"/>
  <c r="G835" i="8" a="1"/>
  <c r="G835" i="8" s="1"/>
  <c r="G836" i="8" a="1"/>
  <c r="G836" i="8" s="1"/>
  <c r="G837" i="8" a="1"/>
  <c r="G837" i="8" s="1"/>
  <c r="G838" i="8" a="1"/>
  <c r="G838" i="8"/>
  <c r="G839" i="8" a="1"/>
  <c r="G839" i="8" s="1"/>
  <c r="G840" i="8" a="1"/>
  <c r="G840" i="8"/>
  <c r="G841" i="8" a="1"/>
  <c r="G841" i="8" s="1"/>
  <c r="G842" i="8" a="1"/>
  <c r="G842" i="8" s="1"/>
  <c r="G843" i="8" a="1"/>
  <c r="G843" i="8" s="1"/>
  <c r="G844" i="8" a="1"/>
  <c r="G844" i="8"/>
  <c r="G845" i="8" a="1"/>
  <c r="G845" i="8" s="1"/>
  <c r="G846" i="8" a="1"/>
  <c r="G846" i="8"/>
  <c r="G847" i="8" a="1"/>
  <c r="G847" i="8"/>
  <c r="G848" i="8" a="1"/>
  <c r="G848" i="8"/>
  <c r="G849" i="8" a="1"/>
  <c r="G849" i="8" s="1"/>
  <c r="G850" i="8" a="1"/>
  <c r="G850" i="8" s="1"/>
  <c r="G851" i="8" a="1"/>
  <c r="G851" i="8" s="1"/>
  <c r="G852" i="8" a="1"/>
  <c r="G852" i="8"/>
  <c r="G853" i="8" a="1"/>
  <c r="G853" i="8"/>
  <c r="G854" i="8" a="1"/>
  <c r="G854" i="8" s="1"/>
  <c r="G855" i="8" a="1"/>
  <c r="G855" i="8" s="1"/>
  <c r="G856" i="8" a="1"/>
  <c r="G856" i="8" s="1"/>
  <c r="G857" i="8" a="1"/>
  <c r="G857" i="8" s="1"/>
  <c r="G858" i="8" a="1"/>
  <c r="G858" i="8"/>
  <c r="G859" i="8" a="1"/>
  <c r="G859" i="8" s="1"/>
  <c r="G860" i="8" a="1"/>
  <c r="G860" i="8"/>
  <c r="G861" i="8" a="1"/>
  <c r="G861" i="8" s="1"/>
  <c r="G862" i="8" a="1"/>
  <c r="G862" i="8" s="1"/>
  <c r="G863" i="8" a="1"/>
  <c r="G863" i="8" s="1"/>
  <c r="G864" i="8" a="1"/>
  <c r="G864" i="8"/>
  <c r="G865" i="8" a="1"/>
  <c r="G865" i="8"/>
  <c r="G866" i="8" a="1"/>
  <c r="G866" i="8"/>
  <c r="G867" i="8" a="1"/>
  <c r="G867" i="8" s="1"/>
  <c r="G868" i="8" a="1"/>
  <c r="G868" i="8" s="1"/>
  <c r="G869" i="8" a="1"/>
  <c r="G869" i="8" s="1"/>
  <c r="G870" i="8" a="1"/>
  <c r="G870" i="8"/>
  <c r="G871" i="8" a="1"/>
  <c r="G871" i="8"/>
  <c r="G872" i="8" a="1"/>
  <c r="G872" i="8" s="1"/>
  <c r="G873" i="8" a="1"/>
  <c r="G873" i="8"/>
  <c r="G874" i="8" a="1"/>
  <c r="G874" i="8"/>
  <c r="G875" i="8" a="1"/>
  <c r="G875" i="8" s="1"/>
  <c r="G876" i="8" a="1"/>
  <c r="G876" i="8"/>
  <c r="G877" i="8" a="1"/>
  <c r="G877" i="8" s="1"/>
  <c r="G878" i="8" a="1"/>
  <c r="G878" i="8" s="1"/>
  <c r="G879" i="8" a="1"/>
  <c r="G879" i="8" s="1"/>
  <c r="G880" i="8" a="1"/>
  <c r="G880" i="8" s="1"/>
  <c r="G881" i="8" a="1"/>
  <c r="G881" i="8" s="1"/>
  <c r="G882" i="8" a="1"/>
  <c r="G882" i="8"/>
  <c r="G883" i="8" a="1"/>
  <c r="G883" i="8" s="1"/>
  <c r="G884" i="8" a="1"/>
  <c r="G884" i="8" s="1"/>
  <c r="G885" i="8" a="1"/>
  <c r="G885" i="8"/>
  <c r="G886" i="8" a="1"/>
  <c r="G886" i="8" s="1"/>
  <c r="G887" i="8" a="1"/>
  <c r="G887" i="8" s="1"/>
  <c r="G888" i="8" a="1"/>
  <c r="G888" i="8"/>
  <c r="G889" i="8" a="1"/>
  <c r="G889" i="8"/>
  <c r="G890" i="8" a="1"/>
  <c r="G890" i="8"/>
  <c r="G891" i="8" a="1"/>
  <c r="G891" i="8" s="1"/>
  <c r="G892" i="8" a="1"/>
  <c r="G892" i="8" s="1"/>
  <c r="G893" i="8" a="1"/>
  <c r="G893" i="8" s="1"/>
  <c r="G894" i="8" a="1"/>
  <c r="G894" i="8" s="1"/>
  <c r="G895" i="8" a="1"/>
  <c r="G895" i="8" s="1"/>
  <c r="G896" i="8" a="1"/>
  <c r="G896" i="8"/>
  <c r="G897" i="8" a="1"/>
  <c r="G897" i="8"/>
  <c r="G898" i="8" a="1"/>
  <c r="G898" i="8" s="1"/>
  <c r="G899" i="8" a="1"/>
  <c r="G899" i="8" s="1"/>
  <c r="G900" i="8" a="1"/>
  <c r="G900" i="8"/>
  <c r="G901" i="8" a="1"/>
  <c r="G901" i="8"/>
  <c r="G902" i="8" a="1"/>
  <c r="G902" i="8" s="1"/>
  <c r="G903" i="8" a="1"/>
  <c r="G903" i="8" s="1"/>
  <c r="G904" i="8" a="1"/>
  <c r="G904" i="8" s="1"/>
  <c r="G905" i="8" a="1"/>
  <c r="G905" i="8" s="1"/>
  <c r="G906" i="8" a="1"/>
  <c r="G906" i="8" s="1"/>
  <c r="G907" i="8" a="1"/>
  <c r="G907" i="8"/>
  <c r="G908" i="8" a="1"/>
  <c r="G908" i="8"/>
  <c r="G909" i="8" a="1"/>
  <c r="G909" i="8" s="1"/>
  <c r="G910" i="8" a="1"/>
  <c r="G910" i="8" s="1"/>
  <c r="G911" i="8" a="1"/>
  <c r="G911" i="8" s="1"/>
  <c r="G912" i="8" a="1"/>
  <c r="G912" i="8" s="1"/>
  <c r="G913" i="8" a="1"/>
  <c r="G913" i="8" s="1"/>
  <c r="G914" i="8" a="1"/>
  <c r="G914" i="8"/>
  <c r="G915" i="8" a="1"/>
  <c r="G915" i="8"/>
  <c r="G916" i="8" a="1"/>
  <c r="G916" i="8" s="1"/>
  <c r="G917" i="8" a="1"/>
  <c r="G917" i="8" s="1"/>
  <c r="G918" i="8" a="1"/>
  <c r="G918" i="8" s="1"/>
  <c r="G919" i="8" a="1"/>
  <c r="G919" i="8" s="1"/>
  <c r="G920" i="8" a="1"/>
  <c r="G920" i="8" s="1"/>
  <c r="G921" i="8" a="1"/>
  <c r="G921" i="8" s="1"/>
  <c r="G922" i="8" a="1"/>
  <c r="G922" i="8" s="1"/>
  <c r="G923" i="8" a="1"/>
  <c r="G923" i="8" s="1"/>
  <c r="G924" i="8" a="1"/>
  <c r="G924" i="8" s="1"/>
  <c r="G925" i="8" a="1"/>
  <c r="G925" i="8" s="1"/>
  <c r="G926" i="8" a="1"/>
  <c r="G926" i="8" s="1"/>
  <c r="G927" i="8" a="1"/>
  <c r="G927" i="8" s="1"/>
  <c r="G928" i="8" a="1"/>
  <c r="G928" i="8" s="1"/>
  <c r="G929" i="8" a="1"/>
  <c r="G929" i="8" s="1"/>
  <c r="G930" i="8" a="1"/>
  <c r="G930" i="8"/>
  <c r="G931" i="8" a="1"/>
  <c r="G931" i="8" s="1"/>
  <c r="G932" i="8" a="1"/>
  <c r="G932" i="8" s="1"/>
  <c r="G933" i="8" a="1"/>
  <c r="G933" i="8"/>
  <c r="G934" i="8" a="1"/>
  <c r="G934" i="8" s="1"/>
  <c r="G935" i="8" a="1"/>
  <c r="G935" i="8" s="1"/>
  <c r="G936" i="8" a="1"/>
  <c r="G936" i="8" s="1"/>
  <c r="G937" i="8" a="1"/>
  <c r="G937" i="8" s="1"/>
  <c r="G938" i="8" a="1"/>
  <c r="G938" i="8" s="1"/>
  <c r="G939" i="8" a="1"/>
  <c r="G939" i="8" s="1"/>
  <c r="G940" i="8" a="1"/>
  <c r="G940" i="8" s="1"/>
  <c r="G941" i="8" a="1"/>
  <c r="G941" i="8" s="1"/>
  <c r="G942" i="8" a="1"/>
  <c r="G942" i="8" s="1"/>
  <c r="G943" i="8" a="1"/>
  <c r="G943" i="8" s="1"/>
  <c r="G944" i="8" a="1"/>
  <c r="G944" i="8"/>
  <c r="G945" i="8" a="1"/>
  <c r="G945" i="8" s="1"/>
  <c r="G946" i="8" a="1"/>
  <c r="G946" i="8" s="1"/>
  <c r="G947" i="8" a="1"/>
  <c r="G947" i="8" s="1"/>
  <c r="G948" i="8" a="1"/>
  <c r="G948" i="8"/>
  <c r="G949" i="8" a="1"/>
  <c r="G949" i="8" s="1"/>
  <c r="G950" i="8" a="1"/>
  <c r="G950" i="8" s="1"/>
  <c r="G951" i="8" a="1"/>
  <c r="G951" i="8"/>
  <c r="G952" i="8" a="1"/>
  <c r="G952" i="8" s="1"/>
  <c r="G953" i="8" a="1"/>
  <c r="G953" i="8" s="1"/>
  <c r="G954" i="8" a="1"/>
  <c r="G954" i="8" s="1"/>
  <c r="G955" i="8" a="1"/>
  <c r="G955" i="8" s="1"/>
  <c r="G956" i="8" a="1"/>
  <c r="G956" i="8" s="1"/>
  <c r="G957" i="8" a="1"/>
  <c r="G957" i="8" s="1"/>
  <c r="G958" i="8" a="1"/>
  <c r="G958" i="8" s="1"/>
  <c r="G959" i="8" a="1"/>
  <c r="G959" i="8" s="1"/>
  <c r="G960" i="8" a="1"/>
  <c r="G960" i="8" s="1"/>
  <c r="G961" i="8" a="1"/>
  <c r="G961" i="8" s="1"/>
  <c r="G962" i="8" a="1"/>
  <c r="G962" i="8"/>
  <c r="G963" i="8" a="1"/>
  <c r="G963" i="8" s="1"/>
  <c r="G964" i="8" a="1"/>
  <c r="G964" i="8" s="1"/>
  <c r="G965" i="8" a="1"/>
  <c r="G965" i="8" s="1"/>
  <c r="G966" i="8" a="1"/>
  <c r="G966" i="8"/>
  <c r="G967" i="8" a="1"/>
  <c r="G967" i="8" s="1"/>
  <c r="G968" i="8" a="1"/>
  <c r="G968" i="8" s="1"/>
  <c r="G969" i="8" a="1"/>
  <c r="G969" i="8" s="1"/>
  <c r="G970" i="8" a="1"/>
  <c r="G970" i="8" s="1"/>
  <c r="G971" i="8" a="1"/>
  <c r="G971" i="8" s="1"/>
  <c r="G972" i="8" a="1"/>
  <c r="G972" i="8" s="1"/>
  <c r="G973" i="8" a="1"/>
  <c r="G973" i="8"/>
  <c r="G974" i="8" a="1"/>
  <c r="G974" i="8" s="1"/>
  <c r="G975" i="8" a="1"/>
  <c r="G975" i="8" s="1"/>
  <c r="G976" i="8" a="1"/>
  <c r="G976" i="8" s="1"/>
  <c r="G977" i="8" a="1"/>
  <c r="G977" i="8" s="1"/>
  <c r="G978" i="8" a="1"/>
  <c r="G978" i="8" s="1"/>
  <c r="G979" i="8" a="1"/>
  <c r="G979" i="8" s="1"/>
  <c r="G980" i="8" a="1"/>
  <c r="G980" i="8" s="1"/>
  <c r="G981" i="8" a="1"/>
  <c r="G981" i="8" s="1"/>
  <c r="G982" i="8" a="1"/>
  <c r="G982" i="8" s="1"/>
  <c r="G983" i="8" a="1"/>
  <c r="G983" i="8" s="1"/>
  <c r="G984" i="8" a="1"/>
  <c r="G984" i="8"/>
  <c r="G985" i="8" a="1"/>
  <c r="G985" i="8" s="1"/>
  <c r="G986" i="8" a="1"/>
  <c r="G986" i="8" s="1"/>
  <c r="G987" i="8" a="1"/>
  <c r="G987" i="8" s="1"/>
  <c r="G988" i="8" a="1"/>
  <c r="G988" i="8" s="1"/>
  <c r="G989" i="8" a="1"/>
  <c r="G989" i="8" s="1"/>
  <c r="G990" i="8" a="1"/>
  <c r="G990" i="8" s="1"/>
  <c r="G991" i="8" a="1"/>
  <c r="G991" i="8" s="1"/>
  <c r="G992" i="8" a="1"/>
  <c r="G992" i="8" s="1"/>
  <c r="G993" i="8" a="1"/>
  <c r="G993" i="8" s="1"/>
  <c r="G994" i="8" a="1"/>
  <c r="G994" i="8" s="1"/>
  <c r="G995" i="8" a="1"/>
  <c r="G995" i="8" s="1"/>
  <c r="G996" i="8" a="1"/>
  <c r="G996" i="8" s="1"/>
  <c r="G997" i="8" a="1"/>
  <c r="G997" i="8" s="1"/>
  <c r="G998" i="8" a="1"/>
  <c r="G998" i="8" s="1"/>
  <c r="G999" i="8" a="1"/>
  <c r="G999" i="8" s="1"/>
  <c r="G1000" i="8" a="1"/>
  <c r="G1000" i="8" s="1"/>
  <c r="G1001" i="8" a="1"/>
  <c r="G1001" i="8" s="1"/>
  <c r="G1002" i="8" a="1"/>
  <c r="G1002" i="8" s="1"/>
  <c r="G1003" i="8" a="1"/>
  <c r="G1003" i="8" s="1"/>
  <c r="G1004" i="8" a="1"/>
  <c r="G1004" i="8" s="1"/>
  <c r="G1005" i="8" a="1"/>
  <c r="G1005" i="8"/>
  <c r="G1006" i="8" a="1"/>
  <c r="G1006" i="8" s="1"/>
  <c r="G1007" i="8" a="1"/>
  <c r="G1007" i="8" s="1"/>
  <c r="G1008" i="8" a="1"/>
  <c r="G1008" i="8" s="1"/>
  <c r="G1009" i="8" a="1"/>
  <c r="G1009" i="8" s="1"/>
  <c r="G1010" i="8" a="1"/>
  <c r="G1010" i="8" s="1"/>
  <c r="G1011" i="8" a="1"/>
  <c r="G1011" i="8" s="1"/>
  <c r="G1012" i="8" a="1"/>
  <c r="G1012" i="8" s="1"/>
  <c r="G1013" i="8" a="1"/>
  <c r="G1013" i="8" s="1"/>
  <c r="G1014" i="8" a="1"/>
  <c r="G1014" i="8" s="1"/>
  <c r="G1015" i="8" a="1"/>
  <c r="G1015" i="8" s="1"/>
  <c r="G1016" i="8" a="1"/>
  <c r="G1016" i="8" s="1"/>
  <c r="G1017" i="8" a="1"/>
  <c r="G1017" i="8" s="1"/>
  <c r="G1018" i="8" a="1"/>
  <c r="G1018" i="8" s="1"/>
  <c r="G1019" i="8" a="1"/>
  <c r="G1019" i="8" s="1"/>
  <c r="G1020" i="8" a="1"/>
  <c r="G1020" i="8" s="1"/>
  <c r="G1021" i="8" a="1"/>
  <c r="G1021" i="8" s="1"/>
  <c r="G1022" i="8" a="1"/>
  <c r="G1022" i="8" s="1"/>
  <c r="G1023" i="8" a="1"/>
  <c r="G1023" i="8" s="1"/>
  <c r="G1024" i="8" a="1"/>
  <c r="G1024" i="8" s="1"/>
  <c r="G1025" i="8" a="1"/>
  <c r="G1025" i="8"/>
  <c r="G1026" i="8" a="1"/>
  <c r="G1026" i="8"/>
  <c r="G1027" i="8" a="1"/>
  <c r="G1027" i="8" s="1"/>
  <c r="G1028" i="8" a="1"/>
  <c r="G1028" i="8"/>
  <c r="G1029" i="8" a="1"/>
  <c r="G1029" i="8" s="1"/>
  <c r="G1030" i="8" a="1"/>
  <c r="G1030" i="8" s="1"/>
  <c r="G1031" i="8" a="1"/>
  <c r="G1031" i="8" s="1"/>
  <c r="G1032" i="8" a="1"/>
  <c r="G1032" i="8" s="1"/>
  <c r="G1033" i="8" a="1"/>
  <c r="G1033" i="8"/>
  <c r="G1034" i="8" a="1"/>
  <c r="G1034" i="8" s="1"/>
  <c r="G1035" i="8" a="1"/>
  <c r="G1035" i="8" s="1"/>
  <c r="G1036" i="8" a="1"/>
  <c r="G1036" i="8" s="1"/>
  <c r="G1037" i="8" a="1"/>
  <c r="G1037" i="8"/>
  <c r="G1038" i="8" a="1"/>
  <c r="G1038" i="8" s="1"/>
  <c r="G1039" i="8" a="1"/>
  <c r="G1039" i="8" s="1"/>
  <c r="G1040" i="8" a="1"/>
  <c r="G1040" i="8" s="1"/>
  <c r="G1041" i="8" a="1"/>
  <c r="G1041" i="8"/>
  <c r="G1042" i="8" a="1"/>
  <c r="G1042" i="8" s="1"/>
  <c r="G1043" i="8" a="1"/>
  <c r="G1043" i="8" s="1"/>
  <c r="G1044" i="8" a="1"/>
  <c r="G1044" i="8" s="1"/>
  <c r="G1045" i="8" a="1"/>
  <c r="G1045" i="8" s="1"/>
  <c r="G1046" i="8" a="1"/>
  <c r="G1046" i="8" s="1"/>
  <c r="G1047" i="8" a="1"/>
  <c r="G1047" i="8" s="1"/>
  <c r="G1048" i="8" a="1"/>
  <c r="G1048" i="8" s="1"/>
  <c r="G1049" i="8" a="1"/>
  <c r="G1049" i="8" s="1"/>
  <c r="G1050" i="8" a="1"/>
  <c r="G1050" i="8"/>
  <c r="G1051" i="8" a="1"/>
  <c r="G1051" i="8"/>
  <c r="G1052" i="8" a="1"/>
  <c r="G1052" i="8"/>
  <c r="G1053" i="8" a="1"/>
  <c r="G1053" i="8" s="1"/>
  <c r="G1054" i="8" a="1"/>
  <c r="G1054" i="8" s="1"/>
  <c r="G1055" i="8" a="1"/>
  <c r="G1055" i="8" s="1"/>
  <c r="G1056" i="8" a="1"/>
  <c r="G1056" i="8" s="1"/>
  <c r="G1057" i="8" a="1"/>
  <c r="G1057" i="8" s="1"/>
  <c r="G1058" i="8" a="1"/>
  <c r="G1058" i="8" s="1"/>
  <c r="G1059" i="8" a="1"/>
  <c r="G1059" i="8" s="1"/>
  <c r="G1060" i="8" a="1"/>
  <c r="G1060" i="8" s="1"/>
  <c r="G1061" i="8" a="1"/>
  <c r="G1061" i="8"/>
  <c r="G1062" i="8" a="1"/>
  <c r="G1062" i="8"/>
  <c r="G1063" i="8" a="1"/>
  <c r="G1063" i="8"/>
  <c r="G1064" i="8" a="1"/>
  <c r="G1064" i="8" s="1"/>
  <c r="G1065" i="8" a="1"/>
  <c r="G1065" i="8" s="1"/>
  <c r="G1066" i="8" a="1"/>
  <c r="G1066" i="8" s="1"/>
  <c r="G1067" i="8" a="1"/>
  <c r="G1067" i="8" s="1"/>
  <c r="G1068" i="8" a="1"/>
  <c r="G1068" i="8" s="1"/>
  <c r="G1069" i="8" a="1"/>
  <c r="G1069" i="8" s="1"/>
  <c r="G1070" i="8" a="1"/>
  <c r="G1070" i="8" s="1"/>
  <c r="G1071" i="8" a="1"/>
  <c r="G1071" i="8" s="1"/>
  <c r="G1072" i="8" a="1"/>
  <c r="G1072" i="8" s="1"/>
  <c r="G1073" i="8" a="1"/>
  <c r="G1073" i="8" s="1"/>
  <c r="G1074" i="8" a="1"/>
  <c r="G1074" i="8" s="1"/>
  <c r="G1075" i="8" a="1"/>
  <c r="G1075" i="8" s="1"/>
  <c r="G1076" i="8" a="1"/>
  <c r="G1076" i="8"/>
  <c r="G1077" i="8" a="1"/>
  <c r="G1077" i="8"/>
  <c r="G1078" i="8" a="1"/>
  <c r="G1078" i="8" s="1"/>
  <c r="G1079" i="8" a="1"/>
  <c r="G1079" i="8" s="1"/>
  <c r="G1080" i="8" a="1"/>
  <c r="G1080" i="8" s="1"/>
  <c r="G1081" i="8" a="1"/>
  <c r="G1081" i="8" s="1"/>
  <c r="G1082" i="8" a="1"/>
  <c r="G1082" i="8" s="1"/>
  <c r="G1083" i="8" a="1"/>
  <c r="G1083" i="8" s="1"/>
  <c r="G1084" i="8" a="1"/>
  <c r="G1084" i="8" s="1"/>
  <c r="G1085" i="8" a="1"/>
  <c r="G1085" i="8"/>
  <c r="G1086" i="8" a="1"/>
  <c r="G1086" i="8"/>
  <c r="G1087" i="8" a="1"/>
  <c r="G1087" i="8"/>
  <c r="G1088" i="8" a="1"/>
  <c r="G1088" i="8"/>
  <c r="G1089" i="8" a="1"/>
  <c r="G1089" i="8" s="1"/>
  <c r="G1090" i="8" a="1"/>
  <c r="G1090" i="8" s="1"/>
  <c r="G1091" i="8" a="1"/>
  <c r="G1091" i="8" s="1"/>
  <c r="G1092" i="8" a="1"/>
  <c r="G1092" i="8"/>
  <c r="G1093" i="8" a="1"/>
  <c r="G1093" i="8" s="1"/>
  <c r="G1094" i="8" a="1"/>
  <c r="G1094" i="8" s="1"/>
  <c r="G1095" i="8" a="1"/>
  <c r="G1095" i="8" s="1"/>
  <c r="G1096" i="8" a="1"/>
  <c r="G1096" i="8" s="1"/>
  <c r="G1097" i="8" a="1"/>
  <c r="G1097" i="8"/>
  <c r="G1098" i="8" a="1"/>
  <c r="G1098" i="8" s="1"/>
  <c r="G1099" i="8" a="1"/>
  <c r="G1099" i="8" s="1"/>
  <c r="G1100" i="8" a="1"/>
  <c r="G1100" i="8" s="1"/>
  <c r="G1101" i="8" a="1"/>
  <c r="G1101" i="8"/>
  <c r="G1102" i="8" a="1"/>
  <c r="G1102" i="8" s="1"/>
  <c r="G1103" i="8" a="1"/>
  <c r="G1103" i="8" s="1"/>
  <c r="G1104" i="8" a="1"/>
  <c r="G1104" i="8" s="1"/>
  <c r="G1105" i="8" a="1"/>
  <c r="G1105" i="8"/>
  <c r="G1106" i="8" a="1"/>
  <c r="G1106" i="8" s="1"/>
  <c r="G1107" i="8" a="1"/>
  <c r="G1107" i="8" s="1"/>
  <c r="G1108" i="8" a="1"/>
  <c r="G1108" i="8" s="1"/>
  <c r="G1109" i="8" a="1"/>
  <c r="G1109" i="8" s="1"/>
  <c r="G1110" i="8" a="1"/>
  <c r="G1110" i="8"/>
  <c r="G1111" i="8" a="1"/>
  <c r="G1111" i="8"/>
  <c r="G1112" i="8" a="1"/>
  <c r="G1112" i="8" s="1"/>
  <c r="G1113" i="8" a="1"/>
  <c r="G1113" i="8"/>
  <c r="G1114" i="8" a="1"/>
  <c r="G1114" i="8" s="1"/>
  <c r="G1115" i="8" a="1"/>
  <c r="G1115" i="8" s="1"/>
  <c r="G1116" i="8" a="1"/>
  <c r="G1116" i="8" s="1"/>
  <c r="G1117" i="8" a="1"/>
  <c r="G1117" i="8" s="1"/>
  <c r="G1118" i="8" a="1"/>
  <c r="G1118" i="8"/>
  <c r="G1119" i="8" a="1"/>
  <c r="G1119" i="8" s="1"/>
  <c r="G1120" i="8" a="1"/>
  <c r="G1120" i="8" s="1"/>
  <c r="G1121" i="8" a="1"/>
  <c r="G1121" i="8"/>
  <c r="G1122" i="8" a="1"/>
  <c r="G1122" i="8"/>
  <c r="G1123" i="8" a="1"/>
  <c r="G1123" i="8" s="1"/>
  <c r="G1124" i="8" a="1"/>
  <c r="G1124" i="8" s="1"/>
  <c r="G1125" i="8" a="1"/>
  <c r="G1125" i="8"/>
  <c r="G1126" i="8" a="1"/>
  <c r="G1126" i="8" s="1"/>
  <c r="G1127" i="8" a="1"/>
  <c r="G1127" i="8" s="1"/>
  <c r="G1128" i="8" a="1"/>
  <c r="G1128" i="8" s="1"/>
  <c r="G1129" i="8" a="1"/>
  <c r="G1129" i="8" s="1"/>
  <c r="G1130" i="8" a="1"/>
  <c r="G1130" i="8" s="1"/>
  <c r="G1131" i="8" a="1"/>
  <c r="G1131" i="8" s="1"/>
  <c r="G1132" i="8" a="1"/>
  <c r="G1132" i="8" s="1"/>
  <c r="G1133" i="8" a="1"/>
  <c r="G1133" i="8" s="1"/>
  <c r="G1134" i="8" a="1"/>
  <c r="G1134" i="8" s="1"/>
  <c r="G1135" i="8" a="1"/>
  <c r="G1135" i="8"/>
  <c r="G1136" i="8" a="1"/>
  <c r="G1136" i="8"/>
  <c r="G1137" i="8" a="1"/>
  <c r="G1137" i="8"/>
  <c r="G1138" i="8" a="1"/>
  <c r="G1138" i="8" s="1"/>
  <c r="G1139" i="8" a="1"/>
  <c r="G1139" i="8"/>
  <c r="G1140" i="8" a="1"/>
  <c r="G1140" i="8" s="1"/>
  <c r="G1141" i="8" a="1"/>
  <c r="G1141" i="8"/>
  <c r="G1142" i="8" a="1"/>
  <c r="G1142" i="8"/>
  <c r="G1143" i="8" a="1"/>
  <c r="G1143" i="8" s="1"/>
  <c r="G1144" i="8" a="1"/>
  <c r="G1144" i="8" s="1"/>
  <c r="G1145" i="8" a="1"/>
  <c r="G1145" i="8" s="1"/>
  <c r="G1146" i="8" a="1"/>
  <c r="G1146" i="8" s="1"/>
  <c r="G1147" i="8" a="1"/>
  <c r="G1147" i="8" s="1"/>
  <c r="G1148" i="8" a="1"/>
  <c r="G1148" i="8"/>
  <c r="G1149" i="8" a="1"/>
  <c r="G1149" i="8"/>
  <c r="G1150" i="8" a="1"/>
  <c r="G1150" i="8" s="1"/>
  <c r="G1151" i="8" a="1"/>
  <c r="G1151" i="8" s="1"/>
  <c r="G1152" i="8" a="1"/>
  <c r="G1152" i="8"/>
  <c r="G1153" i="8" a="1"/>
  <c r="G1153" i="8" s="1"/>
  <c r="G1154" i="8" a="1"/>
  <c r="G1154" i="8"/>
  <c r="G1155" i="8" a="1"/>
  <c r="G1155" i="8"/>
  <c r="G1156" i="8" a="1"/>
  <c r="G1156" i="8" s="1"/>
  <c r="G1157" i="8" a="1"/>
  <c r="G1157" i="8"/>
  <c r="G1158" i="8" a="1"/>
  <c r="G1158" i="8" s="1"/>
  <c r="G1159" i="8" a="1"/>
  <c r="G1159" i="8" s="1"/>
  <c r="G1160" i="8" a="1"/>
  <c r="G1160" i="8" s="1"/>
  <c r="G1161" i="8" a="1"/>
  <c r="G1161" i="8"/>
  <c r="G1162" i="8" a="1"/>
  <c r="G1162" i="8" s="1"/>
  <c r="G1163" i="8" a="1"/>
  <c r="G1163" i="8" s="1"/>
  <c r="G1164" i="8" a="1"/>
  <c r="G1164" i="8" s="1"/>
  <c r="G1165" i="8" a="1"/>
  <c r="G1165" i="8"/>
  <c r="G1166" i="8" a="1"/>
  <c r="G1166" i="8" s="1"/>
  <c r="G1167" i="8" a="1"/>
  <c r="G1167" i="8"/>
  <c r="G1168" i="8" a="1"/>
  <c r="G1168" i="8" s="1"/>
  <c r="G1169" i="8" a="1"/>
  <c r="G1169" i="8"/>
  <c r="G1170" i="8" a="1"/>
  <c r="G1170" i="8"/>
  <c r="G1171" i="8" a="1"/>
  <c r="G1171" i="8" s="1"/>
  <c r="G1172" i="8" a="1"/>
  <c r="G1172" i="8" s="1"/>
  <c r="G1173" i="8" a="1"/>
  <c r="G1173" i="8" s="1"/>
  <c r="G1174" i="8" a="1"/>
  <c r="G1174" i="8" s="1"/>
  <c r="G1175" i="8" a="1"/>
  <c r="G1175" i="8"/>
  <c r="G1176" i="8" a="1"/>
  <c r="G1176" i="8" s="1"/>
  <c r="G1177" i="8" a="1"/>
  <c r="G1177" i="8" s="1"/>
  <c r="G1178" i="8" a="1"/>
  <c r="G1178" i="8"/>
  <c r="G1179" i="8" a="1"/>
  <c r="G1179" i="8" s="1"/>
  <c r="G1180" i="8" a="1"/>
  <c r="G1180" i="8" s="1"/>
  <c r="G1181" i="8" a="1"/>
  <c r="G1181" i="8"/>
  <c r="G1182" i="8" a="1"/>
  <c r="G1182" i="8"/>
  <c r="G1183" i="8" a="1"/>
  <c r="G1183" i="8"/>
  <c r="G1184" i="8" a="1"/>
  <c r="G1184" i="8" s="1"/>
  <c r="G1185" i="8" a="1"/>
  <c r="G1185" i="8" s="1"/>
  <c r="G1186" i="8" a="1"/>
  <c r="G1186" i="8" s="1"/>
  <c r="G1187" i="8" a="1"/>
  <c r="G1187" i="8"/>
  <c r="G1188" i="8" a="1"/>
  <c r="G1188" i="8"/>
  <c r="G1189" i="8" a="1"/>
  <c r="G1189" i="8" s="1"/>
  <c r="G1190" i="8" a="1"/>
  <c r="G1190" i="8" s="1"/>
  <c r="G1191" i="8" a="1"/>
  <c r="G1191" i="8"/>
  <c r="G1192" i="8" a="1"/>
  <c r="G1192" i="8" s="1"/>
  <c r="G1193" i="8" a="1"/>
  <c r="G1193" i="8" s="1"/>
  <c r="G1194" i="8" a="1"/>
  <c r="G1194" i="8" s="1"/>
  <c r="G1195" i="8" a="1"/>
  <c r="G1195" i="8"/>
  <c r="G1196" i="8" a="1"/>
  <c r="G1196" i="8" s="1"/>
  <c r="G1197" i="8" a="1"/>
  <c r="G1197" i="8" s="1"/>
  <c r="G1198" i="8" a="1"/>
  <c r="G1198" i="8"/>
  <c r="G1199" i="8" a="1"/>
  <c r="G1199" i="8" s="1"/>
  <c r="G1200" i="8" a="1"/>
  <c r="G1200" i="8" s="1"/>
  <c r="G1201" i="8" a="1"/>
  <c r="G1201" i="8"/>
  <c r="G1202" i="8" a="1"/>
  <c r="G1202" i="8"/>
  <c r="G1203" i="8" a="1"/>
  <c r="G1203" i="8"/>
  <c r="G1204" i="8" a="1"/>
  <c r="G1204" i="8" s="1"/>
  <c r="G1205" i="8" a="1"/>
  <c r="G1205" i="8"/>
  <c r="G1206" i="8" a="1"/>
  <c r="G1206" i="8" s="1"/>
  <c r="G1207" i="8" a="1"/>
  <c r="G1207" i="8" s="1"/>
  <c r="G1208" i="8" a="1"/>
  <c r="G1208" i="8"/>
  <c r="G1209" i="8" a="1"/>
  <c r="G1209" i="8"/>
  <c r="G1210" i="8" a="1"/>
  <c r="G1210" i="8"/>
  <c r="G1211" i="8" a="1"/>
  <c r="G1211" i="8" s="1"/>
  <c r="G1212" i="8" a="1"/>
  <c r="G1212" i="8" s="1"/>
  <c r="G1213" i="8" a="1"/>
  <c r="G1213" i="8" s="1"/>
  <c r="G1214" i="8" a="1"/>
  <c r="G1214" i="8"/>
  <c r="G1215" i="8" a="1"/>
  <c r="G1215" i="8"/>
  <c r="G1216" i="8" a="1"/>
  <c r="G1216" i="8" s="1"/>
  <c r="G1217" i="8" a="1"/>
  <c r="G1217" i="8"/>
  <c r="G1218" i="8" a="1"/>
  <c r="G1218" i="8" s="1"/>
  <c r="G1219" i="8" a="1"/>
  <c r="G1219" i="8"/>
  <c r="G1220" i="8" a="1"/>
  <c r="G1220" i="8" s="1"/>
  <c r="G1221" i="8" a="1"/>
  <c r="G1221" i="8"/>
  <c r="G1222" i="8" a="1"/>
  <c r="G1222" i="8"/>
  <c r="G1223" i="8" a="1"/>
  <c r="G1223" i="8" s="1"/>
  <c r="G1224" i="8" a="1"/>
  <c r="G1224" i="8" s="1"/>
  <c r="G1225" i="8" a="1"/>
  <c r="G1225" i="8" s="1"/>
  <c r="G1226" i="8" a="1"/>
  <c r="G1226" i="8" s="1"/>
  <c r="G1227" i="8" a="1"/>
  <c r="G1227" i="8"/>
  <c r="G1228" i="8" a="1"/>
  <c r="G1228" i="8"/>
  <c r="G1229" i="8" a="1"/>
  <c r="G1229" i="8"/>
  <c r="G1230" i="8" a="1"/>
  <c r="G1230" i="8" s="1"/>
  <c r="G1231" i="8" a="1"/>
  <c r="G1231" i="8" s="1"/>
  <c r="G1232" i="8" a="1"/>
  <c r="G1232" i="8"/>
  <c r="G1233" i="8" a="1"/>
  <c r="G1233" i="8" s="1"/>
  <c r="G1234" i="8" a="1"/>
  <c r="G1234" i="8" s="1"/>
  <c r="G1235" i="8" a="1"/>
  <c r="G1235" i="8"/>
  <c r="G1236" i="8" a="1"/>
  <c r="G1236" i="8" s="1"/>
  <c r="G1237" i="8" a="1"/>
  <c r="G1237" i="8"/>
  <c r="G1238" i="8" a="1"/>
  <c r="G1238" i="8"/>
  <c r="G1239" i="8" a="1"/>
  <c r="G1239" i="8" s="1"/>
  <c r="G1240" i="8" a="1"/>
  <c r="G1240" i="8"/>
  <c r="G1241" i="8" a="1"/>
  <c r="G1241" i="8" s="1"/>
  <c r="G1242" i="8" a="1"/>
  <c r="G1242" i="8" s="1"/>
  <c r="G1243" i="8" a="1"/>
  <c r="G1243" i="8"/>
  <c r="G1244" i="8" a="1"/>
  <c r="G1244" i="8"/>
  <c r="G1245" i="8" a="1"/>
  <c r="G1245" i="8"/>
  <c r="G1246" i="8" a="1"/>
  <c r="G1246" i="8" s="1"/>
  <c r="G1247" i="8" a="1"/>
  <c r="G1247" i="8"/>
  <c r="G1248" i="8" a="1"/>
  <c r="G1248" i="8" s="1"/>
  <c r="G1249" i="8" a="1"/>
  <c r="G1249" i="8" s="1"/>
  <c r="G1250" i="8" a="1"/>
  <c r="G1250" i="8"/>
  <c r="G1251" i="8" a="1"/>
  <c r="G1251" i="8" s="1"/>
  <c r="G1252" i="8" a="1"/>
  <c r="G1252" i="8" s="1"/>
  <c r="G1253" i="8" a="1"/>
  <c r="G1253" i="8" s="1"/>
  <c r="G1254" i="8" a="1"/>
  <c r="G1254" i="8" s="1"/>
  <c r="G1255" i="8" a="1"/>
  <c r="G1255" i="8" s="1"/>
  <c r="G1256" i="8" a="1"/>
  <c r="G1256" i="8" s="1"/>
  <c r="G1257" i="8" a="1"/>
  <c r="G1257" i="8"/>
  <c r="G1258" i="8" a="1"/>
  <c r="G1258" i="8"/>
  <c r="G1259" i="8" a="1"/>
  <c r="G1259" i="8"/>
  <c r="G1260" i="8" a="1"/>
  <c r="G1260" i="8" s="1"/>
  <c r="G1261" i="8" a="1"/>
  <c r="G1261" i="8" s="1"/>
  <c r="G1262" i="8" a="1"/>
  <c r="G1262" i="8"/>
  <c r="G1263" i="8" a="1"/>
  <c r="G1263" i="8" s="1"/>
  <c r="G1264" i="8" a="1"/>
  <c r="G1264" i="8" s="1"/>
  <c r="G1265" i="8" a="1"/>
  <c r="G1265" i="8"/>
  <c r="G1266" i="8" a="1"/>
  <c r="G1266" i="8" s="1"/>
  <c r="G1267" i="8" a="1"/>
  <c r="G1267" i="8" s="1"/>
  <c r="G1268" i="8" a="1"/>
  <c r="G1268" i="8" s="1"/>
  <c r="G1269" i="8" a="1"/>
  <c r="G1269" i="8" s="1"/>
  <c r="G1270" i="8" a="1"/>
  <c r="G1270" i="8"/>
  <c r="G1271" i="8" a="1"/>
  <c r="G1271" i="8" s="1"/>
  <c r="G1272" i="8" a="1"/>
  <c r="G1272" i="8" s="1"/>
  <c r="G1273" i="8" a="1"/>
  <c r="G1273" i="8"/>
  <c r="G1274" i="8" a="1"/>
  <c r="G1274" i="8"/>
  <c r="G1275" i="8" a="1"/>
  <c r="G1275" i="8" s="1"/>
  <c r="G1276" i="8" a="1"/>
  <c r="G1276" i="8" s="1"/>
  <c r="G1277" i="8" a="1"/>
  <c r="G1277" i="8" s="1"/>
  <c r="G1278" i="8" a="1"/>
  <c r="G1278" i="8" s="1"/>
  <c r="G1279" i="8" a="1"/>
  <c r="G1279" i="8" s="1"/>
  <c r="G1280" i="8" a="1"/>
  <c r="G1280" i="8"/>
  <c r="G1281" i="8" a="1"/>
  <c r="G1281" i="8"/>
  <c r="G1282" i="8" a="1"/>
  <c r="G1282" i="8"/>
  <c r="G1283" i="8" a="1"/>
  <c r="G1283" i="8"/>
  <c r="G1284" i="8" a="1"/>
  <c r="G1284" i="8" s="1"/>
  <c r="G1285" i="8" a="1"/>
  <c r="G1285" i="8" s="1"/>
  <c r="G1286" i="8" a="1"/>
  <c r="G1286" i="8" s="1"/>
  <c r="G1287" i="8" a="1"/>
  <c r="G1287" i="8" s="1"/>
  <c r="G1288" i="8" a="1"/>
  <c r="G1288" i="8" s="1"/>
  <c r="G1289" i="8" a="1"/>
  <c r="G1289" i="8"/>
  <c r="G1290" i="8" a="1"/>
  <c r="G1290" i="8" s="1"/>
  <c r="G1291" i="8" a="1"/>
  <c r="G1291" i="8"/>
  <c r="G1292" i="8" a="1"/>
  <c r="G1292" i="8" s="1"/>
  <c r="G1293" i="8" a="1"/>
  <c r="G1293" i="8" s="1"/>
  <c r="G1294" i="8" a="1"/>
  <c r="G1294" i="8" s="1"/>
  <c r="G1295" i="8" a="1"/>
  <c r="G1295" i="8"/>
  <c r="G1296" i="8" a="1"/>
  <c r="G1296" i="8" s="1"/>
  <c r="G1297" i="8" a="1"/>
  <c r="G1297" i="8" s="1"/>
  <c r="G1298" i="8" a="1"/>
  <c r="G1298" i="8" s="1"/>
  <c r="G1299" i="8" a="1"/>
  <c r="G1299" i="8"/>
  <c r="G1300" i="8" a="1"/>
  <c r="G1300" i="8" s="1"/>
  <c r="G1301" i="8" a="1"/>
  <c r="G1301" i="8" s="1"/>
  <c r="G1302" i="8" a="1"/>
  <c r="G1302" i="8" s="1"/>
  <c r="G1303" i="8" a="1"/>
  <c r="G1303" i="8"/>
  <c r="G1304" i="8" a="1"/>
  <c r="G1304" i="8"/>
  <c r="G1305" i="8" a="1"/>
  <c r="G1305" i="8" s="1"/>
  <c r="G1306" i="8" a="1"/>
  <c r="G1306" i="8" s="1"/>
  <c r="G1307" i="8" a="1"/>
  <c r="G1307" i="8" s="1"/>
  <c r="G1308" i="8" a="1"/>
  <c r="G1308" i="8" s="1"/>
  <c r="G1309" i="8" a="1"/>
  <c r="G1309" i="8" s="1"/>
  <c r="G1310" i="8" a="1"/>
  <c r="G1310" i="8" s="1"/>
  <c r="G1311" i="8" a="1"/>
  <c r="G1311" i="8" s="1"/>
  <c r="G1312" i="8" a="1"/>
  <c r="G1312" i="8"/>
  <c r="G1313" i="8" a="1"/>
  <c r="G1313" i="8"/>
  <c r="G1314" i="8" a="1"/>
  <c r="G1314" i="8" s="1"/>
  <c r="G1315" i="8" a="1"/>
  <c r="G1315" i="8" s="1"/>
  <c r="G1316" i="8" a="1"/>
  <c r="G1316" i="8"/>
  <c r="G1317" i="8" a="1"/>
  <c r="G1317" i="8" s="1"/>
  <c r="G1318" i="8" a="1"/>
  <c r="G1318" i="8" s="1"/>
  <c r="G1319" i="8" a="1"/>
  <c r="G1319" i="8" s="1"/>
  <c r="G1320" i="8" a="1"/>
  <c r="G1320" i="8" s="1"/>
  <c r="G1321" i="8" a="1"/>
  <c r="G1321" i="8" s="1"/>
  <c r="G1322" i="8" a="1"/>
  <c r="G1322" i="8" s="1"/>
  <c r="G1323" i="8" a="1"/>
  <c r="G1323" i="8" s="1"/>
  <c r="G1324" i="8" a="1"/>
  <c r="G1324" i="8" s="1"/>
  <c r="G1325" i="8" a="1"/>
  <c r="G1325" i="8" s="1"/>
  <c r="G1326" i="8" a="1"/>
  <c r="G1326" i="8" s="1"/>
  <c r="G1327" i="8" a="1"/>
  <c r="G1327" i="8" s="1"/>
  <c r="G1328" i="8" a="1"/>
  <c r="G1328" i="8"/>
  <c r="G1329" i="8" a="1"/>
  <c r="G1329" i="8"/>
  <c r="G1330" i="8" a="1"/>
  <c r="G1330" i="8" s="1"/>
  <c r="G1331" i="8" a="1"/>
  <c r="G1331" i="8" s="1"/>
  <c r="G1332" i="8" a="1"/>
  <c r="G1332" i="8" s="1"/>
  <c r="G1333" i="8" a="1"/>
  <c r="G1333" i="8"/>
  <c r="G1334" i="8" a="1"/>
  <c r="G1334" i="8" s="1"/>
  <c r="G1335" i="8" a="1"/>
  <c r="G1335" i="8" s="1"/>
  <c r="G1336" i="8" a="1"/>
  <c r="G1336" i="8" s="1"/>
  <c r="G1337" i="8" a="1"/>
  <c r="G1337" i="8"/>
  <c r="G1338" i="8" a="1"/>
  <c r="G1338" i="8" s="1"/>
  <c r="G1339" i="8" a="1"/>
  <c r="G1339" i="8" s="1"/>
  <c r="G1340" i="8" a="1"/>
  <c r="G1340" i="8"/>
  <c r="G1341" i="8" a="1"/>
  <c r="G1341" i="8" s="1"/>
  <c r="G1342" i="8" a="1"/>
  <c r="G1342" i="8" s="1"/>
  <c r="G1343" i="8" a="1"/>
  <c r="G1343" i="8"/>
  <c r="G1344" i="8" a="1"/>
  <c r="G1344" i="8" s="1"/>
  <c r="G1345" i="8" a="1"/>
  <c r="G1345" i="8"/>
  <c r="G1346" i="8" a="1"/>
  <c r="G1346" i="8" s="1"/>
  <c r="G1347" i="8" a="1"/>
  <c r="G1347" i="8" s="1"/>
  <c r="G1348" i="8" a="1"/>
  <c r="G1348" i="8" s="1"/>
  <c r="G1349" i="8" a="1"/>
  <c r="G1349" i="8" s="1"/>
  <c r="G1350" i="8" a="1"/>
  <c r="G1350" i="8" s="1"/>
  <c r="G1351" i="8" a="1"/>
  <c r="G1351" i="8" s="1"/>
  <c r="G1352" i="8" a="1"/>
  <c r="G1352" i="8" s="1"/>
  <c r="G1353" i="8" a="1"/>
  <c r="G1353" i="8"/>
  <c r="G1354" i="8" a="1"/>
  <c r="G1354" i="8"/>
  <c r="G1355" i="8" a="1"/>
  <c r="G1355" i="8" s="1"/>
  <c r="G1356" i="8" a="1"/>
  <c r="G1356" i="8" s="1"/>
  <c r="G1357" i="8" a="1"/>
  <c r="G1357" i="8" s="1"/>
  <c r="G1358" i="8" a="1"/>
  <c r="G1358" i="8"/>
  <c r="G1359" i="8" a="1"/>
  <c r="G1359" i="8" s="1"/>
  <c r="G1360" i="8" a="1"/>
  <c r="G1360" i="8" s="1"/>
  <c r="G1361" i="8" a="1"/>
  <c r="G1361" i="8" s="1"/>
  <c r="G1362" i="8" a="1"/>
  <c r="G1362" i="8" s="1"/>
  <c r="G1363" i="8" a="1"/>
  <c r="G1363" i="8"/>
  <c r="G1364" i="8" a="1"/>
  <c r="G1364" i="8" s="1"/>
  <c r="G1365" i="8" a="1"/>
  <c r="G1365" i="8" s="1"/>
  <c r="G1366" i="8" a="1"/>
  <c r="G1366" i="8" s="1"/>
  <c r="G1367" i="8" a="1"/>
  <c r="G1367" i="8" s="1"/>
  <c r="G1368" i="8" a="1"/>
  <c r="G1368" i="8" s="1"/>
  <c r="G1369" i="8" a="1"/>
  <c r="G1369" i="8" s="1"/>
  <c r="G1370" i="8" a="1"/>
  <c r="G1370" i="8" s="1"/>
  <c r="G1371" i="8" a="1"/>
  <c r="G1371" i="8"/>
  <c r="G1372" i="8" a="1"/>
  <c r="G1372" i="8" s="1"/>
  <c r="G1373" i="8" a="1"/>
  <c r="G1373" i="8" s="1"/>
  <c r="G1374" i="8" a="1"/>
  <c r="G1374" i="8" s="1"/>
  <c r="G1375" i="8" a="1"/>
  <c r="G1375" i="8"/>
  <c r="G1376" i="8" a="1"/>
  <c r="G1376" i="8" s="1"/>
  <c r="G1377" i="8" a="1"/>
  <c r="G1377" i="8" s="1"/>
  <c r="G1378" i="8" a="1"/>
  <c r="G1378" i="8" s="1"/>
  <c r="G1379" i="8" a="1"/>
  <c r="G1379" i="8"/>
  <c r="G1380" i="8" a="1"/>
  <c r="G1380" i="8" s="1"/>
  <c r="G1381" i="8" a="1"/>
  <c r="G1381" i="8" s="1"/>
  <c r="G1382" i="8" a="1"/>
  <c r="G1382" i="8" s="1"/>
  <c r="G1383" i="8" a="1"/>
  <c r="G1383" i="8" s="1"/>
  <c r="G1384" i="8" a="1"/>
  <c r="G1384" i="8"/>
  <c r="G1385" i="8" a="1"/>
  <c r="G1385" i="8" s="1"/>
  <c r="G1386" i="8" a="1"/>
  <c r="G1386" i="8" s="1"/>
  <c r="G1387" i="8" a="1"/>
  <c r="G1387" i="8"/>
  <c r="G1388" i="8" a="1"/>
  <c r="G1388" i="8"/>
  <c r="G1389" i="8" a="1"/>
  <c r="G1389" i="8"/>
  <c r="G1390" i="8" a="1"/>
  <c r="G1390" i="8" s="1"/>
  <c r="G1391" i="8" a="1"/>
  <c r="G1391" i="8" s="1"/>
  <c r="G1392" i="8" a="1"/>
  <c r="G1392" i="8" s="1"/>
  <c r="G1393" i="8" a="1"/>
  <c r="G1393" i="8" s="1"/>
  <c r="G1394" i="8" a="1"/>
  <c r="G1394" i="8" s="1"/>
  <c r="G1395" i="8" a="1"/>
  <c r="G1395" i="8" s="1"/>
  <c r="G1396" i="8" a="1"/>
  <c r="G1396" i="8" s="1"/>
  <c r="G1397" i="8" a="1"/>
  <c r="G1397" i="8"/>
  <c r="G1398" i="8" a="1"/>
  <c r="G1398" i="8" s="1"/>
  <c r="G1399" i="8" a="1"/>
  <c r="G1399" i="8"/>
  <c r="G1400" i="8" a="1"/>
  <c r="G1400" i="8" s="1"/>
  <c r="G1401" i="8" a="1"/>
  <c r="G1401" i="8" s="1"/>
  <c r="G1402" i="8" a="1"/>
  <c r="G1402" i="8"/>
  <c r="G1403" i="8" a="1"/>
  <c r="G1403" i="8" s="1"/>
  <c r="G1404" i="8" a="1"/>
  <c r="G1404" i="8" s="1"/>
  <c r="G1405" i="8" a="1"/>
  <c r="G1405" i="8"/>
  <c r="G1406" i="8" a="1"/>
  <c r="G1406" i="8" s="1"/>
  <c r="G1407" i="8" a="1"/>
  <c r="G1407" i="8" s="1"/>
  <c r="G1408" i="8" a="1"/>
  <c r="G1408" i="8" s="1"/>
  <c r="G1409" i="8" a="1"/>
  <c r="G1409" i="8" s="1"/>
  <c r="G1410" i="8" a="1"/>
  <c r="G1410" i="8" s="1"/>
  <c r="G1411" i="8" a="1"/>
  <c r="G1411" i="8" s="1"/>
  <c r="G1412" i="8" a="1"/>
  <c r="G1412" i="8"/>
  <c r="G1413" i="8" a="1"/>
  <c r="G1413" i="8"/>
  <c r="G1414" i="8" a="1"/>
  <c r="G1414" i="8"/>
  <c r="G1415" i="8" a="1"/>
  <c r="G1415" i="8"/>
  <c r="G1416" i="8" a="1"/>
  <c r="G1416" i="8" s="1"/>
  <c r="G1417" i="8" a="1"/>
  <c r="G1417" i="8"/>
  <c r="G1418" i="8" a="1"/>
  <c r="G1418" i="8" s="1"/>
  <c r="G1419" i="8" a="1"/>
  <c r="G1419" i="8" s="1"/>
  <c r="G1420" i="8" a="1"/>
  <c r="G1420" i="8" s="1"/>
  <c r="G1421" i="8" a="1"/>
  <c r="G1421" i="8" s="1"/>
  <c r="G1422" i="8" a="1"/>
  <c r="G1422" i="8" s="1"/>
  <c r="G1423" i="8" a="1"/>
  <c r="G1423" i="8" s="1"/>
  <c r="G1424" i="8" a="1"/>
  <c r="G1424" i="8" s="1"/>
  <c r="G1425" i="8" a="1"/>
  <c r="G1425" i="8" s="1"/>
  <c r="G1426" i="8" a="1"/>
  <c r="G1426" i="8"/>
  <c r="G1427" i="8" a="1"/>
  <c r="G1427" i="8" s="1"/>
  <c r="G1428" i="8" a="1"/>
  <c r="G1428" i="8" s="1"/>
  <c r="G1429" i="8" a="1"/>
  <c r="G1429" i="8" s="1"/>
  <c r="G1430" i="8" a="1"/>
  <c r="G1430" i="8"/>
  <c r="G1431" i="8" a="1"/>
  <c r="G1431" i="8" s="1"/>
  <c r="G1432" i="8" a="1"/>
  <c r="G1432" i="8" s="1"/>
  <c r="G1433" i="8" a="1"/>
  <c r="G1433" i="8" s="1"/>
  <c r="G1434" i="8" a="1"/>
  <c r="G1434" i="8" s="1"/>
  <c r="G1435" i="8" a="1"/>
  <c r="G1435" i="8" s="1"/>
  <c r="G1436" i="8" a="1"/>
  <c r="G1436" i="8" s="1"/>
  <c r="G1437" i="8" a="1"/>
  <c r="G1437" i="8" s="1"/>
  <c r="G1438" i="8" a="1"/>
  <c r="G1438" i="8"/>
  <c r="G1439" i="8" a="1"/>
  <c r="G1439" i="8"/>
  <c r="G1440" i="8" a="1"/>
  <c r="G1440" i="8" s="1"/>
  <c r="G1441" i="8" a="1"/>
  <c r="G1441" i="8" s="1"/>
  <c r="G1442" i="8" a="1"/>
  <c r="G1442" i="8" s="1"/>
  <c r="G1443" i="8" a="1"/>
  <c r="G1443" i="8" s="1"/>
  <c r="G1444" i="8" a="1"/>
  <c r="G1444" i="8" s="1"/>
  <c r="G1445" i="8" a="1"/>
  <c r="G1445" i="8" s="1"/>
  <c r="G1446" i="8" a="1"/>
  <c r="G1446" i="8" s="1"/>
  <c r="G1447" i="8" a="1"/>
  <c r="G1447" i="8"/>
  <c r="G1448" i="8" a="1"/>
  <c r="G1448" i="8"/>
  <c r="G1449" i="8" a="1"/>
  <c r="G1449" i="8" s="1"/>
  <c r="G1450" i="8" a="1"/>
  <c r="G1450" i="8" s="1"/>
  <c r="G1451" i="8" a="1"/>
  <c r="G1451" i="8" s="1"/>
  <c r="G1452" i="8" a="1"/>
  <c r="G1452" i="8" s="1"/>
  <c r="G1453" i="8" a="1"/>
  <c r="G1453" i="8" s="1"/>
  <c r="G1454" i="8" a="1"/>
  <c r="G1454" i="8" s="1"/>
  <c r="G1455" i="8" a="1"/>
  <c r="G1455" i="8"/>
  <c r="G1456" i="8" a="1"/>
  <c r="G1456" i="8" s="1"/>
  <c r="G1457" i="8" a="1"/>
  <c r="G1457" i="8" s="1"/>
  <c r="G1458" i="8" a="1"/>
  <c r="G1458" i="8" s="1"/>
  <c r="G1459" i="8" a="1"/>
  <c r="G1459" i="8" s="1"/>
  <c r="G1460" i="8" a="1"/>
  <c r="G1460" i="8" s="1"/>
  <c r="G1461" i="8" a="1"/>
  <c r="G1461" i="8"/>
  <c r="G1462" i="8" a="1"/>
  <c r="G1462" i="8" s="1"/>
  <c r="G1463" i="8" a="1"/>
  <c r="G1463" i="8" s="1"/>
  <c r="G1464" i="8" a="1"/>
  <c r="G1464" i="8" s="1"/>
  <c r="G1465" i="8" a="1"/>
  <c r="G1465" i="8" s="1"/>
  <c r="G1466" i="8" a="1"/>
  <c r="G1466" i="8" s="1"/>
  <c r="G1467" i="8" a="1"/>
  <c r="G1467" i="8" s="1"/>
  <c r="G1468" i="8" a="1"/>
  <c r="G1468" i="8" s="1"/>
  <c r="G1469" i="8" a="1"/>
  <c r="G1469" i="8" s="1"/>
  <c r="G1470" i="8" a="1"/>
  <c r="G1470" i="8" s="1"/>
  <c r="G1471" i="8" a="1"/>
  <c r="G1471" i="8"/>
  <c r="G1472" i="8" a="1"/>
  <c r="G1472" i="8" s="1"/>
  <c r="G1473" i="8" a="1"/>
  <c r="G1473" i="8" s="1"/>
  <c r="G1474" i="8" a="1"/>
  <c r="G1474" i="8"/>
  <c r="G1475" i="8" a="1"/>
  <c r="G1475" i="8" s="1"/>
  <c r="G1476" i="8" a="1"/>
  <c r="G1476" i="8" s="1"/>
  <c r="G1477" i="8" a="1"/>
  <c r="G1477" i="8"/>
  <c r="G1478" i="8" a="1"/>
  <c r="G1478" i="8" s="1"/>
  <c r="G1479" i="8" a="1"/>
  <c r="G1479" i="8" s="1"/>
  <c r="G1480" i="8" a="1"/>
  <c r="G1480" i="8" s="1"/>
  <c r="G1481" i="8" a="1"/>
  <c r="G1481" i="8" s="1"/>
  <c r="G1482" i="8" a="1"/>
  <c r="G1482" i="8" s="1"/>
  <c r="G1483" i="8" a="1"/>
  <c r="G1483" i="8" s="1"/>
  <c r="G1484" i="8" a="1"/>
  <c r="G1484" i="8"/>
  <c r="G1485" i="8" a="1"/>
  <c r="G1485" i="8" s="1"/>
  <c r="G1486" i="8" a="1"/>
  <c r="G1486" i="8"/>
  <c r="G1487" i="8" a="1"/>
  <c r="G1487" i="8"/>
  <c r="G1488" i="8" a="1"/>
  <c r="G1488" i="8" s="1"/>
  <c r="G1489" i="8" a="1"/>
  <c r="G1489" i="8"/>
  <c r="G1490" i="8" a="1"/>
  <c r="G1490" i="8" s="1"/>
  <c r="G1491" i="8" a="1"/>
  <c r="G1491" i="8" s="1"/>
  <c r="G1492" i="8" a="1"/>
  <c r="G1492" i="8" s="1"/>
  <c r="G1493" i="8" a="1"/>
  <c r="G1493" i="8" s="1"/>
  <c r="G1494" i="8" a="1"/>
  <c r="G1494" i="8" s="1"/>
  <c r="G1495" i="8" a="1"/>
  <c r="G1495" i="8" s="1"/>
  <c r="G1496" i="8" a="1"/>
  <c r="G1496" i="8" s="1"/>
  <c r="G1497" i="8" a="1"/>
  <c r="G1497" i="8"/>
  <c r="G1498" i="8" a="1"/>
  <c r="G1498" i="8"/>
  <c r="G1499" i="8" a="1"/>
  <c r="G1499" i="8" s="1"/>
  <c r="G1500" i="8" a="1"/>
  <c r="G1500" i="8" s="1"/>
  <c r="G1501" i="8" a="1"/>
  <c r="G1501" i="8" s="1"/>
  <c r="G1502" i="8" a="1"/>
  <c r="G1502" i="8" s="1"/>
  <c r="G1503" i="8" a="1"/>
  <c r="G1503" i="8"/>
  <c r="G1504" i="8" a="1"/>
  <c r="G1504" i="8" s="1"/>
  <c r="G1505" i="8" a="1"/>
  <c r="G1505" i="8" s="1"/>
  <c r="G1506" i="8" a="1"/>
  <c r="G1506" i="8" s="1"/>
  <c r="G1507" i="8" a="1"/>
  <c r="G1507" i="8" s="1"/>
  <c r="G1508" i="8" a="1"/>
  <c r="G1508" i="8" s="1"/>
  <c r="G1509" i="8" a="1"/>
  <c r="G1509" i="8" s="1"/>
  <c r="G1510" i="8" a="1"/>
  <c r="G1510" i="8" s="1"/>
  <c r="G1511" i="8" a="1"/>
  <c r="G1511" i="8"/>
  <c r="G1512" i="8" a="1"/>
  <c r="G1512" i="8" s="1"/>
  <c r="G1513" i="8" a="1"/>
  <c r="G1513" i="8" s="1"/>
  <c r="G1514" i="8" a="1"/>
  <c r="G1514" i="8" s="1"/>
  <c r="G1515" i="8" a="1"/>
  <c r="G1515" i="8"/>
  <c r="G1516" i="8" a="1"/>
  <c r="G1516" i="8" s="1"/>
  <c r="G1517" i="8" a="1"/>
  <c r="G1517" i="8" s="1"/>
  <c r="G1518" i="8" a="1"/>
  <c r="G1518" i="8" s="1"/>
  <c r="G1519" i="8" a="1"/>
  <c r="G1519" i="8" s="1"/>
  <c r="G1520" i="8" a="1"/>
  <c r="G1520" i="8"/>
  <c r="G1521" i="8" a="1"/>
  <c r="G1521" i="8" s="1"/>
  <c r="G1522" i="8" a="1"/>
  <c r="G1522" i="8" s="1"/>
  <c r="G1523" i="8" a="1"/>
  <c r="G1523" i="8"/>
  <c r="G1524" i="8" a="1"/>
  <c r="G1524" i="8" s="1"/>
  <c r="G1525" i="8" a="1"/>
  <c r="G1525" i="8" s="1"/>
  <c r="G1526" i="8" a="1"/>
  <c r="G1526" i="8" s="1"/>
  <c r="G1527" i="8" a="1"/>
  <c r="G1527" i="8" s="1"/>
  <c r="G1528" i="8" a="1"/>
  <c r="G1528" i="8" s="1"/>
  <c r="G1529" i="8" a="1"/>
  <c r="G1529" i="8"/>
  <c r="G1530" i="8" a="1"/>
  <c r="G1530" i="8" s="1"/>
  <c r="G1531" i="8" a="1"/>
  <c r="G1531" i="8" s="1"/>
  <c r="G1532" i="8" a="1"/>
  <c r="G1532" i="8" s="1"/>
  <c r="G1533" i="8" a="1"/>
  <c r="G1533" i="8"/>
  <c r="G1534" i="8" a="1"/>
  <c r="G1534" i="8" s="1"/>
  <c r="G1535" i="8" a="1"/>
  <c r="G1535" i="8" s="1"/>
  <c r="G1536" i="8" a="1"/>
  <c r="G1536" i="8" s="1"/>
  <c r="G1537" i="8" a="1"/>
  <c r="G1537" i="8" s="1"/>
  <c r="G1538" i="8" a="1"/>
  <c r="G1538" i="8" s="1"/>
  <c r="G1539" i="8" a="1"/>
  <c r="G1539" i="8" s="1"/>
  <c r="G1540" i="8" a="1"/>
  <c r="G1540" i="8" s="1"/>
  <c r="G1541" i="8" a="1"/>
  <c r="G1541" i="8"/>
  <c r="G1542" i="8" a="1"/>
  <c r="G1542" i="8" s="1"/>
  <c r="G1543" i="8" a="1"/>
  <c r="G1543" i="8"/>
  <c r="G1544" i="8" a="1"/>
  <c r="G1544" i="8" s="1"/>
  <c r="G1545" i="8" a="1"/>
  <c r="G1545" i="8"/>
  <c r="G1546" i="8" a="1"/>
  <c r="G1546" i="8"/>
  <c r="G1547" i="8" a="1"/>
  <c r="G1547" i="8" s="1"/>
  <c r="G1548" i="8" a="1"/>
  <c r="G1548" i="8" s="1"/>
  <c r="G1549" i="8" a="1"/>
  <c r="G1549" i="8" s="1"/>
  <c r="G1550" i="8" a="1"/>
  <c r="G1550" i="8" s="1"/>
  <c r="G1551" i="8" a="1"/>
  <c r="G1551" i="8" s="1"/>
  <c r="G1552" i="8" a="1"/>
  <c r="G1552" i="8" s="1"/>
  <c r="G1553" i="8" a="1"/>
  <c r="G1553" i="8" s="1"/>
  <c r="G1554" i="8" a="1"/>
  <c r="G1554" i="8" s="1"/>
  <c r="G1555" i="8" a="1"/>
  <c r="G1555" i="8" s="1"/>
  <c r="G1556" i="8" a="1"/>
  <c r="G1556" i="8"/>
  <c r="G1557" i="8" a="1"/>
  <c r="G1557" i="8"/>
  <c r="G1558" i="8" a="1"/>
  <c r="G1558" i="8"/>
  <c r="G1559" i="8" a="1"/>
  <c r="G1559" i="8" s="1"/>
  <c r="G1560" i="8" a="1"/>
  <c r="G1560" i="8" s="1"/>
  <c r="G1561" i="8" a="1"/>
  <c r="G1561" i="8" s="1"/>
  <c r="G1562" i="8" a="1"/>
  <c r="G1562" i="8"/>
  <c r="G1563" i="8" a="1"/>
  <c r="G1563" i="8" s="1"/>
  <c r="G1564" i="8" a="1"/>
  <c r="G1564" i="8" s="1"/>
  <c r="G1565" i="8" a="1"/>
  <c r="G1565" i="8" s="1"/>
  <c r="G1566" i="8" a="1"/>
  <c r="G1566" i="8" s="1"/>
  <c r="G1567" i="8" a="1"/>
  <c r="G1567" i="8" s="1"/>
  <c r="G1568" i="8" a="1"/>
  <c r="G1568" i="8" s="1"/>
  <c r="G1569" i="8" a="1"/>
  <c r="G1569" i="8"/>
  <c r="G1570" i="8" a="1"/>
  <c r="G1570" i="8" s="1"/>
  <c r="G1571" i="8" a="1"/>
  <c r="G1571" i="8"/>
  <c r="G1572" i="8" a="1"/>
  <c r="G1572" i="8" s="1"/>
  <c r="G1573" i="8" a="1"/>
  <c r="G1573" i="8"/>
  <c r="G1574" i="8" a="1"/>
  <c r="G1574" i="8"/>
  <c r="G1575" i="8" a="1"/>
  <c r="G1575" i="8" s="1"/>
  <c r="G1576" i="8" a="1"/>
  <c r="G1576" i="8" s="1"/>
  <c r="G1577" i="8" a="1"/>
  <c r="G1577" i="8" s="1"/>
  <c r="G1578" i="8" a="1"/>
  <c r="G1578" i="8" s="1"/>
  <c r="G1579" i="8" a="1"/>
  <c r="G1579" i="8"/>
  <c r="G1580" i="8" a="1"/>
  <c r="G1580" i="8" s="1"/>
  <c r="G1581" i="8" a="1"/>
  <c r="G1581" i="8" s="1"/>
  <c r="G1582" i="8" a="1"/>
  <c r="G1582" i="8" s="1"/>
  <c r="G1583" i="8" a="1"/>
  <c r="G1583" i="8" s="1"/>
  <c r="G1584" i="8" a="1"/>
  <c r="G1584" i="8" s="1"/>
  <c r="G1585" i="8" a="1"/>
  <c r="G1585" i="8" s="1"/>
  <c r="G1586" i="8" a="1"/>
  <c r="G1586" i="8" s="1"/>
  <c r="G1587" i="8" a="1"/>
  <c r="G1587" i="8"/>
  <c r="G1588" i="8" a="1"/>
  <c r="G1588" i="8"/>
  <c r="G1589" i="8" a="1"/>
  <c r="G1589" i="8" s="1"/>
  <c r="G1590" i="8" a="1"/>
  <c r="G1590" i="8" s="1"/>
  <c r="G1591" i="8" a="1"/>
  <c r="G1591" i="8" s="1"/>
  <c r="G1592" i="8" a="1"/>
  <c r="G1592" i="8"/>
  <c r="G1593" i="8" a="1"/>
  <c r="G1593" i="8" s="1"/>
  <c r="G1594" i="8" a="1"/>
  <c r="G1594" i="8" s="1"/>
  <c r="G1595" i="8" a="1"/>
  <c r="G1595" i="8"/>
  <c r="G1596" i="8" a="1"/>
  <c r="G1596" i="8" s="1"/>
  <c r="G1597" i="8" a="1"/>
  <c r="G1597" i="8" s="1"/>
  <c r="G1598" i="8" a="1"/>
  <c r="G1598" i="8" s="1"/>
  <c r="G1599" i="8" a="1"/>
  <c r="G1599" i="8" s="1"/>
  <c r="G1600" i="8" a="1"/>
  <c r="G1600" i="8" s="1"/>
  <c r="G1601" i="8" a="1"/>
  <c r="G1601" i="8"/>
  <c r="G1602" i="8" a="1"/>
  <c r="G1602" i="8" s="1"/>
  <c r="G1603" i="8" a="1"/>
  <c r="G1603" i="8" s="1"/>
  <c r="G1604" i="8" a="1"/>
  <c r="G1604" i="8"/>
  <c r="G1605" i="8" a="1"/>
  <c r="G1605" i="8"/>
  <c r="G1606" i="8" a="1"/>
  <c r="G1606" i="8" s="1"/>
  <c r="G1607" i="8" a="1"/>
  <c r="G1607" i="8" s="1"/>
  <c r="G1608" i="8" a="1"/>
  <c r="G1608" i="8" s="1"/>
  <c r="G1609" i="8" a="1"/>
  <c r="G1609" i="8" s="1"/>
  <c r="G1610" i="8" a="1"/>
  <c r="G1610" i="8" s="1"/>
  <c r="G1611" i="8" a="1"/>
  <c r="G1611" i="8" s="1"/>
  <c r="G1612" i="8" a="1"/>
  <c r="G1612" i="8" s="1"/>
  <c r="G1613" i="8" a="1"/>
  <c r="G1613" i="8"/>
  <c r="G1614" i="8" a="1"/>
  <c r="G1614" i="8" s="1"/>
  <c r="G1615" i="8" a="1"/>
  <c r="G1615" i="8"/>
  <c r="G1616" i="8" a="1"/>
  <c r="G1616" i="8"/>
  <c r="G1617" i="8" a="1"/>
  <c r="G1617" i="8" s="1"/>
  <c r="G1618" i="8" a="1"/>
  <c r="G1618" i="8" s="1"/>
  <c r="G1619" i="8" a="1"/>
  <c r="G1619" i="8" s="1"/>
  <c r="G1620" i="8" a="1"/>
  <c r="G1620" i="8" s="1"/>
  <c r="G1621" i="8" a="1"/>
  <c r="G1621" i="8"/>
  <c r="G1622" i="8" a="1"/>
  <c r="G1622" i="8" s="1"/>
  <c r="G1623" i="8" a="1"/>
  <c r="G1623" i="8" s="1"/>
  <c r="G1624" i="8" a="1"/>
  <c r="G1624" i="8" s="1"/>
  <c r="G1625" i="8" a="1"/>
  <c r="G1625" i="8" s="1"/>
  <c r="G1626" i="8" a="1"/>
  <c r="G1626" i="8" s="1"/>
  <c r="G1627" i="8" a="1"/>
  <c r="G1627" i="8" s="1"/>
  <c r="G1628" i="8" a="1"/>
  <c r="G1628" i="8" s="1"/>
  <c r="G1629" i="8" a="1"/>
  <c r="G1629" i="8"/>
  <c r="G1630" i="8" a="1"/>
  <c r="G1630" i="8"/>
  <c r="G1631" i="8" a="1"/>
  <c r="G1631" i="8" s="1"/>
  <c r="G1632" i="8" a="1"/>
  <c r="G1632" i="8" s="1"/>
  <c r="G1633" i="8" a="1"/>
  <c r="G1633" i="8" s="1"/>
  <c r="G1634" i="8" a="1"/>
  <c r="G1634" i="8" s="1"/>
  <c r="G1635" i="8" a="1"/>
  <c r="G1635" i="8" s="1"/>
  <c r="G1636" i="8" a="1"/>
  <c r="G1636" i="8" s="1"/>
  <c r="G1637" i="8" a="1"/>
  <c r="G1637" i="8" s="1"/>
  <c r="G1638" i="8" a="1"/>
  <c r="G1638" i="8" s="1"/>
  <c r="G1639" i="8" a="1"/>
  <c r="G1639" i="8" s="1"/>
  <c r="G1640" i="8" a="1"/>
  <c r="G1640" i="8" s="1"/>
  <c r="G1641" i="8" a="1"/>
  <c r="G1641" i="8"/>
  <c r="G1642" i="8" a="1"/>
  <c r="G1642" i="8" s="1"/>
  <c r="G1643" i="8" a="1"/>
  <c r="G1643" i="8" s="1"/>
  <c r="G1644" i="8" a="1"/>
  <c r="G1644" i="8" s="1"/>
  <c r="G1645" i="8" a="1"/>
  <c r="G1645" i="8" s="1"/>
  <c r="G1646" i="8" a="1"/>
  <c r="G1646" i="8"/>
  <c r="G1647" i="8" a="1"/>
  <c r="G1647" i="8"/>
  <c r="G1648" i="8" a="1"/>
  <c r="G1648" i="8" s="1"/>
  <c r="G1649" i="8" a="1"/>
  <c r="G1649" i="8" s="1"/>
  <c r="G1650" i="8" a="1"/>
  <c r="G1650" i="8" s="1"/>
  <c r="G1651" i="8" a="1"/>
  <c r="G1651" i="8"/>
  <c r="G1652" i="8" a="1"/>
  <c r="G1652" i="8" s="1"/>
  <c r="G1653" i="8" a="1"/>
  <c r="G1653" i="8" s="1"/>
  <c r="G1654" i="8" a="1"/>
  <c r="G1654" i="8"/>
  <c r="G1655" i="8" a="1"/>
  <c r="G1655" i="8"/>
  <c r="G1656" i="8" a="1"/>
  <c r="G1656" i="8" s="1"/>
  <c r="G1657" i="8" a="1"/>
  <c r="G1657" i="8" s="1"/>
  <c r="G1658" i="8" a="1"/>
  <c r="G1658" i="8" s="1"/>
  <c r="G1659" i="8" a="1"/>
  <c r="G1659" i="8" s="1"/>
  <c r="G1660" i="8" a="1"/>
  <c r="G1660" i="8" s="1"/>
  <c r="G1661" i="8" a="1"/>
  <c r="G1661" i="8" s="1"/>
  <c r="G1662" i="8" a="1"/>
  <c r="G1662" i="8" s="1"/>
  <c r="G1663" i="8" a="1"/>
  <c r="G1663" i="8"/>
  <c r="G1664" i="8" a="1"/>
  <c r="G1664" i="8"/>
  <c r="G1665" i="8" a="1"/>
  <c r="G1665" i="8" s="1"/>
  <c r="G1666" i="8" a="1"/>
  <c r="G1666" i="8" s="1"/>
  <c r="G1667" i="8" a="1"/>
  <c r="G1667" i="8" s="1"/>
  <c r="G1668" i="8" a="1"/>
  <c r="G1668" i="8" s="1"/>
  <c r="G1669" i="8" a="1"/>
  <c r="G1669" i="8" s="1"/>
  <c r="G1670" i="8" a="1"/>
  <c r="G1670" i="8" s="1"/>
  <c r="G1671" i="8" a="1"/>
  <c r="G1671" i="8" s="1"/>
  <c r="G1672" i="8" a="1"/>
  <c r="G1672" i="8"/>
  <c r="G1673" i="8" a="1"/>
  <c r="G1673" i="8"/>
  <c r="G1674" i="8" a="1"/>
  <c r="G1674" i="8" s="1"/>
  <c r="G1675" i="8" a="1"/>
  <c r="G1675" i="8" s="1"/>
  <c r="G1676" i="8" a="1"/>
  <c r="G1676" i="8"/>
  <c r="G1677" i="8" a="1"/>
  <c r="G1677" i="8" s="1"/>
  <c r="G1678" i="8" a="1"/>
  <c r="G1678" i="8" s="1"/>
  <c r="G1679" i="8" a="1"/>
  <c r="G1679" i="8" s="1"/>
  <c r="G1680" i="8" a="1"/>
  <c r="G1680" i="8" s="1"/>
  <c r="G1681" i="8" a="1"/>
  <c r="G1681" i="8" s="1"/>
  <c r="G1682" i="8" a="1"/>
  <c r="G1682" i="8" s="1"/>
  <c r="G1683" i="8" a="1"/>
  <c r="G1683" i="8" s="1"/>
  <c r="G1684" i="8" a="1"/>
  <c r="G1684" i="8" s="1"/>
  <c r="G1685" i="8" a="1"/>
  <c r="G1685" i="8" s="1"/>
  <c r="G1686" i="8" a="1"/>
  <c r="G1686" i="8" s="1"/>
  <c r="G1687" i="8" a="1"/>
  <c r="G1687" i="8" s="1"/>
  <c r="G1688" i="8" a="1"/>
  <c r="G1688" i="8"/>
  <c r="G1689" i="8" a="1"/>
  <c r="G1689" i="8"/>
  <c r="G1690" i="8" a="1"/>
  <c r="G1690" i="8" s="1"/>
  <c r="G1691" i="8" a="1"/>
  <c r="G1691" i="8" s="1"/>
  <c r="G1692" i="8" a="1"/>
  <c r="G1692" i="8" s="1"/>
  <c r="G1693" i="8" a="1"/>
  <c r="G1693" i="8"/>
  <c r="G1694" i="8" a="1"/>
  <c r="G1694" i="8" s="1"/>
  <c r="G1695" i="8" a="1"/>
  <c r="G1695" i="8" s="1"/>
  <c r="G1696" i="8" a="1"/>
  <c r="G1696" i="8" s="1"/>
  <c r="G1697" i="8" a="1"/>
  <c r="G1697" i="8" s="1"/>
  <c r="G1698" i="8" a="1"/>
  <c r="G1698" i="8" s="1"/>
  <c r="G1699" i="8" a="1"/>
  <c r="G1699" i="8" s="1"/>
  <c r="G1700" i="8" a="1"/>
  <c r="G1700" i="8" s="1"/>
  <c r="G1701" i="8" a="1"/>
  <c r="G1701" i="8" s="1"/>
  <c r="G1702" i="8" a="1"/>
  <c r="G1702" i="8"/>
  <c r="G1703" i="8" a="1"/>
  <c r="G1703" i="8" s="1"/>
  <c r="G1704" i="8" a="1"/>
  <c r="G1704" i="8" s="1"/>
  <c r="G1705" i="8" a="1"/>
  <c r="G1705" i="8"/>
  <c r="G1706" i="8" a="1"/>
  <c r="G1706" i="8"/>
  <c r="G1707" i="8" a="1"/>
  <c r="G1707" i="8" s="1"/>
  <c r="G1708" i="8" a="1"/>
  <c r="G1708" i="8" s="1"/>
  <c r="G1709" i="8" a="1"/>
  <c r="G1709" i="8" s="1"/>
  <c r="G1710" i="8" a="1"/>
  <c r="G1710" i="8" s="1"/>
  <c r="G1711" i="8" a="1"/>
  <c r="G1711" i="8" s="1"/>
  <c r="G1712" i="8" a="1"/>
  <c r="G1712" i="8" s="1"/>
  <c r="G1713" i="8" a="1"/>
  <c r="G1713" i="8"/>
  <c r="G1714" i="8" a="1"/>
  <c r="G1714" i="8"/>
  <c r="G1715" i="8" a="1"/>
  <c r="G1715" i="8"/>
  <c r="G1716" i="8" a="1"/>
  <c r="G1716" i="8" s="1"/>
  <c r="G1717" i="8" a="1"/>
  <c r="G1717" i="8" s="1"/>
  <c r="G1718" i="8" a="1"/>
  <c r="G1718" i="8" s="1"/>
  <c r="G1719" i="8" a="1"/>
  <c r="G1719" i="8" s="1"/>
  <c r="G1720" i="8" a="1"/>
  <c r="G1720" i="8" s="1"/>
  <c r="G1721" i="8" a="1"/>
  <c r="G1721" i="8" s="1"/>
  <c r="G1722" i="8" a="1"/>
  <c r="G1722" i="8" s="1"/>
  <c r="G1723" i="8" a="1"/>
  <c r="G1723" i="8"/>
  <c r="G1724" i="8" a="1"/>
  <c r="G1724" i="8" s="1"/>
  <c r="G1725" i="8" a="1"/>
  <c r="G1725" i="8" s="1"/>
  <c r="G1726" i="8" a="1"/>
  <c r="G1726" i="8"/>
  <c r="G1727" i="8" a="1"/>
  <c r="G1727" i="8" s="1"/>
  <c r="G1728" i="8" a="1"/>
  <c r="G1728" i="8" s="1"/>
  <c r="G1729" i="8" a="1"/>
  <c r="G1729" i="8" s="1"/>
  <c r="G1730" i="8" a="1"/>
  <c r="G1730" i="8" s="1"/>
  <c r="G1731" i="8" a="1"/>
  <c r="G1731" i="8" s="1"/>
  <c r="G1732" i="8" a="1"/>
  <c r="G1732" i="8" s="1"/>
  <c r="G1733" i="8" a="1"/>
  <c r="G1733" i="8" s="1"/>
  <c r="G1734" i="8" a="1"/>
  <c r="G1734" i="8" s="1"/>
  <c r="G1735" i="8" a="1"/>
  <c r="G1735" i="8"/>
  <c r="G1736" i="8" a="1"/>
  <c r="G1736" i="8"/>
  <c r="G1737" i="8" a="1"/>
  <c r="G1737" i="8" s="1"/>
  <c r="G1738" i="8" a="1"/>
  <c r="G1738" i="8" s="1"/>
  <c r="G1739" i="8" a="1"/>
  <c r="G1739" i="8" s="1"/>
  <c r="G1740" i="8" a="1"/>
  <c r="G1740" i="8" s="1"/>
  <c r="G1741" i="8" a="1"/>
  <c r="G1741" i="8" s="1"/>
  <c r="G1742" i="8" a="1"/>
  <c r="G1742" i="8" s="1"/>
  <c r="G1743" i="8" a="1"/>
  <c r="G1743" i="8"/>
  <c r="G1744" i="8" a="1"/>
  <c r="G1744" i="8" s="1"/>
  <c r="G1745" i="8" a="1"/>
  <c r="G1745" i="8" s="1"/>
  <c r="G1746" i="8" a="1"/>
  <c r="G1746" i="8" s="1"/>
  <c r="G1747" i="8" a="1"/>
  <c r="G1747" i="8" s="1"/>
  <c r="G1748" i="8" a="1"/>
  <c r="G1748" i="8" s="1"/>
  <c r="G1749" i="8" a="1"/>
  <c r="G1749" i="8"/>
  <c r="G1750" i="8" a="1"/>
  <c r="G1750" i="8" s="1"/>
  <c r="G1751" i="8" a="1"/>
  <c r="G1751" i="8" s="1"/>
  <c r="G1752" i="8" a="1"/>
  <c r="G1752" i="8" s="1"/>
  <c r="G1753" i="8" a="1"/>
  <c r="G1753" i="8" s="1"/>
  <c r="G1754" i="8" a="1"/>
  <c r="G1754" i="8" s="1"/>
  <c r="G1755" i="8" a="1"/>
  <c r="G1755" i="8" s="1"/>
  <c r="G1756" i="8" a="1"/>
  <c r="G1756" i="8" s="1"/>
  <c r="G1757" i="8" a="1"/>
  <c r="G1757" i="8" s="1"/>
  <c r="G1758" i="8" a="1"/>
  <c r="G1758" i="8" s="1"/>
  <c r="G1759" i="8" a="1"/>
  <c r="G1759" i="8"/>
  <c r="G1760" i="8" a="1"/>
  <c r="G1760" i="8" s="1"/>
  <c r="G1761" i="8" a="1"/>
  <c r="G1761" i="8"/>
  <c r="G1762" i="8" a="1"/>
  <c r="G1762" i="8"/>
  <c r="G1763" i="8" a="1"/>
  <c r="G1763" i="8" s="1"/>
  <c r="G1764" i="8" a="1"/>
  <c r="G1764" i="8" s="1"/>
  <c r="G1765" i="8" a="1"/>
  <c r="G1765" i="8" s="1"/>
  <c r="G1766" i="8" a="1"/>
  <c r="G1766" i="8" s="1"/>
  <c r="G1767" i="8" a="1"/>
  <c r="G1767" i="8" s="1"/>
  <c r="G1768" i="8" a="1"/>
  <c r="G1768" i="8" s="1"/>
  <c r="G1769" i="8" a="1"/>
  <c r="G1769" i="8" s="1"/>
  <c r="G1770" i="8" a="1"/>
  <c r="G1770" i="8" s="1"/>
  <c r="G1771" i="8" a="1"/>
  <c r="G1771" i="8" s="1"/>
  <c r="G1772" i="8" a="1"/>
  <c r="G1772" i="8" s="1"/>
  <c r="G1773" i="8" a="1"/>
  <c r="G1773" i="8" s="1"/>
  <c r="G1774" i="8" a="1"/>
  <c r="G1774" i="8" s="1"/>
  <c r="G1775" i="8" a="1"/>
  <c r="G1775" i="8" s="1"/>
  <c r="G1776" i="8" a="1"/>
  <c r="G1776" i="8" s="1"/>
  <c r="G1777" i="8" a="1"/>
  <c r="G1777" i="8"/>
  <c r="G1778" i="8" a="1"/>
  <c r="G1778" i="8" s="1"/>
  <c r="G1779" i="8" a="1"/>
  <c r="G1779" i="8" s="1"/>
  <c r="G1780" i="8" a="1"/>
  <c r="G1780" i="8" s="1"/>
  <c r="G1781" i="8" a="1"/>
  <c r="G1781" i="8" s="1"/>
  <c r="G1782" i="8" a="1"/>
  <c r="G1782" i="8" s="1"/>
  <c r="G1783" i="8" a="1"/>
  <c r="G1783" i="8" s="1"/>
  <c r="G1784" i="8" a="1"/>
  <c r="G1784" i="8" s="1"/>
  <c r="G1785" i="8" a="1"/>
  <c r="G1785" i="8" s="1"/>
  <c r="G1786" i="8" a="1"/>
  <c r="G1786" i="8" s="1"/>
  <c r="G1787" i="8" a="1"/>
  <c r="G1787" i="8"/>
  <c r="G1788" i="8" a="1"/>
  <c r="G1788" i="8" s="1"/>
  <c r="G1789" i="8" a="1"/>
  <c r="G1789" i="8" s="1"/>
  <c r="G1790" i="8" a="1"/>
  <c r="G1790" i="8" s="1"/>
  <c r="G1791" i="8" a="1"/>
  <c r="G1791" i="8" s="1"/>
  <c r="G1792" i="8" a="1"/>
  <c r="G1792" i="8" s="1"/>
  <c r="G1793" i="8" a="1"/>
  <c r="G1793" i="8" s="1"/>
  <c r="G1794" i="8" a="1"/>
  <c r="G1794" i="8" s="1"/>
  <c r="G1795" i="8" a="1"/>
  <c r="G1795" i="8" s="1"/>
  <c r="G1796" i="8" a="1"/>
  <c r="G1796" i="8" s="1"/>
  <c r="G1797" i="8" a="1"/>
  <c r="G1797" i="8" s="1"/>
  <c r="G1798" i="8" a="1"/>
  <c r="G1798" i="8"/>
  <c r="G1799" i="8" a="1"/>
  <c r="G1799" i="8" s="1"/>
  <c r="G1800" i="8" a="1"/>
  <c r="G1800" i="8" s="1"/>
  <c r="G1801" i="8" a="1"/>
  <c r="G1801" i="8" s="1"/>
  <c r="G1802" i="8" a="1"/>
  <c r="G1802" i="8" s="1"/>
  <c r="G1803" i="8" a="1"/>
  <c r="G1803" i="8"/>
  <c r="G1804" i="8" a="1"/>
  <c r="G1804" i="8" s="1"/>
  <c r="G1805" i="8" a="1"/>
  <c r="G1805" i="8" s="1"/>
  <c r="G1806" i="8" a="1"/>
  <c r="G1806" i="8" s="1"/>
  <c r="G1807" i="8" a="1"/>
  <c r="G1807" i="8"/>
  <c r="G1808" i="8" a="1"/>
  <c r="G1808" i="8" s="1"/>
  <c r="G1809" i="8" a="1"/>
  <c r="G1809" i="8" s="1"/>
  <c r="G1810" i="8" a="1"/>
  <c r="G1810" i="8" s="1"/>
  <c r="G1811" i="8" a="1"/>
  <c r="G1811" i="8" s="1"/>
  <c r="G1812" i="8" a="1"/>
  <c r="G1812" i="8" s="1"/>
  <c r="G1813" i="8" a="1"/>
  <c r="G1813" i="8" s="1"/>
  <c r="G1814" i="8" a="1"/>
  <c r="G1814" i="8" s="1"/>
  <c r="G1815" i="8" a="1"/>
  <c r="G1815" i="8" s="1"/>
  <c r="G1816" i="8" a="1"/>
  <c r="G1816" i="8" s="1"/>
  <c r="G1817" i="8" a="1"/>
  <c r="G1817" i="8" s="1"/>
  <c r="G1818" i="8" a="1"/>
  <c r="G1818" i="8" s="1"/>
  <c r="G1819" i="8" a="1"/>
  <c r="G1819" i="8" s="1"/>
  <c r="G1820" i="8" a="1"/>
  <c r="G1820" i="8"/>
  <c r="G1821" i="8" a="1"/>
  <c r="G1821" i="8" s="1"/>
  <c r="G1822" i="8" a="1"/>
  <c r="G1822" i="8" s="1"/>
  <c r="G1823" i="8" a="1"/>
  <c r="G1823" i="8" s="1"/>
  <c r="G1824" i="8" a="1"/>
  <c r="G1824" i="8" s="1"/>
  <c r="G1825" i="8" a="1"/>
  <c r="G1825" i="8" s="1"/>
  <c r="G1826" i="8" a="1"/>
  <c r="G1826" i="8" s="1"/>
  <c r="G1827" i="8" a="1"/>
  <c r="G1827" i="8" s="1"/>
  <c r="G1828" i="8" a="1"/>
  <c r="G1828" i="8"/>
  <c r="G1829" i="8" a="1"/>
  <c r="G1829" i="8" s="1"/>
  <c r="G1830" i="8" a="1"/>
  <c r="G1830" i="8" s="1"/>
  <c r="G1831" i="8" a="1"/>
  <c r="G1831" i="8" s="1"/>
  <c r="G1832" i="8" a="1"/>
  <c r="G1832" i="8" s="1"/>
  <c r="G1833" i="8" a="1"/>
  <c r="G1833" i="8" s="1"/>
  <c r="G1834" i="8" a="1"/>
  <c r="G1834" i="8"/>
  <c r="G1835" i="8" a="1"/>
  <c r="G1835" i="8" s="1"/>
  <c r="G1836" i="8" a="1"/>
  <c r="G1836" i="8" s="1"/>
  <c r="G1837" i="8" a="1"/>
  <c r="G1837" i="8" s="1"/>
  <c r="G1838" i="8" a="1"/>
  <c r="G1838" i="8" s="1"/>
  <c r="G1839" i="8" a="1"/>
  <c r="G1839" i="8" s="1"/>
  <c r="G1840" i="8" a="1"/>
  <c r="G1840" i="8" s="1"/>
  <c r="G1841" i="8" a="1"/>
  <c r="G1841" i="8"/>
  <c r="G1842" i="8" a="1"/>
  <c r="G1842" i="8" s="1"/>
  <c r="G1843" i="8" a="1"/>
  <c r="G1843" i="8" s="1"/>
  <c r="G1844" i="8" a="1"/>
  <c r="G1844" i="8"/>
  <c r="G1845" i="8" a="1"/>
  <c r="G1845" i="8" s="1"/>
  <c r="G1846" i="8" a="1"/>
  <c r="G1846" i="8"/>
  <c r="G1847" i="8" a="1"/>
  <c r="G1847" i="8"/>
  <c r="G1848" i="8" a="1"/>
  <c r="G1848" i="8" s="1"/>
  <c r="G1849" i="8" a="1"/>
  <c r="G1849" i="8" s="1"/>
  <c r="G1850" i="8" a="1"/>
  <c r="G1850" i="8" s="1"/>
  <c r="G1851" i="8" a="1"/>
  <c r="G1851" i="8" s="1"/>
  <c r="G1852" i="8" a="1"/>
  <c r="G1852" i="8" s="1"/>
  <c r="G1853" i="8" a="1"/>
  <c r="G1853" i="8" s="1"/>
  <c r="G1854" i="8" a="1"/>
  <c r="G1854" i="8" s="1"/>
  <c r="G1855" i="8" a="1"/>
  <c r="G1855" i="8" s="1"/>
  <c r="G1856" i="8" a="1"/>
  <c r="G1856" i="8" s="1"/>
  <c r="G1857" i="8" a="1"/>
  <c r="G1857" i="8" s="1"/>
  <c r="G1858" i="8" a="1"/>
  <c r="G1858" i="8" s="1"/>
  <c r="G1859" i="8" a="1"/>
  <c r="G1859" i="8" s="1"/>
  <c r="G1860" i="8" a="1"/>
  <c r="G1860" i="8" s="1"/>
  <c r="G1861" i="8" a="1"/>
  <c r="G1861" i="8" s="1"/>
  <c r="G1862" i="8" a="1"/>
  <c r="G1862" i="8" s="1"/>
  <c r="G1863" i="8" a="1"/>
  <c r="G1863" i="8" s="1"/>
  <c r="G1864" i="8" a="1"/>
  <c r="G1864" i="8" s="1"/>
  <c r="G1865" i="8" a="1"/>
  <c r="G1865" i="8" s="1"/>
  <c r="G1866" i="8" a="1"/>
  <c r="G1866" i="8" s="1"/>
  <c r="G1867" i="8" a="1"/>
  <c r="G1867" i="8"/>
  <c r="G1868" i="8" a="1"/>
  <c r="G1868" i="8" s="1"/>
  <c r="G1869" i="8" a="1"/>
  <c r="G1869" i="8" s="1"/>
  <c r="G1870" i="8" a="1"/>
  <c r="G1870" i="8" s="1"/>
  <c r="G1871" i="8" a="1"/>
  <c r="G1871" i="8" s="1"/>
  <c r="G1872" i="8" a="1"/>
  <c r="G1872" i="8" s="1"/>
  <c r="G1873" i="8" a="1"/>
  <c r="G1873" i="8" s="1"/>
  <c r="G1874" i="8" a="1"/>
  <c r="G1874" i="8" s="1"/>
  <c r="G1875" i="8" a="1"/>
  <c r="G1875" i="8" s="1"/>
  <c r="G1876" i="8" a="1"/>
  <c r="G1876" i="8" s="1"/>
  <c r="G1877" i="8" a="1"/>
  <c r="G1877" i="8" s="1"/>
  <c r="G1878" i="8" a="1"/>
  <c r="G1878" i="8" s="1"/>
  <c r="G1879" i="8" a="1"/>
  <c r="G1879" i="8" s="1"/>
  <c r="G1880" i="8" a="1"/>
  <c r="G1880" i="8" s="1"/>
  <c r="G1881" i="8" a="1"/>
  <c r="G1881" i="8" s="1"/>
  <c r="G1882" i="8" a="1"/>
  <c r="G1882" i="8" s="1"/>
  <c r="G1883" i="8" a="1"/>
  <c r="G1883" i="8"/>
  <c r="G1884" i="8" a="1"/>
  <c r="G1884" i="8" s="1"/>
  <c r="G1885" i="8" a="1"/>
  <c r="G1885" i="8" s="1"/>
  <c r="G1886" i="8" a="1"/>
  <c r="G1886" i="8" s="1"/>
  <c r="G1887" i="8" a="1"/>
  <c r="G1887" i="8" s="1"/>
  <c r="G1888" i="8" a="1"/>
  <c r="G1888" i="8" s="1"/>
  <c r="G1889" i="8" a="1"/>
  <c r="G1889" i="8" s="1"/>
  <c r="G1890" i="8" a="1"/>
  <c r="G1890" i="8" s="1"/>
  <c r="G1891" i="8" a="1"/>
  <c r="G1891" i="8" s="1"/>
  <c r="G1892" i="8" a="1"/>
  <c r="G1892" i="8"/>
  <c r="G1893" i="8" a="1"/>
  <c r="G1893" i="8"/>
  <c r="G1894" i="8" a="1"/>
  <c r="G1894" i="8" s="1"/>
  <c r="G1895" i="8" a="1"/>
  <c r="G1895" i="8" s="1"/>
  <c r="G1896" i="8" a="1"/>
  <c r="G1896" i="8" s="1"/>
  <c r="G1897" i="8" a="1"/>
  <c r="G1897" i="8" s="1"/>
  <c r="H2" i="8" a="1"/>
  <c r="H2" i="8" s="1"/>
  <c r="H3" i="8" a="1"/>
  <c r="H3" i="8" s="1"/>
  <c r="H4" i="8" a="1"/>
  <c r="H4" i="8" s="1"/>
  <c r="H5" i="8" a="1"/>
  <c r="H5" i="8" s="1"/>
  <c r="H6" i="8" a="1"/>
  <c r="H6" i="8" s="1"/>
  <c r="H7" i="8" a="1"/>
  <c r="H7" i="8"/>
  <c r="H8" i="8" a="1"/>
  <c r="H8" i="8" s="1"/>
  <c r="H9" i="8" a="1"/>
  <c r="H9" i="8" s="1"/>
  <c r="H10" i="8" a="1"/>
  <c r="H10" i="8" s="1"/>
  <c r="H11" i="8" a="1"/>
  <c r="H11" i="8" s="1"/>
  <c r="H12" i="8" a="1"/>
  <c r="H12" i="8" s="1"/>
  <c r="H13" i="8" a="1"/>
  <c r="H13" i="8" s="1"/>
  <c r="H14" i="8" a="1"/>
  <c r="H14" i="8" s="1"/>
  <c r="H15" i="8" a="1"/>
  <c r="H15" i="8"/>
  <c r="H16" i="8" a="1"/>
  <c r="H16" i="8" s="1"/>
  <c r="H17" i="8" a="1"/>
  <c r="H17" i="8" s="1"/>
  <c r="H18" i="8" a="1"/>
  <c r="H18" i="8" s="1"/>
  <c r="H19" i="8" a="1"/>
  <c r="H19" i="8" s="1"/>
  <c r="H20" i="8" a="1"/>
  <c r="H20" i="8" s="1"/>
  <c r="H21" i="8" a="1"/>
  <c r="H21" i="8" s="1"/>
  <c r="H22" i="8" a="1"/>
  <c r="H22" i="8" s="1"/>
  <c r="H23" i="8" a="1"/>
  <c r="H23" i="8"/>
  <c r="H24" i="8" a="1"/>
  <c r="H24" i="8" s="1"/>
  <c r="H25" i="8" a="1"/>
  <c r="H25" i="8" s="1"/>
  <c r="H26" i="8" a="1"/>
  <c r="H26" i="8" s="1"/>
  <c r="H27" i="8" a="1"/>
  <c r="H27" i="8" s="1"/>
  <c r="H28" i="8" a="1"/>
  <c r="H28" i="8" s="1"/>
  <c r="H29" i="8" a="1"/>
  <c r="H29" i="8" s="1"/>
  <c r="H30" i="8" a="1"/>
  <c r="H30" i="8" s="1"/>
  <c r="H31" i="8" a="1"/>
  <c r="H31" i="8" s="1"/>
  <c r="H32" i="8" a="1"/>
  <c r="H32" i="8" s="1"/>
  <c r="H33" i="8" a="1"/>
  <c r="H33" i="8"/>
  <c r="H34" i="8" a="1"/>
  <c r="H34" i="8" s="1"/>
  <c r="H35" i="8" a="1"/>
  <c r="H35" i="8" s="1"/>
  <c r="H36" i="8" a="1"/>
  <c r="H36" i="8" s="1"/>
  <c r="H37" i="8" a="1"/>
  <c r="H37" i="8" s="1"/>
  <c r="H38" i="8" a="1"/>
  <c r="H38" i="8" s="1"/>
  <c r="H39" i="8" a="1"/>
  <c r="H39" i="8" s="1"/>
  <c r="H40" i="8" a="1"/>
  <c r="H40" i="8" s="1"/>
  <c r="H41" i="8" a="1"/>
  <c r="H41" i="8"/>
  <c r="H42" i="8" a="1"/>
  <c r="H42" i="8" s="1"/>
  <c r="H43" i="8" a="1"/>
  <c r="H43" i="8"/>
  <c r="H44" i="8" a="1"/>
  <c r="H44" i="8" s="1"/>
  <c r="H45" i="8" a="1"/>
  <c r="H45" i="8" s="1"/>
  <c r="H46" i="8" a="1"/>
  <c r="H46" i="8" s="1"/>
  <c r="H47" i="8" a="1"/>
  <c r="H47" i="8" s="1"/>
  <c r="H48" i="8" a="1"/>
  <c r="H48" i="8" s="1"/>
  <c r="H49" i="8" a="1"/>
  <c r="H49" i="8" s="1"/>
  <c r="H50" i="8" a="1"/>
  <c r="H50" i="8" s="1"/>
  <c r="H51" i="8" a="1"/>
  <c r="H51" i="8" s="1"/>
  <c r="H52" i="8" a="1"/>
  <c r="H52" i="8"/>
  <c r="H53" i="8" a="1"/>
  <c r="H53" i="8" s="1"/>
  <c r="H54" i="8" a="1"/>
  <c r="H54" i="8" s="1"/>
  <c r="H55" i="8" a="1"/>
  <c r="H55" i="8" s="1"/>
  <c r="H56" i="8" a="1"/>
  <c r="H56" i="8"/>
  <c r="H57" i="8" a="1"/>
  <c r="H57" i="8" s="1"/>
  <c r="H58" i="8" a="1"/>
  <c r="H58" i="8" s="1"/>
  <c r="H59" i="8" a="1"/>
  <c r="H59" i="8"/>
  <c r="H60" i="8" a="1"/>
  <c r="H60" i="8" s="1"/>
  <c r="H61" i="8" a="1"/>
  <c r="H61" i="8"/>
  <c r="H62" i="8" a="1"/>
  <c r="H62" i="8" s="1"/>
  <c r="H63" i="8" a="1"/>
  <c r="H63" i="8" s="1"/>
  <c r="H64" i="8" a="1"/>
  <c r="H64" i="8" s="1"/>
  <c r="H65" i="8" a="1"/>
  <c r="H65" i="8"/>
  <c r="H66" i="8" a="1"/>
  <c r="H66" i="8" s="1"/>
  <c r="H67" i="8" a="1"/>
  <c r="H67" i="8" s="1"/>
  <c r="H68" i="8" a="1"/>
  <c r="H68" i="8"/>
  <c r="H69" i="8" a="1"/>
  <c r="H69" i="8"/>
  <c r="H70" i="8" a="1"/>
  <c r="H70" i="8" s="1"/>
  <c r="H71" i="8" a="1"/>
  <c r="H71" i="8" s="1"/>
  <c r="H72" i="8" a="1"/>
  <c r="H72" i="8" s="1"/>
  <c r="H73" i="8" a="1"/>
  <c r="H73" i="8" s="1"/>
  <c r="H74" i="8" a="1"/>
  <c r="H74" i="8"/>
  <c r="H75" i="8" a="1"/>
  <c r="H75" i="8" s="1"/>
  <c r="H76" i="8" a="1"/>
  <c r="H76" i="8"/>
  <c r="H77" i="8" a="1"/>
  <c r="H77" i="8" s="1"/>
  <c r="H78" i="8" a="1"/>
  <c r="H78" i="8" s="1"/>
  <c r="H79" i="8" a="1"/>
  <c r="H79" i="8"/>
  <c r="H80" i="8" a="1"/>
  <c r="H80" i="8" s="1"/>
  <c r="H81" i="8" a="1"/>
  <c r="H81" i="8" s="1"/>
  <c r="H82" i="8" a="1"/>
  <c r="H82" i="8"/>
  <c r="H83" i="8" a="1"/>
  <c r="H83" i="8" s="1"/>
  <c r="H84" i="8" a="1"/>
  <c r="H84" i="8" s="1"/>
  <c r="H85" i="8" a="1"/>
  <c r="H85" i="8"/>
  <c r="H86" i="8" a="1"/>
  <c r="H86" i="8" s="1"/>
  <c r="H87" i="8" a="1"/>
  <c r="H87" i="8"/>
  <c r="H88" i="8" a="1"/>
  <c r="H88" i="8" s="1"/>
  <c r="H89" i="8" a="1"/>
  <c r="H89" i="8" s="1"/>
  <c r="H90" i="8" a="1"/>
  <c r="H90" i="8" s="1"/>
  <c r="H91" i="8" a="1"/>
  <c r="H91" i="8" s="1"/>
  <c r="H92" i="8" a="1"/>
  <c r="H92" i="8" s="1"/>
  <c r="H93" i="8" a="1"/>
  <c r="H93" i="8" s="1"/>
  <c r="H94" i="8" a="1"/>
  <c r="H94" i="8"/>
  <c r="H95" i="8" a="1"/>
  <c r="H95" i="8" s="1"/>
  <c r="H96" i="8" a="1"/>
  <c r="H96" i="8" s="1"/>
  <c r="H97" i="8" a="1"/>
  <c r="H97" i="8" s="1"/>
  <c r="H98" i="8" a="1"/>
  <c r="H98" i="8" s="1"/>
  <c r="H99" i="8" a="1"/>
  <c r="H99" i="8" s="1"/>
  <c r="H100" i="8" a="1"/>
  <c r="H100" i="8" s="1"/>
  <c r="H101" i="8" a="1"/>
  <c r="H101" i="8" s="1"/>
  <c r="H102" i="8" a="1"/>
  <c r="H102" i="8" s="1"/>
  <c r="H103" i="8" a="1"/>
  <c r="H103" i="8" s="1"/>
  <c r="H104" i="8" a="1"/>
  <c r="H104" i="8" s="1"/>
  <c r="H105" i="8" a="1"/>
  <c r="H105" i="8" s="1"/>
  <c r="H106" i="8" a="1"/>
  <c r="H106" i="8" s="1"/>
  <c r="H107" i="8" a="1"/>
  <c r="H107" i="8" s="1"/>
  <c r="H108" i="8" a="1"/>
  <c r="H108" i="8" s="1"/>
  <c r="H109" i="8" a="1"/>
  <c r="H109" i="8" s="1"/>
  <c r="H110" i="8" a="1"/>
  <c r="H110" i="8" s="1"/>
  <c r="H111" i="8" a="1"/>
  <c r="H111" i="8"/>
  <c r="H112" i="8" a="1"/>
  <c r="H112" i="8" s="1"/>
  <c r="H113" i="8" a="1"/>
  <c r="H113" i="8" s="1"/>
  <c r="H114" i="8" a="1"/>
  <c r="H114" i="8" s="1"/>
  <c r="H115" i="8" a="1"/>
  <c r="H115" i="8" s="1"/>
  <c r="H116" i="8" a="1"/>
  <c r="H116" i="8" s="1"/>
  <c r="H117" i="8" a="1"/>
  <c r="H117" i="8" s="1"/>
  <c r="H118" i="8" a="1"/>
  <c r="H118" i="8" s="1"/>
  <c r="H119" i="8" a="1"/>
  <c r="H119" i="8" s="1"/>
  <c r="H120" i="8" a="1"/>
  <c r="H120" i="8" s="1"/>
  <c r="H121" i="8" a="1"/>
  <c r="H121" i="8" s="1"/>
  <c r="H122" i="8" a="1"/>
  <c r="H122" i="8" s="1"/>
  <c r="H123" i="8" a="1"/>
  <c r="H123" i="8" s="1"/>
  <c r="H124" i="8" a="1"/>
  <c r="H124" i="8"/>
  <c r="H125" i="8" a="1"/>
  <c r="H125" i="8" s="1"/>
  <c r="H126" i="8" a="1"/>
  <c r="H126" i="8" s="1"/>
  <c r="H127" i="8" a="1"/>
  <c r="H127" i="8" s="1"/>
  <c r="H128" i="8" a="1"/>
  <c r="H128" i="8"/>
  <c r="H129" i="8" a="1"/>
  <c r="H129" i="8" s="1"/>
  <c r="H130" i="8" a="1"/>
  <c r="H130" i="8" s="1"/>
  <c r="H131" i="8" a="1"/>
  <c r="H131" i="8"/>
  <c r="H132" i="8" a="1"/>
  <c r="H132" i="8" s="1"/>
  <c r="H133" i="8" a="1"/>
  <c r="H133" i="8" s="1"/>
  <c r="H134" i="8" a="1"/>
  <c r="H134" i="8" s="1"/>
  <c r="H135" i="8" a="1"/>
  <c r="H135" i="8" s="1"/>
  <c r="H136" i="8" a="1"/>
  <c r="H136" i="8" s="1"/>
  <c r="H137" i="8" a="1"/>
  <c r="H137" i="8"/>
  <c r="H138" i="8" a="1"/>
  <c r="H138" i="8" s="1"/>
  <c r="H139" i="8" a="1"/>
  <c r="H139" i="8" s="1"/>
  <c r="H140" i="8" a="1"/>
  <c r="H140" i="8" s="1"/>
  <c r="H141" i="8" a="1"/>
  <c r="H141" i="8" s="1"/>
  <c r="H142" i="8" a="1"/>
  <c r="H142" i="8" s="1"/>
  <c r="H143" i="8" a="1"/>
  <c r="H143" i="8" s="1"/>
  <c r="H144" i="8" a="1"/>
  <c r="H144" i="8" s="1"/>
  <c r="H145" i="8" a="1"/>
  <c r="H145" i="8" s="1"/>
  <c r="H146" i="8" a="1"/>
  <c r="H146" i="8"/>
  <c r="H147" i="8" a="1"/>
  <c r="H147" i="8" s="1"/>
  <c r="H148" i="8" a="1"/>
  <c r="H148" i="8" s="1"/>
  <c r="H149" i="8" a="1"/>
  <c r="H149" i="8" s="1"/>
  <c r="H150" i="8" a="1"/>
  <c r="H150" i="8" s="1"/>
  <c r="H151" i="8" a="1"/>
  <c r="H151" i="8" s="1"/>
  <c r="H152" i="8" a="1"/>
  <c r="H152" i="8" s="1"/>
  <c r="H153" i="8" a="1"/>
  <c r="H153" i="8" s="1"/>
  <c r="H154" i="8" a="1"/>
  <c r="H154" i="8"/>
  <c r="H155" i="8" a="1"/>
  <c r="H155" i="8" s="1"/>
  <c r="H156" i="8" a="1"/>
  <c r="H156" i="8" s="1"/>
  <c r="H157" i="8" a="1"/>
  <c r="H157" i="8"/>
  <c r="H158" i="8" a="1"/>
  <c r="H158" i="8" s="1"/>
  <c r="H159" i="8" a="1"/>
  <c r="H159" i="8" s="1"/>
  <c r="H160" i="8" a="1"/>
  <c r="H160" i="8" s="1"/>
  <c r="H161" i="8" a="1"/>
  <c r="H161" i="8" s="1"/>
  <c r="H162" i="8" a="1"/>
  <c r="H162" i="8" s="1"/>
  <c r="H163" i="8" a="1"/>
  <c r="H163" i="8" s="1"/>
  <c r="H164" i="8" a="1"/>
  <c r="H164" i="8"/>
  <c r="H165" i="8" a="1"/>
  <c r="H165" i="8" s="1"/>
  <c r="H166" i="8" a="1"/>
  <c r="H166" i="8" s="1"/>
  <c r="H167" i="8" a="1"/>
  <c r="H167" i="8"/>
  <c r="H168" i="8" a="1"/>
  <c r="H168" i="8" s="1"/>
  <c r="H169" i="8" a="1"/>
  <c r="H169" i="8" s="1"/>
  <c r="H170" i="8" a="1"/>
  <c r="H170" i="8" s="1"/>
  <c r="H171" i="8" a="1"/>
  <c r="H171" i="8" s="1"/>
  <c r="H172" i="8" a="1"/>
  <c r="H172" i="8"/>
  <c r="H173" i="8" a="1"/>
  <c r="H173" i="8" s="1"/>
  <c r="H174" i="8" a="1"/>
  <c r="H174" i="8" s="1"/>
  <c r="H175" i="8" a="1"/>
  <c r="H175" i="8" s="1"/>
  <c r="H176" i="8" a="1"/>
  <c r="H176" i="8" s="1"/>
  <c r="H177" i="8" a="1"/>
  <c r="H177" i="8" s="1"/>
  <c r="H178" i="8" a="1"/>
  <c r="H178" i="8" s="1"/>
  <c r="H179" i="8" a="1"/>
  <c r="H179" i="8" s="1"/>
  <c r="H180" i="8" a="1"/>
  <c r="H180" i="8" s="1"/>
  <c r="H181" i="8" a="1"/>
  <c r="H181" i="8" s="1"/>
  <c r="H182" i="8" a="1"/>
  <c r="H182" i="8" s="1"/>
  <c r="H183" i="8" a="1"/>
  <c r="H183" i="8"/>
  <c r="H184" i="8" a="1"/>
  <c r="H184" i="8" s="1"/>
  <c r="H185" i="8" a="1"/>
  <c r="H185" i="8"/>
  <c r="H186" i="8" a="1"/>
  <c r="H186" i="8" s="1"/>
  <c r="H187" i="8" a="1"/>
  <c r="H187" i="8"/>
  <c r="H188" i="8" a="1"/>
  <c r="H188" i="8" s="1"/>
  <c r="H189" i="8" a="1"/>
  <c r="H189" i="8" s="1"/>
  <c r="H190" i="8" a="1"/>
  <c r="H190" i="8"/>
  <c r="H191" i="8" a="1"/>
  <c r="H191" i="8" s="1"/>
  <c r="H192" i="8" a="1"/>
  <c r="H192" i="8" s="1"/>
  <c r="H193" i="8" a="1"/>
  <c r="H193" i="8" s="1"/>
  <c r="H194" i="8" a="1"/>
  <c r="H194" i="8" s="1"/>
  <c r="H195" i="8" a="1"/>
  <c r="H195" i="8" s="1"/>
  <c r="H196" i="8" a="1"/>
  <c r="H196" i="8" s="1"/>
  <c r="H197" i="8" a="1"/>
  <c r="H197" i="8" s="1"/>
  <c r="H198" i="8" a="1"/>
  <c r="H198" i="8" s="1"/>
  <c r="H199" i="8" a="1"/>
  <c r="H199" i="8"/>
  <c r="H200" i="8" a="1"/>
  <c r="H200" i="8"/>
  <c r="H201" i="8" a="1"/>
  <c r="H201" i="8" s="1"/>
  <c r="H202" i="8" a="1"/>
  <c r="H202" i="8" s="1"/>
  <c r="H203" i="8" a="1"/>
  <c r="H203" i="8" s="1"/>
  <c r="H204" i="8" a="1"/>
  <c r="H204" i="8" s="1"/>
  <c r="H205" i="8" a="1"/>
  <c r="H205" i="8" s="1"/>
  <c r="H206" i="8" a="1"/>
  <c r="H206" i="8" s="1"/>
  <c r="H207" i="8" a="1"/>
  <c r="H207" i="8" s="1"/>
  <c r="H208" i="8" a="1"/>
  <c r="H208" i="8" s="1"/>
  <c r="H209" i="8" a="1"/>
  <c r="H209" i="8"/>
  <c r="H210" i="8" a="1"/>
  <c r="H210" i="8" s="1"/>
  <c r="H211" i="8" a="1"/>
  <c r="H211" i="8" s="1"/>
  <c r="H212" i="8" a="1"/>
  <c r="H212" i="8"/>
  <c r="H213" i="8" a="1"/>
  <c r="H213" i="8" s="1"/>
  <c r="H214" i="8" a="1"/>
  <c r="H214" i="8" s="1"/>
  <c r="H215" i="8" a="1"/>
  <c r="H215" i="8" s="1"/>
  <c r="H216" i="8" a="1"/>
  <c r="H216" i="8" s="1"/>
  <c r="H217" i="8" a="1"/>
  <c r="H217" i="8" s="1"/>
  <c r="H218" i="8" a="1"/>
  <c r="H218" i="8"/>
  <c r="H219" i="8" a="1"/>
  <c r="H219" i="8" s="1"/>
  <c r="H220" i="8" a="1"/>
  <c r="H220" i="8" s="1"/>
  <c r="H221" i="8" a="1"/>
  <c r="H221" i="8" s="1"/>
  <c r="H222" i="8" a="1"/>
  <c r="H222" i="8" s="1"/>
  <c r="H223" i="8" a="1"/>
  <c r="H223" i="8" s="1"/>
  <c r="H224" i="8" a="1"/>
  <c r="H224" i="8" s="1"/>
  <c r="H225" i="8" a="1"/>
  <c r="H225" i="8"/>
  <c r="H226" i="8" a="1"/>
  <c r="H226" i="8" s="1"/>
  <c r="H227" i="8" a="1"/>
  <c r="H227" i="8" s="1"/>
  <c r="H228" i="8" a="1"/>
  <c r="H228" i="8" s="1"/>
  <c r="H229" i="8" a="1"/>
  <c r="H229" i="8"/>
  <c r="H230" i="8" a="1"/>
  <c r="H230" i="8" s="1"/>
  <c r="H231" i="8" a="1"/>
  <c r="H231" i="8"/>
  <c r="H232" i="8" a="1"/>
  <c r="H232" i="8" s="1"/>
  <c r="H233" i="8" a="1"/>
  <c r="H233" i="8" s="1"/>
  <c r="H234" i="8" a="1"/>
  <c r="H234" i="8" s="1"/>
  <c r="H235" i="8" a="1"/>
  <c r="H235" i="8" s="1"/>
  <c r="H236" i="8" a="1"/>
  <c r="H236" i="8" s="1"/>
  <c r="H237" i="8" a="1"/>
  <c r="H237" i="8" s="1"/>
  <c r="H238" i="8" a="1"/>
  <c r="H238" i="8"/>
  <c r="H239" i="8" a="1"/>
  <c r="H239" i="8"/>
  <c r="H240" i="8" a="1"/>
  <c r="H240" i="8" s="1"/>
  <c r="H241" i="8" a="1"/>
  <c r="H241" i="8" s="1"/>
  <c r="H242" i="8" a="1"/>
  <c r="H242" i="8" s="1"/>
  <c r="H243" i="8" a="1"/>
  <c r="H243" i="8" s="1"/>
  <c r="H244" i="8" a="1"/>
  <c r="H244" i="8" s="1"/>
  <c r="H245" i="8" a="1"/>
  <c r="H245" i="8" s="1"/>
  <c r="H246" i="8" a="1"/>
  <c r="H246" i="8" s="1"/>
  <c r="H247" i="8" a="1"/>
  <c r="H247" i="8" s="1"/>
  <c r="H248" i="8" a="1"/>
  <c r="H248" i="8" s="1"/>
  <c r="H249" i="8" a="1"/>
  <c r="H249" i="8" s="1"/>
  <c r="H250" i="8" a="1"/>
  <c r="H250" i="8" s="1"/>
  <c r="H251" i="8" a="1"/>
  <c r="H251" i="8" s="1"/>
  <c r="H252" i="8" a="1"/>
  <c r="H252" i="8" s="1"/>
  <c r="H253" i="8" a="1"/>
  <c r="H253" i="8" s="1"/>
  <c r="H254" i="8" a="1"/>
  <c r="H254" i="8"/>
  <c r="H255" i="8" a="1"/>
  <c r="H255" i="8" s="1"/>
  <c r="H256" i="8" a="1"/>
  <c r="H256" i="8" s="1"/>
  <c r="H257" i="8" a="1"/>
  <c r="H257" i="8" s="1"/>
  <c r="H258" i="8" a="1"/>
  <c r="H258" i="8" s="1"/>
  <c r="H259" i="8" a="1"/>
  <c r="H259" i="8" s="1"/>
  <c r="H260" i="8" a="1"/>
  <c r="H260" i="8" s="1"/>
  <c r="H261" i="8" a="1"/>
  <c r="H261" i="8" s="1"/>
  <c r="H262" i="8" a="1"/>
  <c r="H262" i="8" s="1"/>
  <c r="H263" i="8" a="1"/>
  <c r="H263" i="8" s="1"/>
  <c r="H264" i="8" a="1"/>
  <c r="H264" i="8"/>
  <c r="H265" i="8" a="1"/>
  <c r="H265" i="8" s="1"/>
  <c r="H266" i="8" a="1"/>
  <c r="H266" i="8" s="1"/>
  <c r="H267" i="8" a="1"/>
  <c r="H267" i="8" s="1"/>
  <c r="H268" i="8" a="1"/>
  <c r="H268" i="8" s="1"/>
  <c r="H269" i="8" a="1"/>
  <c r="H269" i="8" s="1"/>
  <c r="H270" i="8" a="1"/>
  <c r="H270" i="8"/>
  <c r="H271" i="8" a="1"/>
  <c r="H271" i="8" s="1"/>
  <c r="H272" i="8" a="1"/>
  <c r="H272" i="8"/>
  <c r="H273" i="8" a="1"/>
  <c r="H273" i="8" s="1"/>
  <c r="H274" i="8" a="1"/>
  <c r="H274" i="8" s="1"/>
  <c r="H275" i="8" a="1"/>
  <c r="H275" i="8" s="1"/>
  <c r="H276" i="8" a="1"/>
  <c r="H276" i="8"/>
  <c r="H277" i="8" a="1"/>
  <c r="H277" i="8" s="1"/>
  <c r="H278" i="8" a="1"/>
  <c r="H278" i="8" s="1"/>
  <c r="H279" i="8" a="1"/>
  <c r="H279" i="8" s="1"/>
  <c r="H280" i="8" a="1"/>
  <c r="H280" i="8" s="1"/>
  <c r="H281" i="8" a="1"/>
  <c r="H281" i="8"/>
  <c r="H282" i="8" a="1"/>
  <c r="H282" i="8" s="1"/>
  <c r="H283" i="8" a="1"/>
  <c r="H283" i="8"/>
  <c r="H284" i="8" a="1"/>
  <c r="H284" i="8" s="1"/>
  <c r="H285" i="8" a="1"/>
  <c r="H285" i="8" s="1"/>
  <c r="H286" i="8" a="1"/>
  <c r="H286" i="8" s="1"/>
  <c r="H287" i="8" a="1"/>
  <c r="H287" i="8" s="1"/>
  <c r="H288" i="8" a="1"/>
  <c r="H288" i="8"/>
  <c r="H289" i="8" a="1"/>
  <c r="H289" i="8"/>
  <c r="H290" i="8" a="1"/>
  <c r="H290" i="8" s="1"/>
  <c r="H291" i="8" a="1"/>
  <c r="H291" i="8" s="1"/>
  <c r="H292" i="8" a="1"/>
  <c r="H292" i="8" s="1"/>
  <c r="H293" i="8" a="1"/>
  <c r="H293" i="8" s="1"/>
  <c r="H294" i="8" a="1"/>
  <c r="H294" i="8" s="1"/>
  <c r="H295" i="8" a="1"/>
  <c r="H295" i="8" s="1"/>
  <c r="H296" i="8" a="1"/>
  <c r="H296" i="8"/>
  <c r="H297" i="8" a="1"/>
  <c r="H297" i="8" s="1"/>
  <c r="H298" i="8" a="1"/>
  <c r="H298" i="8" s="1"/>
  <c r="H299" i="8" a="1"/>
  <c r="H299" i="8" s="1"/>
  <c r="H300" i="8" a="1"/>
  <c r="H300" i="8" s="1"/>
  <c r="H301" i="8" a="1"/>
  <c r="H301" i="8" s="1"/>
  <c r="H302" i="8" a="1"/>
  <c r="H302" i="8" s="1"/>
  <c r="H303" i="8" a="1"/>
  <c r="H303" i="8" s="1"/>
  <c r="H304" i="8" a="1"/>
  <c r="H304" i="8" s="1"/>
  <c r="H305" i="8" a="1"/>
  <c r="H305" i="8"/>
  <c r="H306" i="8" a="1"/>
  <c r="H306" i="8"/>
  <c r="H307" i="8" a="1"/>
  <c r="H307" i="8" s="1"/>
  <c r="H308" i="8" a="1"/>
  <c r="H308" i="8" s="1"/>
  <c r="H309" i="8" a="1"/>
  <c r="H309" i="8" s="1"/>
  <c r="H310" i="8" a="1"/>
  <c r="H310" i="8" s="1"/>
  <c r="H311" i="8" a="1"/>
  <c r="H311" i="8" s="1"/>
  <c r="H312" i="8" a="1"/>
  <c r="H312" i="8" s="1"/>
  <c r="H313" i="8" a="1"/>
  <c r="H313" i="8"/>
  <c r="H314" i="8" a="1"/>
  <c r="H314" i="8" s="1"/>
  <c r="H315" i="8" a="1"/>
  <c r="H315" i="8" s="1"/>
  <c r="H316" i="8" a="1"/>
  <c r="H316" i="8" s="1"/>
  <c r="H317" i="8" a="1"/>
  <c r="H317" i="8" s="1"/>
  <c r="H318" i="8" a="1"/>
  <c r="H318" i="8" s="1"/>
  <c r="H319" i="8" a="1"/>
  <c r="H319" i="8"/>
  <c r="H320" i="8" a="1"/>
  <c r="H320" i="8" s="1"/>
  <c r="H321" i="8" a="1"/>
  <c r="H321" i="8" s="1"/>
  <c r="H322" i="8" a="1"/>
  <c r="H322" i="8" s="1"/>
  <c r="H323" i="8" a="1"/>
  <c r="H323" i="8" s="1"/>
  <c r="H324" i="8" a="1"/>
  <c r="H324" i="8" s="1"/>
  <c r="H325" i="8" a="1"/>
  <c r="H325" i="8" s="1"/>
  <c r="H326" i="8" a="1"/>
  <c r="H326" i="8"/>
  <c r="H327" i="8" a="1"/>
  <c r="H327" i="8" s="1"/>
  <c r="H328" i="8" a="1"/>
  <c r="H328" i="8" s="1"/>
  <c r="H329" i="8" a="1"/>
  <c r="H329" i="8" s="1"/>
  <c r="H330" i="8" a="1"/>
  <c r="H330" i="8" s="1"/>
  <c r="H331" i="8" a="1"/>
  <c r="H331" i="8"/>
  <c r="H332" i="8" a="1"/>
  <c r="H332" i="8"/>
  <c r="H333" i="8" a="1"/>
  <c r="H333" i="8" s="1"/>
  <c r="H334" i="8" a="1"/>
  <c r="H334" i="8" s="1"/>
  <c r="H335" i="8" a="1"/>
  <c r="H335" i="8" s="1"/>
  <c r="H336" i="8" a="1"/>
  <c r="H336" i="8" s="1"/>
  <c r="H337" i="8" a="1"/>
  <c r="H337" i="8" s="1"/>
  <c r="H338" i="8" a="1"/>
  <c r="H338" i="8"/>
  <c r="H339" i="8" a="1"/>
  <c r="H339" i="8" s="1"/>
  <c r="H340" i="8" a="1"/>
  <c r="H340" i="8" s="1"/>
  <c r="H341" i="8" a="1"/>
  <c r="H341" i="8"/>
  <c r="H342" i="8" a="1"/>
  <c r="H342" i="8" s="1"/>
  <c r="H343" i="8" a="1"/>
  <c r="H343" i="8" s="1"/>
  <c r="H344" i="8" a="1"/>
  <c r="H344" i="8" s="1"/>
  <c r="H345" i="8" a="1"/>
  <c r="H345" i="8" s="1"/>
  <c r="H346" i="8" a="1"/>
  <c r="H346" i="8" s="1"/>
  <c r="H347" i="8" a="1"/>
  <c r="H347" i="8" s="1"/>
  <c r="H348" i="8" a="1"/>
  <c r="H348" i="8"/>
  <c r="H349" i="8" a="1"/>
  <c r="H349" i="8" s="1"/>
  <c r="H350" i="8" a="1"/>
  <c r="H350" i="8" s="1"/>
  <c r="H351" i="8" a="1"/>
  <c r="H351" i="8" s="1"/>
  <c r="H352" i="8" a="1"/>
  <c r="H352" i="8" s="1"/>
  <c r="H353" i="8" a="1"/>
  <c r="H353" i="8" s="1"/>
  <c r="H354" i="8" a="1"/>
  <c r="H354" i="8" s="1"/>
  <c r="H355" i="8" a="1"/>
  <c r="H355" i="8" s="1"/>
  <c r="H356" i="8" a="1"/>
  <c r="H356" i="8" s="1"/>
  <c r="H357" i="8" a="1"/>
  <c r="H357" i="8" s="1"/>
  <c r="H358" i="8" a="1"/>
  <c r="H358" i="8" s="1"/>
  <c r="H359" i="8" a="1"/>
  <c r="H359" i="8" s="1"/>
  <c r="H360" i="8" a="1"/>
  <c r="H360" i="8" s="1"/>
  <c r="H361" i="8" a="1"/>
  <c r="H361" i="8" s="1"/>
  <c r="H362" i="8" a="1"/>
  <c r="H362" i="8"/>
  <c r="H363" i="8" a="1"/>
  <c r="H363" i="8" s="1"/>
  <c r="H364" i="8" a="1"/>
  <c r="H364" i="8" s="1"/>
  <c r="H365" i="8" a="1"/>
  <c r="H365" i="8" s="1"/>
  <c r="H366" i="8" a="1"/>
  <c r="H366" i="8" s="1"/>
  <c r="H367" i="8" a="1"/>
  <c r="H367" i="8" s="1"/>
  <c r="H368" i="8" a="1"/>
  <c r="H368" i="8" s="1"/>
  <c r="H369" i="8" a="1"/>
  <c r="H369" i="8" s="1"/>
  <c r="H370" i="8" a="1"/>
  <c r="H370" i="8" s="1"/>
  <c r="H371" i="8" a="1"/>
  <c r="H371" i="8" s="1"/>
  <c r="H372" i="8" a="1"/>
  <c r="H372" i="8" s="1"/>
  <c r="H373" i="8" a="1"/>
  <c r="H373" i="8" s="1"/>
  <c r="H374" i="8" a="1"/>
  <c r="H374" i="8"/>
  <c r="H375" i="8" a="1"/>
  <c r="H375" i="8" s="1"/>
  <c r="H376" i="8" a="1"/>
  <c r="H376" i="8" s="1"/>
  <c r="H377" i="8" a="1"/>
  <c r="H377" i="8"/>
  <c r="H378" i="8" a="1"/>
  <c r="H378" i="8" s="1"/>
  <c r="H379" i="8" a="1"/>
  <c r="H379" i="8" s="1"/>
  <c r="H380" i="8" a="1"/>
  <c r="H380" i="8" s="1"/>
  <c r="H381" i="8" a="1"/>
  <c r="H381" i="8" s="1"/>
  <c r="H382" i="8" a="1"/>
  <c r="H382" i="8" s="1"/>
  <c r="H383" i="8" a="1"/>
  <c r="H383" i="8" s="1"/>
  <c r="H384" i="8" a="1"/>
  <c r="H384" i="8"/>
  <c r="H385" i="8" a="1"/>
  <c r="H385" i="8" s="1"/>
  <c r="H386" i="8" a="1"/>
  <c r="H386" i="8" s="1"/>
  <c r="H387" i="8" a="1"/>
  <c r="H387" i="8" s="1"/>
  <c r="H388" i="8" a="1"/>
  <c r="H388" i="8" s="1"/>
  <c r="H389" i="8" a="1"/>
  <c r="H389" i="8" s="1"/>
  <c r="H390" i="8" a="1"/>
  <c r="H390" i="8" s="1"/>
  <c r="H391" i="8" a="1"/>
  <c r="H391" i="8" s="1"/>
  <c r="H392" i="8" a="1"/>
  <c r="H392" i="8" s="1"/>
  <c r="H393" i="8" a="1"/>
  <c r="H393" i="8" s="1"/>
  <c r="H394" i="8" a="1"/>
  <c r="H394" i="8" s="1"/>
  <c r="H395" i="8" a="1"/>
  <c r="H395" i="8" s="1"/>
  <c r="H396" i="8" a="1"/>
  <c r="H396" i="8" s="1"/>
  <c r="H397" i="8" a="1"/>
  <c r="H397" i="8"/>
  <c r="H398" i="8" a="1"/>
  <c r="H398" i="8" s="1"/>
  <c r="H399" i="8" a="1"/>
  <c r="H399" i="8" s="1"/>
  <c r="H400" i="8" a="1"/>
  <c r="H400" i="8" s="1"/>
  <c r="H401" i="8" a="1"/>
  <c r="H401" i="8" s="1"/>
  <c r="H402" i="8" a="1"/>
  <c r="H402" i="8" s="1"/>
  <c r="H403" i="8" a="1"/>
  <c r="H403" i="8" s="1"/>
  <c r="H404" i="8" a="1"/>
  <c r="H404" i="8" s="1"/>
  <c r="H405" i="8" a="1"/>
  <c r="H405" i="8" s="1"/>
  <c r="H406" i="8" a="1"/>
  <c r="H406" i="8" s="1"/>
  <c r="H407" i="8" a="1"/>
  <c r="H407" i="8" s="1"/>
  <c r="H408" i="8" a="1"/>
  <c r="H408" i="8" s="1"/>
  <c r="H409" i="8" a="1"/>
  <c r="H409" i="8" s="1"/>
  <c r="H410" i="8" a="1"/>
  <c r="H410" i="8" s="1"/>
  <c r="H411" i="8" a="1"/>
  <c r="H411" i="8" s="1"/>
  <c r="H412" i="8" a="1"/>
  <c r="H412" i="8" s="1"/>
  <c r="H413" i="8" a="1"/>
  <c r="H413" i="8" s="1"/>
  <c r="H414" i="8" a="1"/>
  <c r="H414" i="8" s="1"/>
  <c r="H415" i="8" a="1"/>
  <c r="H415" i="8" s="1"/>
  <c r="H416" i="8" a="1"/>
  <c r="H416" i="8" s="1"/>
  <c r="H417" i="8" a="1"/>
  <c r="H417" i="8" s="1"/>
  <c r="H418" i="8" a="1"/>
  <c r="H418" i="8" s="1"/>
  <c r="H419" i="8" a="1"/>
  <c r="H419" i="8" s="1"/>
  <c r="H420" i="8" a="1"/>
  <c r="H420" i="8" s="1"/>
  <c r="H421" i="8" a="1"/>
  <c r="H421" i="8" s="1"/>
  <c r="H422" i="8" a="1"/>
  <c r="H422" i="8" s="1"/>
  <c r="H423" i="8" a="1"/>
  <c r="H423" i="8" s="1"/>
  <c r="H424" i="8" a="1"/>
  <c r="H424" i="8" s="1"/>
  <c r="H425" i="8" a="1"/>
  <c r="H425" i="8" s="1"/>
  <c r="H426" i="8" a="1"/>
  <c r="H426" i="8" s="1"/>
  <c r="H427" i="8" a="1"/>
  <c r="H427" i="8"/>
  <c r="H428" i="8" a="1"/>
  <c r="H428" i="8" s="1"/>
  <c r="H429" i="8" a="1"/>
  <c r="H429" i="8" s="1"/>
  <c r="H430" i="8" a="1"/>
  <c r="H430" i="8" s="1"/>
  <c r="H431" i="8" a="1"/>
  <c r="H431" i="8" s="1"/>
  <c r="H432" i="8" a="1"/>
  <c r="H432" i="8" s="1"/>
  <c r="H433" i="8" a="1"/>
  <c r="H433" i="8"/>
  <c r="H434" i="8" a="1"/>
  <c r="H434" i="8" s="1"/>
  <c r="H435" i="8" a="1"/>
  <c r="H435" i="8" s="1"/>
  <c r="H436" i="8" a="1"/>
  <c r="H436" i="8" s="1"/>
  <c r="H437" i="8" a="1"/>
  <c r="H437" i="8" s="1"/>
  <c r="H438" i="8" a="1"/>
  <c r="H438" i="8" s="1"/>
  <c r="H439" i="8" a="1"/>
  <c r="H439" i="8"/>
  <c r="H440" i="8" a="1"/>
  <c r="H440" i="8" s="1"/>
  <c r="H441" i="8" a="1"/>
  <c r="H441" i="8" s="1"/>
  <c r="H442" i="8" a="1"/>
  <c r="H442" i="8" s="1"/>
  <c r="H443" i="8" a="1"/>
  <c r="H443" i="8" s="1"/>
  <c r="H444" i="8" a="1"/>
  <c r="H444" i="8" s="1"/>
  <c r="H445" i="8" a="1"/>
  <c r="H445" i="8" s="1"/>
  <c r="H446" i="8" a="1"/>
  <c r="H446" i="8" s="1"/>
  <c r="H447" i="8" a="1"/>
  <c r="H447" i="8" s="1"/>
  <c r="H448" i="8" a="1"/>
  <c r="H448" i="8" s="1"/>
  <c r="H449" i="8" a="1"/>
  <c r="H449" i="8" s="1"/>
  <c r="H450" i="8" a="1"/>
  <c r="H450" i="8"/>
  <c r="H451" i="8" a="1"/>
  <c r="H451" i="8" s="1"/>
  <c r="H452" i="8" a="1"/>
  <c r="H452" i="8" s="1"/>
  <c r="H453" i="8" a="1"/>
  <c r="H453" i="8" s="1"/>
  <c r="H454" i="8" a="1"/>
  <c r="H454" i="8" s="1"/>
  <c r="H455" i="8" a="1"/>
  <c r="H455" i="8" s="1"/>
  <c r="H456" i="8" a="1"/>
  <c r="H456" i="8" s="1"/>
  <c r="H457" i="8" a="1"/>
  <c r="H457" i="8" s="1"/>
  <c r="H458" i="8" a="1"/>
  <c r="H458" i="8" s="1"/>
  <c r="H459" i="8" a="1"/>
  <c r="H459" i="8" s="1"/>
  <c r="H460" i="8" a="1"/>
  <c r="H460" i="8" s="1"/>
  <c r="H461" i="8" a="1"/>
  <c r="H461" i="8" s="1"/>
  <c r="H462" i="8" a="1"/>
  <c r="H462" i="8" s="1"/>
  <c r="H463" i="8" a="1"/>
  <c r="H463" i="8"/>
  <c r="H464" i="8" a="1"/>
  <c r="H464" i="8" s="1"/>
  <c r="H465" i="8" a="1"/>
  <c r="H465" i="8" s="1"/>
  <c r="H466" i="8" a="1"/>
  <c r="H466" i="8" s="1"/>
  <c r="H467" i="8" a="1"/>
  <c r="H467" i="8" s="1"/>
  <c r="H468" i="8" a="1"/>
  <c r="H468" i="8"/>
  <c r="H469" i="8" a="1"/>
  <c r="H469" i="8" s="1"/>
  <c r="H470" i="8" a="1"/>
  <c r="H470" i="8" s="1"/>
  <c r="H471" i="8" a="1"/>
  <c r="H471" i="8" s="1"/>
  <c r="H472" i="8" a="1"/>
  <c r="H472" i="8" s="1"/>
  <c r="H473" i="8" a="1"/>
  <c r="H473" i="8" s="1"/>
  <c r="H474" i="8" a="1"/>
  <c r="H474" i="8"/>
  <c r="H475" i="8" a="1"/>
  <c r="H475" i="8" s="1"/>
  <c r="H476" i="8" a="1"/>
  <c r="H476" i="8" s="1"/>
  <c r="H477" i="8" a="1"/>
  <c r="H477" i="8" s="1"/>
  <c r="H478" i="8" a="1"/>
  <c r="H478" i="8" s="1"/>
  <c r="H479" i="8" a="1"/>
  <c r="H479" i="8"/>
  <c r="H480" i="8" a="1"/>
  <c r="H480" i="8" s="1"/>
  <c r="H481" i="8" a="1"/>
  <c r="H481" i="8"/>
  <c r="H482" i="8" a="1"/>
  <c r="H482" i="8" s="1"/>
  <c r="H483" i="8" a="1"/>
  <c r="H483" i="8" s="1"/>
  <c r="H484" i="8" a="1"/>
  <c r="H484" i="8" s="1"/>
  <c r="H485" i="8" a="1"/>
  <c r="H485" i="8"/>
  <c r="H486" i="8" a="1"/>
  <c r="H486" i="8" s="1"/>
  <c r="H487" i="8" a="1"/>
  <c r="H487" i="8" s="1"/>
  <c r="H488" i="8" a="1"/>
  <c r="H488" i="8" s="1"/>
  <c r="H489" i="8" a="1"/>
  <c r="H489" i="8" s="1"/>
  <c r="H490" i="8" a="1"/>
  <c r="H490" i="8" s="1"/>
  <c r="H491" i="8" a="1"/>
  <c r="H491" i="8" s="1"/>
  <c r="H492" i="8" a="1"/>
  <c r="H492" i="8" s="1"/>
  <c r="H493" i="8" a="1"/>
  <c r="H493" i="8" s="1"/>
  <c r="H494" i="8" a="1"/>
  <c r="H494" i="8" s="1"/>
  <c r="H495" i="8" a="1"/>
  <c r="H495" i="8" s="1"/>
  <c r="H496" i="8" a="1"/>
  <c r="H496" i="8" s="1"/>
  <c r="H497" i="8" a="1"/>
  <c r="H497" i="8" s="1"/>
  <c r="H498" i="8" a="1"/>
  <c r="H498" i="8" s="1"/>
  <c r="H499" i="8" a="1"/>
  <c r="H499" i="8" s="1"/>
  <c r="H500" i="8" a="1"/>
  <c r="H500" i="8"/>
  <c r="H501" i="8" a="1"/>
  <c r="H501" i="8" s="1"/>
  <c r="H502" i="8" a="1"/>
  <c r="H502" i="8"/>
  <c r="H503" i="8" a="1"/>
  <c r="H503" i="8" s="1"/>
  <c r="H504" i="8" a="1"/>
  <c r="H504" i="8"/>
  <c r="H505" i="8" a="1"/>
  <c r="H505" i="8" s="1"/>
  <c r="H506" i="8" a="1"/>
  <c r="H506" i="8" s="1"/>
  <c r="H507" i="8" a="1"/>
  <c r="H507" i="8" s="1"/>
  <c r="H508" i="8" a="1"/>
  <c r="H508" i="8" s="1"/>
  <c r="H509" i="8" a="1"/>
  <c r="H509" i="8"/>
  <c r="H510" i="8" a="1"/>
  <c r="H510" i="8" s="1"/>
  <c r="H511" i="8" a="1"/>
  <c r="H511" i="8"/>
  <c r="H512" i="8" a="1"/>
  <c r="H512" i="8" s="1"/>
  <c r="H513" i="8" a="1"/>
  <c r="H513" i="8" s="1"/>
  <c r="H514" i="8" a="1"/>
  <c r="H514" i="8" s="1"/>
  <c r="H515" i="8" a="1"/>
  <c r="H515" i="8" s="1"/>
  <c r="H516" i="8" a="1"/>
  <c r="H516" i="8" s="1"/>
  <c r="H517" i="8" a="1"/>
  <c r="H517" i="8" s="1"/>
  <c r="H518" i="8" a="1"/>
  <c r="H518" i="8" s="1"/>
  <c r="H519" i="8" a="1"/>
  <c r="H519" i="8" s="1"/>
  <c r="H520" i="8" a="1"/>
  <c r="H520" i="8" s="1"/>
  <c r="H521" i="8" a="1"/>
  <c r="H521" i="8" s="1"/>
  <c r="H522" i="8" a="1"/>
  <c r="H522" i="8"/>
  <c r="H523" i="8" a="1"/>
  <c r="H523" i="8" s="1"/>
  <c r="H524" i="8" a="1"/>
  <c r="H524" i="8" s="1"/>
  <c r="H525" i="8" a="1"/>
  <c r="H525" i="8" s="1"/>
  <c r="H526" i="8" a="1"/>
  <c r="H526" i="8" s="1"/>
  <c r="H527" i="8" a="1"/>
  <c r="H527" i="8"/>
  <c r="H528" i="8" a="1"/>
  <c r="H528" i="8" s="1"/>
  <c r="H529" i="8" a="1"/>
  <c r="H529" i="8" s="1"/>
  <c r="H530" i="8" a="1"/>
  <c r="H530" i="8"/>
  <c r="H531" i="8" a="1"/>
  <c r="H531" i="8" s="1"/>
  <c r="H532" i="8" a="1"/>
  <c r="H532" i="8" s="1"/>
  <c r="H533" i="8" a="1"/>
  <c r="H533" i="8" s="1"/>
  <c r="H534" i="8" a="1"/>
  <c r="H534" i="8" s="1"/>
  <c r="H535" i="8" a="1"/>
  <c r="H535" i="8" s="1"/>
  <c r="H536" i="8" a="1"/>
  <c r="H536" i="8" s="1"/>
  <c r="H537" i="8" a="1"/>
  <c r="H537" i="8" s="1"/>
  <c r="H538" i="8" a="1"/>
  <c r="H538" i="8" s="1"/>
  <c r="H539" i="8" a="1"/>
  <c r="H539" i="8"/>
  <c r="H540" i="8" a="1"/>
  <c r="H540" i="8"/>
  <c r="H541" i="8" a="1"/>
  <c r="H541" i="8" s="1"/>
  <c r="H542" i="8" a="1"/>
  <c r="H542" i="8" s="1"/>
  <c r="H543" i="8" a="1"/>
  <c r="H543" i="8" s="1"/>
  <c r="H544" i="8" a="1"/>
  <c r="H544" i="8" s="1"/>
  <c r="H545" i="8" a="1"/>
  <c r="H545" i="8" s="1"/>
  <c r="H546" i="8" a="1"/>
  <c r="H546" i="8" s="1"/>
  <c r="H547" i="8" a="1"/>
  <c r="H547" i="8" s="1"/>
  <c r="H548" i="8" a="1"/>
  <c r="H548" i="8"/>
  <c r="H549" i="8" a="1"/>
  <c r="H549" i="8" s="1"/>
  <c r="H550" i="8" a="1"/>
  <c r="H550" i="8" s="1"/>
  <c r="H551" i="8" a="1"/>
  <c r="H551" i="8" s="1"/>
  <c r="H552" i="8" a="1"/>
  <c r="H552" i="8"/>
  <c r="H553" i="8" a="1"/>
  <c r="H553" i="8" s="1"/>
  <c r="H554" i="8" a="1"/>
  <c r="H554" i="8" s="1"/>
  <c r="H555" i="8" a="1"/>
  <c r="H555" i="8" s="1"/>
  <c r="H556" i="8" a="1"/>
  <c r="H556" i="8" s="1"/>
  <c r="H557" i="8" a="1"/>
  <c r="H557" i="8"/>
  <c r="H558" i="8" a="1"/>
  <c r="H558" i="8" s="1"/>
  <c r="H559" i="8" a="1"/>
  <c r="H559" i="8" s="1"/>
  <c r="H560" i="8" a="1"/>
  <c r="H560" i="8" s="1"/>
  <c r="H561" i="8" a="1"/>
  <c r="H561" i="8"/>
  <c r="H562" i="8" a="1"/>
  <c r="H562" i="8" s="1"/>
  <c r="H563" i="8" a="1"/>
  <c r="H563" i="8"/>
  <c r="H564" i="8" a="1"/>
  <c r="H564" i="8" s="1"/>
  <c r="H565" i="8" a="1"/>
  <c r="H565" i="8"/>
  <c r="H566" i="8" a="1"/>
  <c r="H566" i="8"/>
  <c r="H567" i="8" a="1"/>
  <c r="H567" i="8" s="1"/>
  <c r="H568" i="8" a="1"/>
  <c r="H568" i="8" s="1"/>
  <c r="H569" i="8" a="1"/>
  <c r="H569" i="8" s="1"/>
  <c r="H570" i="8" a="1"/>
  <c r="H570" i="8" s="1"/>
  <c r="H571" i="8" a="1"/>
  <c r="H571" i="8" s="1"/>
  <c r="H572" i="8" a="1"/>
  <c r="H572" i="8" s="1"/>
  <c r="H573" i="8" a="1"/>
  <c r="H573" i="8" s="1"/>
  <c r="H574" i="8" a="1"/>
  <c r="H574" i="8" s="1"/>
  <c r="H575" i="8" a="1"/>
  <c r="H575" i="8" s="1"/>
  <c r="H576" i="8" a="1"/>
  <c r="H576" i="8"/>
  <c r="H577" i="8" a="1"/>
  <c r="H577" i="8" s="1"/>
  <c r="H578" i="8" a="1"/>
  <c r="H578" i="8" s="1"/>
  <c r="H579" i="8" a="1"/>
  <c r="H579" i="8" s="1"/>
  <c r="H580" i="8" a="1"/>
  <c r="H580" i="8" s="1"/>
  <c r="H581" i="8" a="1"/>
  <c r="H581" i="8" s="1"/>
  <c r="H582" i="8" a="1"/>
  <c r="H582" i="8" s="1"/>
  <c r="H583" i="8" a="1"/>
  <c r="H583" i="8"/>
  <c r="H584" i="8" a="1"/>
  <c r="H584" i="8" s="1"/>
  <c r="H585" i="8" a="1"/>
  <c r="H585" i="8" s="1"/>
  <c r="H586" i="8" a="1"/>
  <c r="H586" i="8" s="1"/>
  <c r="H587" i="8" a="1"/>
  <c r="H587" i="8" s="1"/>
  <c r="H588" i="8" a="1"/>
  <c r="H588" i="8" s="1"/>
  <c r="H589" i="8" a="1"/>
  <c r="H589" i="8" s="1"/>
  <c r="H590" i="8" a="1"/>
  <c r="H590" i="8" s="1"/>
  <c r="H591" i="8" a="1"/>
  <c r="H591" i="8" s="1"/>
  <c r="H592" i="8" a="1"/>
  <c r="H592" i="8" s="1"/>
  <c r="H593" i="8" a="1"/>
  <c r="H593" i="8" s="1"/>
  <c r="H594" i="8" a="1"/>
  <c r="H594" i="8" s="1"/>
  <c r="H595" i="8" a="1"/>
  <c r="H595" i="8" s="1"/>
  <c r="H596" i="8" a="1"/>
  <c r="H596" i="8"/>
  <c r="H597" i="8" a="1"/>
  <c r="H597" i="8" s="1"/>
  <c r="H598" i="8" a="1"/>
  <c r="H598" i="8" s="1"/>
  <c r="H599" i="8" a="1"/>
  <c r="H599" i="8" s="1"/>
  <c r="H600" i="8" a="1"/>
  <c r="H600" i="8" s="1"/>
  <c r="H601" i="8" a="1"/>
  <c r="H601" i="8" s="1"/>
  <c r="H602" i="8" a="1"/>
  <c r="H602" i="8"/>
  <c r="H603" i="8" a="1"/>
  <c r="H603" i="8" s="1"/>
  <c r="H604" i="8" a="1"/>
  <c r="H604" i="8" s="1"/>
  <c r="H605" i="8" a="1"/>
  <c r="H605" i="8" s="1"/>
  <c r="H606" i="8" a="1"/>
  <c r="H606" i="8" s="1"/>
  <c r="H607" i="8" a="1"/>
  <c r="H607" i="8" s="1"/>
  <c r="H608" i="8" a="1"/>
  <c r="H608" i="8" s="1"/>
  <c r="H609" i="8" a="1"/>
  <c r="H609" i="8" s="1"/>
  <c r="H610" i="8" a="1"/>
  <c r="H610" i="8" s="1"/>
  <c r="H611" i="8" a="1"/>
  <c r="H611" i="8"/>
  <c r="H612" i="8" a="1"/>
  <c r="H612" i="8"/>
  <c r="H613" i="8" a="1"/>
  <c r="H613" i="8" s="1"/>
  <c r="H614" i="8" a="1"/>
  <c r="H614" i="8" s="1"/>
  <c r="H615" i="8" a="1"/>
  <c r="H615" i="8" s="1"/>
  <c r="H616" i="8" a="1"/>
  <c r="H616" i="8" s="1"/>
  <c r="H617" i="8" a="1"/>
  <c r="H617" i="8" s="1"/>
  <c r="H618" i="8" a="1"/>
  <c r="H618" i="8" s="1"/>
  <c r="H619" i="8" a="1"/>
  <c r="H619" i="8" s="1"/>
  <c r="H620" i="8" a="1"/>
  <c r="H620" i="8"/>
  <c r="H621" i="8" a="1"/>
  <c r="H621" i="8" s="1"/>
  <c r="H622" i="8" a="1"/>
  <c r="H622" i="8" s="1"/>
  <c r="H623" i="8" a="1"/>
  <c r="H623" i="8" s="1"/>
  <c r="H624" i="8" a="1"/>
  <c r="H624" i="8" s="1"/>
  <c r="H625" i="8" a="1"/>
  <c r="H625" i="8"/>
  <c r="H626" i="8" a="1"/>
  <c r="H626" i="8" s="1"/>
  <c r="H627" i="8" a="1"/>
  <c r="H627" i="8" s="1"/>
  <c r="H628" i="8" a="1"/>
  <c r="H628" i="8" s="1"/>
  <c r="H629" i="8" a="1"/>
  <c r="H629" i="8"/>
  <c r="H630" i="8" a="1"/>
  <c r="H630" i="8" s="1"/>
  <c r="H631" i="8" a="1"/>
  <c r="H631" i="8" s="1"/>
  <c r="H632" i="8" a="1"/>
  <c r="H632" i="8" s="1"/>
  <c r="H633" i="8" a="1"/>
  <c r="H633" i="8" s="1"/>
  <c r="H634" i="8" a="1"/>
  <c r="H634" i="8" s="1"/>
  <c r="H635" i="8" a="1"/>
  <c r="H635" i="8" s="1"/>
  <c r="H636" i="8" a="1"/>
  <c r="H636" i="8" s="1"/>
  <c r="H637" i="8" a="1"/>
  <c r="H637" i="8"/>
  <c r="H638" i="8" a="1"/>
  <c r="H638" i="8"/>
  <c r="H639" i="8" a="1"/>
  <c r="H639" i="8" s="1"/>
  <c r="H640" i="8" a="1"/>
  <c r="H640" i="8" s="1"/>
  <c r="H641" i="8" a="1"/>
  <c r="H641" i="8" s="1"/>
  <c r="H642" i="8" a="1"/>
  <c r="H642" i="8" s="1"/>
  <c r="H643" i="8" a="1"/>
  <c r="H643" i="8" s="1"/>
  <c r="H644" i="8" a="1"/>
  <c r="H644" i="8" s="1"/>
  <c r="H645" i="8" a="1"/>
  <c r="H645" i="8" s="1"/>
  <c r="H646" i="8" a="1"/>
  <c r="H646" i="8" s="1"/>
  <c r="H647" i="8" a="1"/>
  <c r="H647" i="8" s="1"/>
  <c r="H648" i="8" a="1"/>
  <c r="H648" i="8"/>
  <c r="H649" i="8" a="1"/>
  <c r="H649" i="8" s="1"/>
  <c r="H650" i="8" a="1"/>
  <c r="H650" i="8"/>
  <c r="H651" i="8" a="1"/>
  <c r="H651" i="8" s="1"/>
  <c r="H652" i="8" a="1"/>
  <c r="H652" i="8" s="1"/>
  <c r="H653" i="8" a="1"/>
  <c r="H653" i="8" s="1"/>
  <c r="H654" i="8" a="1"/>
  <c r="H654" i="8" s="1"/>
  <c r="H655" i="8" a="1"/>
  <c r="H655" i="8"/>
  <c r="H656" i="8" a="1"/>
  <c r="H656" i="8" s="1"/>
  <c r="H657" i="8" a="1"/>
  <c r="H657" i="8" s="1"/>
  <c r="H658" i="8" a="1"/>
  <c r="H658" i="8" s="1"/>
  <c r="H659" i="8" a="1"/>
  <c r="H659" i="8" s="1"/>
  <c r="H660" i="8" a="1"/>
  <c r="H660" i="8" s="1"/>
  <c r="H661" i="8" a="1"/>
  <c r="H661" i="8"/>
  <c r="H662" i="8" a="1"/>
  <c r="H662" i="8" s="1"/>
  <c r="H663" i="8" a="1"/>
  <c r="H663" i="8"/>
  <c r="H664" i="8" a="1"/>
  <c r="H664" i="8" s="1"/>
  <c r="H665" i="8" a="1"/>
  <c r="H665" i="8" s="1"/>
  <c r="H666" i="8" a="1"/>
  <c r="H666" i="8" s="1"/>
  <c r="H667" i="8" a="1"/>
  <c r="H667" i="8" s="1"/>
  <c r="H668" i="8" a="1"/>
  <c r="H668" i="8" s="1"/>
  <c r="H669" i="8" a="1"/>
  <c r="H669" i="8" s="1"/>
  <c r="H670" i="8" a="1"/>
  <c r="H670" i="8" s="1"/>
  <c r="H671" i="8" a="1"/>
  <c r="H671" i="8" s="1"/>
  <c r="H672" i="8" a="1"/>
  <c r="H672" i="8" s="1"/>
  <c r="H673" i="8" a="1"/>
  <c r="H673" i="8" s="1"/>
  <c r="H674" i="8" a="1"/>
  <c r="H674" i="8" s="1"/>
  <c r="H675" i="8" a="1"/>
  <c r="H675" i="8" s="1"/>
  <c r="H676" i="8" a="1"/>
  <c r="H676" i="8" s="1"/>
  <c r="H677" i="8" a="1"/>
  <c r="H677" i="8" s="1"/>
  <c r="H678" i="8" a="1"/>
  <c r="H678" i="8" s="1"/>
  <c r="H679" i="8" a="1"/>
  <c r="H679" i="8"/>
  <c r="H680" i="8" a="1"/>
  <c r="H680" i="8" s="1"/>
  <c r="H681" i="8" a="1"/>
  <c r="H681" i="8"/>
  <c r="H682" i="8" a="1"/>
  <c r="H682" i="8" s="1"/>
  <c r="H683" i="8" a="1"/>
  <c r="H683" i="8" s="1"/>
  <c r="H684" i="8" a="1"/>
  <c r="H684" i="8" s="1"/>
  <c r="H685" i="8" a="1"/>
  <c r="H685" i="8" s="1"/>
  <c r="H686" i="8" a="1"/>
  <c r="H686" i="8" s="1"/>
  <c r="H687" i="8" a="1"/>
  <c r="H687" i="8"/>
  <c r="H688" i="8" a="1"/>
  <c r="H688" i="8" s="1"/>
  <c r="H689" i="8" a="1"/>
  <c r="H689" i="8" s="1"/>
  <c r="H690" i="8" a="1"/>
  <c r="H690" i="8" s="1"/>
  <c r="H691" i="8" a="1"/>
  <c r="H691" i="8" s="1"/>
  <c r="H692" i="8" a="1"/>
  <c r="H692" i="8" s="1"/>
  <c r="H693" i="8" a="1"/>
  <c r="H693" i="8" s="1"/>
  <c r="H694" i="8" a="1"/>
  <c r="H694" i="8" s="1"/>
  <c r="H695" i="8" a="1"/>
  <c r="H695" i="8" s="1"/>
  <c r="H696" i="8" a="1"/>
  <c r="H696" i="8" s="1"/>
  <c r="H697" i="8" a="1"/>
  <c r="H697" i="8" s="1"/>
  <c r="H698" i="8" a="1"/>
  <c r="H698" i="8" s="1"/>
  <c r="H699" i="8" a="1"/>
  <c r="H699" i="8" s="1"/>
  <c r="H700" i="8" a="1"/>
  <c r="H700" i="8" s="1"/>
  <c r="H701" i="8" a="1"/>
  <c r="H701" i="8" s="1"/>
  <c r="H702" i="8" a="1"/>
  <c r="H702" i="8" s="1"/>
  <c r="H703" i="8" a="1"/>
  <c r="H703" i="8" s="1"/>
  <c r="H704" i="8" a="1"/>
  <c r="H704" i="8" s="1"/>
  <c r="H705" i="8" a="1"/>
  <c r="H705" i="8" s="1"/>
  <c r="H706" i="8" a="1"/>
  <c r="H706" i="8" s="1"/>
  <c r="H707" i="8" a="1"/>
  <c r="H707" i="8" s="1"/>
  <c r="H708" i="8" a="1"/>
  <c r="H708" i="8" s="1"/>
  <c r="H709" i="8" a="1"/>
  <c r="H709" i="8"/>
  <c r="H710" i="8" a="1"/>
  <c r="H710" i="8"/>
  <c r="H711" i="8" a="1"/>
  <c r="H711" i="8" s="1"/>
  <c r="H712" i="8" a="1"/>
  <c r="H712" i="8" s="1"/>
  <c r="H713" i="8" a="1"/>
  <c r="H713" i="8" s="1"/>
  <c r="H714" i="8" a="1"/>
  <c r="H714" i="8"/>
  <c r="H715" i="8" a="1"/>
  <c r="H715" i="8" s="1"/>
  <c r="H716" i="8" a="1"/>
  <c r="H716" i="8" s="1"/>
  <c r="H717" i="8" a="1"/>
  <c r="H717" i="8" s="1"/>
  <c r="H718" i="8" a="1"/>
  <c r="H718" i="8" s="1"/>
  <c r="H719" i="8" a="1"/>
  <c r="H719" i="8" s="1"/>
  <c r="H720" i="8" a="1"/>
  <c r="H720" i="8"/>
  <c r="H721" i="8" a="1"/>
  <c r="H721" i="8" s="1"/>
  <c r="H722" i="8" a="1"/>
  <c r="H722" i="8" s="1"/>
  <c r="H723" i="8" a="1"/>
  <c r="H723" i="8"/>
  <c r="H724" i="8" a="1"/>
  <c r="H724" i="8" s="1"/>
  <c r="H725" i="8" a="1"/>
  <c r="H725" i="8"/>
  <c r="H726" i="8" a="1"/>
  <c r="H726" i="8" s="1"/>
  <c r="H727" i="8" a="1"/>
  <c r="H727" i="8"/>
  <c r="H728" i="8" a="1"/>
  <c r="H728" i="8" s="1"/>
  <c r="H729" i="8" a="1"/>
  <c r="H729" i="8" s="1"/>
  <c r="H730" i="8" a="1"/>
  <c r="H730" i="8" s="1"/>
  <c r="H731" i="8" a="1"/>
  <c r="H731" i="8" s="1"/>
  <c r="H732" i="8" a="1"/>
  <c r="H732" i="8" s="1"/>
  <c r="H733" i="8" a="1"/>
  <c r="H733" i="8" s="1"/>
  <c r="H734" i="8" a="1"/>
  <c r="H734" i="8" s="1"/>
  <c r="H735" i="8" a="1"/>
  <c r="H735" i="8"/>
  <c r="H736" i="8" a="1"/>
  <c r="H736" i="8" s="1"/>
  <c r="H737" i="8" a="1"/>
  <c r="H737" i="8" s="1"/>
  <c r="H738" i="8" a="1"/>
  <c r="H738" i="8"/>
  <c r="H739" i="8" a="1"/>
  <c r="H739" i="8" s="1"/>
  <c r="H740" i="8" a="1"/>
  <c r="H740" i="8"/>
  <c r="H741" i="8" a="1"/>
  <c r="H741" i="8" s="1"/>
  <c r="H742" i="8" a="1"/>
  <c r="H742" i="8" s="1"/>
  <c r="H743" i="8" a="1"/>
  <c r="H743" i="8"/>
  <c r="H744" i="8" a="1"/>
  <c r="H744" i="8" s="1"/>
  <c r="H745" i="8" a="1"/>
  <c r="H745" i="8" s="1"/>
  <c r="H746" i="8" a="1"/>
  <c r="H746" i="8" s="1"/>
  <c r="H747" i="8" a="1"/>
  <c r="H747" i="8" s="1"/>
  <c r="H748" i="8" a="1"/>
  <c r="H748" i="8" s="1"/>
  <c r="H749" i="8" a="1"/>
  <c r="H749" i="8" s="1"/>
  <c r="H750" i="8" a="1"/>
  <c r="H750" i="8" s="1"/>
  <c r="H751" i="8" a="1"/>
  <c r="H751" i="8" s="1"/>
  <c r="H752" i="8" a="1"/>
  <c r="H752" i="8" s="1"/>
  <c r="H753" i="8" a="1"/>
  <c r="H753" i="8"/>
  <c r="H754" i="8" a="1"/>
  <c r="H754" i="8" s="1"/>
  <c r="H755" i="8" a="1"/>
  <c r="H755" i="8" s="1"/>
  <c r="H756" i="8" a="1"/>
  <c r="H756" i="8"/>
  <c r="H757" i="8" a="1"/>
  <c r="H757" i="8" s="1"/>
  <c r="H758" i="8" a="1"/>
  <c r="H758" i="8" s="1"/>
  <c r="H759" i="8" a="1"/>
  <c r="H759" i="8" s="1"/>
  <c r="H760" i="8" a="1"/>
  <c r="H760" i="8" s="1"/>
  <c r="H761" i="8" a="1"/>
  <c r="H761" i="8" s="1"/>
  <c r="H762" i="8" a="1"/>
  <c r="H762" i="8" s="1"/>
  <c r="H763" i="8" a="1"/>
  <c r="H763" i="8" s="1"/>
  <c r="H764" i="8" a="1"/>
  <c r="H764" i="8" s="1"/>
  <c r="H765" i="8" a="1"/>
  <c r="H765" i="8" s="1"/>
  <c r="H766" i="8" a="1"/>
  <c r="H766" i="8" s="1"/>
  <c r="H767" i="8" a="1"/>
  <c r="H767" i="8" s="1"/>
  <c r="H768" i="8" a="1"/>
  <c r="H768" i="8" s="1"/>
  <c r="H769" i="8" a="1"/>
  <c r="H769" i="8"/>
  <c r="H770" i="8" a="1"/>
  <c r="H770" i="8" s="1"/>
  <c r="H771" i="8" a="1"/>
  <c r="H771" i="8" s="1"/>
  <c r="H772" i="8" a="1"/>
  <c r="H772" i="8" s="1"/>
  <c r="H773" i="8" a="1"/>
  <c r="H773" i="8" s="1"/>
  <c r="H774" i="8" a="1"/>
  <c r="H774" i="8" s="1"/>
  <c r="H775" i="8" a="1"/>
  <c r="H775" i="8" s="1"/>
  <c r="H776" i="8" a="1"/>
  <c r="H776" i="8" s="1"/>
  <c r="H777" i="8" a="1"/>
  <c r="H777" i="8" s="1"/>
  <c r="H778" i="8" a="1"/>
  <c r="H778" i="8" s="1"/>
  <c r="H779" i="8" a="1"/>
  <c r="H779" i="8"/>
  <c r="H780" i="8" a="1"/>
  <c r="H780" i="8" s="1"/>
  <c r="H781" i="8" a="1"/>
  <c r="H781" i="8" s="1"/>
  <c r="H782" i="8" a="1"/>
  <c r="H782" i="8"/>
  <c r="H783" i="8" a="1"/>
  <c r="H783" i="8" s="1"/>
  <c r="H784" i="8" a="1"/>
  <c r="H784" i="8" s="1"/>
  <c r="H785" i="8" a="1"/>
  <c r="H785" i="8" s="1"/>
  <c r="H786" i="8" a="1"/>
  <c r="H786" i="8" s="1"/>
  <c r="H787" i="8" a="1"/>
  <c r="H787" i="8" s="1"/>
  <c r="H788" i="8" a="1"/>
  <c r="H788" i="8" s="1"/>
  <c r="H789" i="8" a="1"/>
  <c r="H789" i="8" s="1"/>
  <c r="H790" i="8" a="1"/>
  <c r="H790" i="8" s="1"/>
  <c r="H791" i="8" a="1"/>
  <c r="H791" i="8" s="1"/>
  <c r="H792" i="8" a="1"/>
  <c r="H792" i="8"/>
  <c r="H793" i="8" a="1"/>
  <c r="H793" i="8" s="1"/>
  <c r="H794" i="8" a="1"/>
  <c r="H794" i="8"/>
  <c r="H795" i="8" a="1"/>
  <c r="H795" i="8" s="1"/>
  <c r="H796" i="8" a="1"/>
  <c r="H796" i="8" s="1"/>
  <c r="H797" i="8" a="1"/>
  <c r="H797" i="8"/>
  <c r="H798" i="8" a="1"/>
  <c r="H798" i="8" s="1"/>
  <c r="H799" i="8" a="1"/>
  <c r="H799" i="8" s="1"/>
  <c r="H800" i="8" a="1"/>
  <c r="H800" i="8" s="1"/>
  <c r="H801" i="8" a="1"/>
  <c r="H801" i="8" s="1"/>
  <c r="H802" i="8" a="1"/>
  <c r="H802" i="8" s="1"/>
  <c r="H803" i="8" a="1"/>
  <c r="H803" i="8" s="1"/>
  <c r="H804" i="8" a="1"/>
  <c r="H804" i="8" s="1"/>
  <c r="H805" i="8" a="1"/>
  <c r="H805" i="8" s="1"/>
  <c r="H806" i="8" a="1"/>
  <c r="H806" i="8" s="1"/>
  <c r="H807" i="8" a="1"/>
  <c r="H807" i="8"/>
  <c r="H808" i="8" a="1"/>
  <c r="H808" i="8" s="1"/>
  <c r="H809" i="8" a="1"/>
  <c r="H809" i="8" s="1"/>
  <c r="H810" i="8" a="1"/>
  <c r="H810" i="8"/>
  <c r="H811" i="8" a="1"/>
  <c r="H811" i="8" s="1"/>
  <c r="H812" i="8" a="1"/>
  <c r="H812" i="8" s="1"/>
  <c r="H813" i="8" a="1"/>
  <c r="H813" i="8" s="1"/>
  <c r="H814" i="8" a="1"/>
  <c r="H814" i="8" s="1"/>
  <c r="H815" i="8" a="1"/>
  <c r="H815" i="8" s="1"/>
  <c r="H816" i="8" a="1"/>
  <c r="H816" i="8"/>
  <c r="H817" i="8" a="1"/>
  <c r="H817" i="8" s="1"/>
  <c r="H818" i="8" a="1"/>
  <c r="H818" i="8" s="1"/>
  <c r="H819" i="8" a="1"/>
  <c r="H819" i="8" s="1"/>
  <c r="H820" i="8" a="1"/>
  <c r="H820" i="8" s="1"/>
  <c r="H821" i="8" a="1"/>
  <c r="H821" i="8" s="1"/>
  <c r="H822" i="8" a="1"/>
  <c r="H822" i="8" s="1"/>
  <c r="H823" i="8" a="1"/>
  <c r="H823" i="8" s="1"/>
  <c r="H824" i="8" a="1"/>
  <c r="H824" i="8" s="1"/>
  <c r="H825" i="8" a="1"/>
  <c r="H825" i="8" s="1"/>
  <c r="H826" i="8" a="1"/>
  <c r="H826" i="8" s="1"/>
  <c r="H827" i="8" a="1"/>
  <c r="H827" i="8" s="1"/>
  <c r="H828" i="8" a="1"/>
  <c r="H828" i="8"/>
  <c r="H829" i="8" a="1"/>
  <c r="H829" i="8" s="1"/>
  <c r="H830" i="8" a="1"/>
  <c r="H830" i="8" s="1"/>
  <c r="H831" i="8" a="1"/>
  <c r="H831" i="8" s="1"/>
  <c r="H832" i="8" a="1"/>
  <c r="H832" i="8" s="1"/>
  <c r="H833" i="8" a="1"/>
  <c r="H833" i="8" s="1"/>
  <c r="H834" i="8" a="1"/>
  <c r="H834" i="8" s="1"/>
  <c r="H835" i="8" a="1"/>
  <c r="H835" i="8" s="1"/>
  <c r="H836" i="8" a="1"/>
  <c r="H836" i="8" s="1"/>
  <c r="H837" i="8" a="1"/>
  <c r="H837" i="8" s="1"/>
  <c r="H838" i="8" a="1"/>
  <c r="H838" i="8" s="1"/>
  <c r="H839" i="8" a="1"/>
  <c r="H839" i="8" s="1"/>
  <c r="H840" i="8" a="1"/>
  <c r="H840" i="8" s="1"/>
  <c r="H841" i="8" a="1"/>
  <c r="H841" i="8" s="1"/>
  <c r="H842" i="8" a="1"/>
  <c r="H842" i="8" s="1"/>
  <c r="H843" i="8" a="1"/>
  <c r="H843" i="8" s="1"/>
  <c r="H844" i="8" a="1"/>
  <c r="H844" i="8" s="1"/>
  <c r="H845" i="8" a="1"/>
  <c r="H845" i="8" s="1"/>
  <c r="H846" i="8" a="1"/>
  <c r="H846" i="8"/>
  <c r="H847" i="8" a="1"/>
  <c r="H847" i="8" s="1"/>
  <c r="H848" i="8" a="1"/>
  <c r="H848" i="8" s="1"/>
  <c r="H849" i="8" a="1"/>
  <c r="H849" i="8" s="1"/>
  <c r="H850" i="8" a="1"/>
  <c r="H850" i="8" s="1"/>
  <c r="H851" i="8" a="1"/>
  <c r="H851" i="8" s="1"/>
  <c r="H852" i="8" a="1"/>
  <c r="H852" i="8" s="1"/>
  <c r="H853" i="8" a="1"/>
  <c r="H853" i="8" s="1"/>
  <c r="H854" i="8" a="1"/>
  <c r="H854" i="8" s="1"/>
  <c r="H855" i="8" a="1"/>
  <c r="H855" i="8" s="1"/>
  <c r="H856" i="8" a="1"/>
  <c r="H856" i="8" s="1"/>
  <c r="H857" i="8" a="1"/>
  <c r="H857" i="8" s="1"/>
  <c r="H858" i="8" a="1"/>
  <c r="H858" i="8" s="1"/>
  <c r="H859" i="8" a="1"/>
  <c r="H859" i="8" s="1"/>
  <c r="H860" i="8" a="1"/>
  <c r="H860" i="8"/>
  <c r="H861" i="8" a="1"/>
  <c r="H861" i="8" s="1"/>
  <c r="H862" i="8" a="1"/>
  <c r="H862" i="8" s="1"/>
  <c r="H863" i="8" a="1"/>
  <c r="H863" i="8" s="1"/>
  <c r="H864" i="8" a="1"/>
  <c r="H864" i="8"/>
  <c r="H865" i="8" a="1"/>
  <c r="H865" i="8" s="1"/>
  <c r="H866" i="8" a="1"/>
  <c r="H866" i="8" s="1"/>
  <c r="H867" i="8" a="1"/>
  <c r="H867" i="8" s="1"/>
  <c r="H868" i="8" a="1"/>
  <c r="H868" i="8" s="1"/>
  <c r="H869" i="8" a="1"/>
  <c r="H869" i="8" s="1"/>
  <c r="H870" i="8" a="1"/>
  <c r="H870" i="8" s="1"/>
  <c r="H871" i="8" a="1"/>
  <c r="H871" i="8" s="1"/>
  <c r="H872" i="8" a="1"/>
  <c r="H872" i="8" s="1"/>
  <c r="H873" i="8" a="1"/>
  <c r="H873" i="8" s="1"/>
  <c r="H874" i="8" a="1"/>
  <c r="H874" i="8" s="1"/>
  <c r="H875" i="8" a="1"/>
  <c r="H875" i="8" s="1"/>
  <c r="H876" i="8" a="1"/>
  <c r="H876" i="8" s="1"/>
  <c r="H877" i="8" a="1"/>
  <c r="H877" i="8" s="1"/>
  <c r="H878" i="8" a="1"/>
  <c r="H878" i="8" s="1"/>
  <c r="H879" i="8" a="1"/>
  <c r="H879" i="8" s="1"/>
  <c r="H880" i="8" a="1"/>
  <c r="H880" i="8" s="1"/>
  <c r="H881" i="8" a="1"/>
  <c r="H881" i="8" s="1"/>
  <c r="H882" i="8" a="1"/>
  <c r="H882" i="8"/>
  <c r="H883" i="8" a="1"/>
  <c r="H883" i="8" s="1"/>
  <c r="H884" i="8" a="1"/>
  <c r="H884" i="8" s="1"/>
  <c r="H885" i="8" a="1"/>
  <c r="H885" i="8" s="1"/>
  <c r="H886" i="8" a="1"/>
  <c r="H886" i="8" s="1"/>
  <c r="H887" i="8" a="1"/>
  <c r="H887" i="8" s="1"/>
  <c r="H888" i="8" a="1"/>
  <c r="H888" i="8" s="1"/>
  <c r="H889" i="8" a="1"/>
  <c r="H889" i="8" s="1"/>
  <c r="H890" i="8" a="1"/>
  <c r="H890" i="8" s="1"/>
  <c r="H891" i="8" a="1"/>
  <c r="H891" i="8" s="1"/>
  <c r="H892" i="8" a="1"/>
  <c r="H892" i="8" s="1"/>
  <c r="H893" i="8" a="1"/>
  <c r="H893" i="8" s="1"/>
  <c r="H894" i="8" a="1"/>
  <c r="H894" i="8" s="1"/>
  <c r="H895" i="8" a="1"/>
  <c r="H895" i="8" s="1"/>
  <c r="H896" i="8" a="1"/>
  <c r="H896" i="8" s="1"/>
  <c r="H897" i="8" a="1"/>
  <c r="H897" i="8" s="1"/>
  <c r="H898" i="8" a="1"/>
  <c r="H898" i="8" s="1"/>
  <c r="H899" i="8" a="1"/>
  <c r="H899" i="8" s="1"/>
  <c r="H900" i="8" a="1"/>
  <c r="H900" i="8" s="1"/>
  <c r="H901" i="8" a="1"/>
  <c r="H901" i="8" s="1"/>
  <c r="H902" i="8" a="1"/>
  <c r="H902" i="8" s="1"/>
  <c r="H903" i="8" a="1"/>
  <c r="H903" i="8" s="1"/>
  <c r="H904" i="8" a="1"/>
  <c r="H904" i="8" s="1"/>
  <c r="H905" i="8" a="1"/>
  <c r="H905" i="8" s="1"/>
  <c r="H906" i="8" a="1"/>
  <c r="H906" i="8" s="1"/>
  <c r="H907" i="8" a="1"/>
  <c r="H907" i="8" s="1"/>
  <c r="H908" i="8" a="1"/>
  <c r="H908" i="8" s="1"/>
  <c r="H909" i="8" a="1"/>
  <c r="H909" i="8" s="1"/>
  <c r="H910" i="8" a="1"/>
  <c r="H910" i="8" s="1"/>
  <c r="H911" i="8" a="1"/>
  <c r="H911" i="8" s="1"/>
  <c r="H912" i="8" a="1"/>
  <c r="H912" i="8" s="1"/>
  <c r="H913" i="8" a="1"/>
  <c r="H913" i="8" s="1"/>
  <c r="H914" i="8" a="1"/>
  <c r="H914" i="8" s="1"/>
  <c r="H915" i="8" a="1"/>
  <c r="H915" i="8" s="1"/>
  <c r="H916" i="8" a="1"/>
  <c r="H916" i="8" s="1"/>
  <c r="H917" i="8" a="1"/>
  <c r="H917" i="8" s="1"/>
  <c r="H918" i="8" a="1"/>
  <c r="H918" i="8" s="1"/>
  <c r="H919" i="8" a="1"/>
  <c r="H919" i="8" s="1"/>
  <c r="H920" i="8" a="1"/>
  <c r="H920" i="8" s="1"/>
  <c r="H921" i="8" a="1"/>
  <c r="H921" i="8" s="1"/>
  <c r="H922" i="8" a="1"/>
  <c r="H922" i="8" s="1"/>
  <c r="H923" i="8" a="1"/>
  <c r="H923" i="8" s="1"/>
  <c r="H924" i="8" a="1"/>
  <c r="H924" i="8" s="1"/>
  <c r="H925" i="8" a="1"/>
  <c r="H925" i="8" s="1"/>
  <c r="H926" i="8" a="1"/>
  <c r="H926" i="8" s="1"/>
  <c r="H927" i="8" a="1"/>
  <c r="H927" i="8" s="1"/>
  <c r="H928" i="8" a="1"/>
  <c r="H928" i="8" s="1"/>
  <c r="H929" i="8" a="1"/>
  <c r="H929" i="8" s="1"/>
  <c r="H930" i="8" a="1"/>
  <c r="H930" i="8" s="1"/>
  <c r="H931" i="8" a="1"/>
  <c r="H931" i="8" s="1"/>
  <c r="H932" i="8" a="1"/>
  <c r="H932" i="8" s="1"/>
  <c r="H933" i="8" a="1"/>
  <c r="H933" i="8" s="1"/>
  <c r="H934" i="8" a="1"/>
  <c r="H934" i="8" s="1"/>
  <c r="H935" i="8" a="1"/>
  <c r="H935" i="8" s="1"/>
  <c r="H936" i="8" a="1"/>
  <c r="H936" i="8"/>
  <c r="H937" i="8" a="1"/>
  <c r="H937" i="8" s="1"/>
  <c r="H938" i="8" a="1"/>
  <c r="H938" i="8" s="1"/>
  <c r="H939" i="8" a="1"/>
  <c r="H939" i="8" s="1"/>
  <c r="H940" i="8" a="1"/>
  <c r="H940" i="8" s="1"/>
  <c r="H941" i="8" a="1"/>
  <c r="H941" i="8" s="1"/>
  <c r="H942" i="8" a="1"/>
  <c r="H942" i="8" s="1"/>
  <c r="H943" i="8" a="1"/>
  <c r="H943" i="8" s="1"/>
  <c r="H944" i="8" a="1"/>
  <c r="H944" i="8" s="1"/>
  <c r="H945" i="8" a="1"/>
  <c r="H945" i="8" s="1"/>
  <c r="H946" i="8" a="1"/>
  <c r="H946" i="8" s="1"/>
  <c r="H947" i="8" a="1"/>
  <c r="H947" i="8" s="1"/>
  <c r="H948" i="8" a="1"/>
  <c r="H948" i="8" s="1"/>
  <c r="H949" i="8" a="1"/>
  <c r="H949" i="8" s="1"/>
  <c r="H950" i="8" a="1"/>
  <c r="H950" i="8" s="1"/>
  <c r="H951" i="8" a="1"/>
  <c r="H951" i="8" s="1"/>
  <c r="H952" i="8" a="1"/>
  <c r="H952" i="8" s="1"/>
  <c r="H953" i="8" a="1"/>
  <c r="H953" i="8" s="1"/>
  <c r="H954" i="8" a="1"/>
  <c r="H954" i="8" s="1"/>
  <c r="H955" i="8" a="1"/>
  <c r="H955" i="8" s="1"/>
  <c r="H956" i="8" a="1"/>
  <c r="H956" i="8" s="1"/>
  <c r="H957" i="8" a="1"/>
  <c r="H957" i="8" s="1"/>
  <c r="H958" i="8" a="1"/>
  <c r="H958" i="8" s="1"/>
  <c r="H959" i="8" a="1"/>
  <c r="H959" i="8" s="1"/>
  <c r="H960" i="8" a="1"/>
  <c r="H960" i="8" s="1"/>
  <c r="H961" i="8" a="1"/>
  <c r="H961" i="8" s="1"/>
  <c r="H962" i="8" a="1"/>
  <c r="H962" i="8" s="1"/>
  <c r="H963" i="8" a="1"/>
  <c r="H963" i="8" s="1"/>
  <c r="H964" i="8" a="1"/>
  <c r="H964" i="8" s="1"/>
  <c r="H965" i="8" a="1"/>
  <c r="H965" i="8" s="1"/>
  <c r="H966" i="8" a="1"/>
  <c r="H966" i="8" s="1"/>
  <c r="H967" i="8" a="1"/>
  <c r="H967" i="8" s="1"/>
  <c r="H968" i="8" a="1"/>
  <c r="H968" i="8" s="1"/>
  <c r="H969" i="8" a="1"/>
  <c r="H969" i="8" s="1"/>
  <c r="H970" i="8" a="1"/>
  <c r="H970" i="8" s="1"/>
  <c r="H971" i="8" a="1"/>
  <c r="H971" i="8" s="1"/>
  <c r="H972" i="8" a="1"/>
  <c r="H972" i="8" s="1"/>
  <c r="H973" i="8" a="1"/>
  <c r="H973" i="8" s="1"/>
  <c r="H974" i="8" a="1"/>
  <c r="H974" i="8" s="1"/>
  <c r="H975" i="8" a="1"/>
  <c r="H975" i="8" s="1"/>
  <c r="H976" i="8" a="1"/>
  <c r="H976" i="8" s="1"/>
  <c r="H977" i="8" a="1"/>
  <c r="H977" i="8" s="1"/>
  <c r="H978" i="8" a="1"/>
  <c r="H978" i="8" s="1"/>
  <c r="H979" i="8" a="1"/>
  <c r="H979" i="8" s="1"/>
  <c r="H980" i="8" a="1"/>
  <c r="H980" i="8" s="1"/>
  <c r="H981" i="8" a="1"/>
  <c r="H981" i="8" s="1"/>
  <c r="H982" i="8" a="1"/>
  <c r="H982" i="8" s="1"/>
  <c r="H983" i="8" a="1"/>
  <c r="H983" i="8" s="1"/>
  <c r="H984" i="8" a="1"/>
  <c r="H984" i="8" s="1"/>
  <c r="H985" i="8" a="1"/>
  <c r="H985" i="8" s="1"/>
  <c r="H986" i="8" a="1"/>
  <c r="H986" i="8" s="1"/>
  <c r="H987" i="8" a="1"/>
  <c r="H987" i="8" s="1"/>
  <c r="H988" i="8" a="1"/>
  <c r="H988" i="8" s="1"/>
  <c r="H989" i="8" a="1"/>
  <c r="H989" i="8" s="1"/>
  <c r="H990" i="8" a="1"/>
  <c r="H990" i="8" s="1"/>
  <c r="H991" i="8" a="1"/>
  <c r="H991" i="8" s="1"/>
  <c r="H992" i="8" a="1"/>
  <c r="H992" i="8" s="1"/>
  <c r="H993" i="8" a="1"/>
  <c r="H993" i="8" s="1"/>
  <c r="H994" i="8" a="1"/>
  <c r="H994" i="8" s="1"/>
  <c r="H995" i="8" a="1"/>
  <c r="H995" i="8" s="1"/>
  <c r="H996" i="8" a="1"/>
  <c r="H996" i="8" s="1"/>
  <c r="H997" i="8" a="1"/>
  <c r="H997" i="8" s="1"/>
  <c r="H998" i="8" a="1"/>
  <c r="H998" i="8" s="1"/>
  <c r="H999" i="8" a="1"/>
  <c r="H999" i="8" s="1"/>
  <c r="H1000" i="8" a="1"/>
  <c r="H1000" i="8" s="1"/>
  <c r="H1001" i="8" a="1"/>
  <c r="H1001" i="8" s="1"/>
  <c r="H1002" i="8" a="1"/>
  <c r="H1002" i="8" s="1"/>
  <c r="H1003" i="8" a="1"/>
  <c r="H1003" i="8" s="1"/>
  <c r="H1004" i="8" a="1"/>
  <c r="H1004" i="8" s="1"/>
  <c r="H1005" i="8" a="1"/>
  <c r="H1005" i="8" s="1"/>
  <c r="H1006" i="8" a="1"/>
  <c r="H1006" i="8" s="1"/>
  <c r="H1007" i="8" a="1"/>
  <c r="H1007" i="8" s="1"/>
  <c r="H1008" i="8" a="1"/>
  <c r="H1008" i="8" s="1"/>
  <c r="H1009" i="8" a="1"/>
  <c r="H1009" i="8" s="1"/>
  <c r="H1010" i="8" a="1"/>
  <c r="H1010" i="8" s="1"/>
  <c r="H1011" i="8" a="1"/>
  <c r="H1011" i="8" s="1"/>
  <c r="H1012" i="8" a="1"/>
  <c r="H1012" i="8" s="1"/>
  <c r="H1013" i="8" a="1"/>
  <c r="H1013" i="8" s="1"/>
  <c r="H1014" i="8" a="1"/>
  <c r="H1014" i="8" s="1"/>
  <c r="H1015" i="8" a="1"/>
  <c r="H1015" i="8" s="1"/>
  <c r="H1016" i="8" a="1"/>
  <c r="H1016" i="8" s="1"/>
  <c r="H1017" i="8" a="1"/>
  <c r="H1017" i="8" s="1"/>
  <c r="H1018" i="8" a="1"/>
  <c r="H1018" i="8" s="1"/>
  <c r="H1019" i="8" a="1"/>
  <c r="H1019" i="8" s="1"/>
  <c r="H1020" i="8" a="1"/>
  <c r="H1020" i="8" s="1"/>
  <c r="H1021" i="8" a="1"/>
  <c r="H1021" i="8" s="1"/>
  <c r="H1022" i="8" a="1"/>
  <c r="H1022" i="8" s="1"/>
  <c r="H1023" i="8" a="1"/>
  <c r="H1023" i="8" s="1"/>
  <c r="H1024" i="8" a="1"/>
  <c r="H1024" i="8" s="1"/>
  <c r="H1025" i="8" a="1"/>
  <c r="H1025" i="8" s="1"/>
  <c r="H1026" i="8" a="1"/>
  <c r="H1026" i="8"/>
  <c r="H1027" i="8" a="1"/>
  <c r="H1027" i="8" s="1"/>
  <c r="H1028" i="8" a="1"/>
  <c r="H1028" i="8" s="1"/>
  <c r="H1029" i="8" a="1"/>
  <c r="H1029" i="8" s="1"/>
  <c r="H1030" i="8" a="1"/>
  <c r="H1030" i="8" s="1"/>
  <c r="H1031" i="8" a="1"/>
  <c r="H1031" i="8" s="1"/>
  <c r="H1032" i="8" a="1"/>
  <c r="H1032" i="8" s="1"/>
  <c r="H1033" i="8" a="1"/>
  <c r="H1033" i="8" s="1"/>
  <c r="H1034" i="8" a="1"/>
  <c r="H1034" i="8" s="1"/>
  <c r="H1035" i="8" a="1"/>
  <c r="H1035" i="8" s="1"/>
  <c r="H1036" i="8" a="1"/>
  <c r="H1036" i="8" s="1"/>
  <c r="H1037" i="8" a="1"/>
  <c r="H1037" i="8" s="1"/>
  <c r="H1038" i="8" a="1"/>
  <c r="H1038" i="8" s="1"/>
  <c r="H1039" i="8" a="1"/>
  <c r="H1039" i="8" s="1"/>
  <c r="H1040" i="8" a="1"/>
  <c r="H1040" i="8" s="1"/>
  <c r="H1041" i="8" a="1"/>
  <c r="H1041" i="8" s="1"/>
  <c r="H1042" i="8" a="1"/>
  <c r="H1042" i="8" s="1"/>
  <c r="H1043" i="8" a="1"/>
  <c r="H1043" i="8" s="1"/>
  <c r="H1044" i="8" a="1"/>
  <c r="H1044" i="8"/>
  <c r="H1045" i="8" a="1"/>
  <c r="H1045" i="8" s="1"/>
  <c r="H1046" i="8" a="1"/>
  <c r="H1046" i="8" s="1"/>
  <c r="H1047" i="8" a="1"/>
  <c r="H1047" i="8" s="1"/>
  <c r="H1048" i="8" a="1"/>
  <c r="H1048" i="8" s="1"/>
  <c r="H1049" i="8" a="1"/>
  <c r="H1049" i="8" s="1"/>
  <c r="H1050" i="8" a="1"/>
  <c r="H1050" i="8" s="1"/>
  <c r="H1051" i="8" a="1"/>
  <c r="H1051" i="8" s="1"/>
  <c r="H1052" i="8" a="1"/>
  <c r="H1052" i="8" s="1"/>
  <c r="H1053" i="8" a="1"/>
  <c r="H1053" i="8" s="1"/>
  <c r="H1054" i="8" a="1"/>
  <c r="H1054" i="8" s="1"/>
  <c r="H1055" i="8" a="1"/>
  <c r="H1055" i="8" s="1"/>
  <c r="H1056" i="8" a="1"/>
  <c r="H1056" i="8" s="1"/>
  <c r="H1057" i="8" a="1"/>
  <c r="H1057" i="8" s="1"/>
  <c r="H1058" i="8" a="1"/>
  <c r="H1058" i="8" s="1"/>
  <c r="H1059" i="8" a="1"/>
  <c r="H1059" i="8" s="1"/>
  <c r="H1060" i="8" a="1"/>
  <c r="H1060" i="8" s="1"/>
  <c r="H1061" i="8" a="1"/>
  <c r="H1061" i="8" s="1"/>
  <c r="H1062" i="8" a="1"/>
  <c r="H1062" i="8" s="1"/>
  <c r="H1063" i="8" a="1"/>
  <c r="H1063" i="8" s="1"/>
  <c r="H1064" i="8" a="1"/>
  <c r="H1064" i="8" s="1"/>
  <c r="H1065" i="8" a="1"/>
  <c r="H1065" i="8" s="1"/>
  <c r="H1066" i="8" a="1"/>
  <c r="H1066" i="8" s="1"/>
  <c r="H1067" i="8" a="1"/>
  <c r="H1067" i="8" s="1"/>
  <c r="H1068" i="8" a="1"/>
  <c r="H1068" i="8" s="1"/>
  <c r="H1069" i="8" a="1"/>
  <c r="H1069" i="8" s="1"/>
  <c r="H1070" i="8" a="1"/>
  <c r="H1070" i="8" s="1"/>
  <c r="H1071" i="8" a="1"/>
  <c r="H1071" i="8" s="1"/>
  <c r="H1072" i="8" a="1"/>
  <c r="H1072" i="8" s="1"/>
  <c r="H1073" i="8" a="1"/>
  <c r="H1073" i="8" s="1"/>
  <c r="H1074" i="8" a="1"/>
  <c r="H1074" i="8" s="1"/>
  <c r="H1075" i="8" a="1"/>
  <c r="H1075" i="8" s="1"/>
  <c r="H1076" i="8" a="1"/>
  <c r="H1076" i="8" s="1"/>
  <c r="H1077" i="8" a="1"/>
  <c r="H1077" i="8" s="1"/>
  <c r="H1078" i="8" a="1"/>
  <c r="H1078" i="8" s="1"/>
  <c r="H1079" i="8" a="1"/>
  <c r="H1079" i="8" s="1"/>
  <c r="H1080" i="8" a="1"/>
  <c r="H1080" i="8"/>
  <c r="H1081" i="8" a="1"/>
  <c r="H1081" i="8" s="1"/>
  <c r="H1082" i="8" a="1"/>
  <c r="H1082" i="8" s="1"/>
  <c r="H1083" i="8" a="1"/>
  <c r="H1083" i="8" s="1"/>
  <c r="H1084" i="8" a="1"/>
  <c r="H1084" i="8" s="1"/>
  <c r="H1085" i="8" a="1"/>
  <c r="H1085" i="8" s="1"/>
  <c r="H1086" i="8" a="1"/>
  <c r="H1086" i="8" s="1"/>
  <c r="H1087" i="8" a="1"/>
  <c r="H1087" i="8" s="1"/>
  <c r="H1088" i="8" a="1"/>
  <c r="H1088" i="8" s="1"/>
  <c r="H1089" i="8" a="1"/>
  <c r="H1089" i="8" s="1"/>
  <c r="H1090" i="8" a="1"/>
  <c r="H1090" i="8" s="1"/>
  <c r="H1091" i="8" a="1"/>
  <c r="H1091" i="8" s="1"/>
  <c r="H1092" i="8" a="1"/>
  <c r="H1092" i="8" s="1"/>
  <c r="H1093" i="8" a="1"/>
  <c r="H1093" i="8" s="1"/>
  <c r="H1094" i="8" a="1"/>
  <c r="H1094" i="8" s="1"/>
  <c r="H1095" i="8" a="1"/>
  <c r="H1095" i="8" s="1"/>
  <c r="H1096" i="8" a="1"/>
  <c r="H1096" i="8" s="1"/>
  <c r="H1097" i="8" a="1"/>
  <c r="H1097" i="8" s="1"/>
  <c r="H1098" i="8" a="1"/>
  <c r="H1098" i="8" s="1"/>
  <c r="H1099" i="8" a="1"/>
  <c r="H1099" i="8" s="1"/>
  <c r="H1100" i="8" a="1"/>
  <c r="H1100" i="8" s="1"/>
  <c r="H1101" i="8" a="1"/>
  <c r="H1101" i="8" s="1"/>
  <c r="H1102" i="8" a="1"/>
  <c r="H1102" i="8" s="1"/>
  <c r="H1103" i="8" a="1"/>
  <c r="H1103" i="8" s="1"/>
  <c r="H1104" i="8" a="1"/>
  <c r="H1104" i="8" s="1"/>
  <c r="H1105" i="8" a="1"/>
  <c r="H1105" i="8" s="1"/>
  <c r="H1106" i="8" a="1"/>
  <c r="H1106" i="8" s="1"/>
  <c r="H1107" i="8" a="1"/>
  <c r="H1107" i="8" s="1"/>
  <c r="H1108" i="8" a="1"/>
  <c r="H1108" i="8" s="1"/>
  <c r="H1109" i="8" a="1"/>
  <c r="H1109" i="8" s="1"/>
  <c r="H1110" i="8" a="1"/>
  <c r="H1110" i="8" s="1"/>
  <c r="H1111" i="8" a="1"/>
  <c r="H1111" i="8" s="1"/>
  <c r="H1112" i="8" a="1"/>
  <c r="H1112" i="8" s="1"/>
  <c r="H1113" i="8" a="1"/>
  <c r="H1113" i="8" s="1"/>
  <c r="H1114" i="8" a="1"/>
  <c r="H1114" i="8" s="1"/>
  <c r="H1115" i="8" a="1"/>
  <c r="H1115" i="8" s="1"/>
  <c r="H1116" i="8" a="1"/>
  <c r="H1116" i="8" s="1"/>
  <c r="H1117" i="8" a="1"/>
  <c r="H1117" i="8" s="1"/>
  <c r="H1118" i="8" a="1"/>
  <c r="H1118" i="8" s="1"/>
  <c r="H1119" i="8" a="1"/>
  <c r="H1119" i="8" s="1"/>
  <c r="H1120" i="8" a="1"/>
  <c r="H1120" i="8" s="1"/>
  <c r="H1121" i="8" a="1"/>
  <c r="H1121" i="8" s="1"/>
  <c r="H1122" i="8" a="1"/>
  <c r="H1122" i="8" s="1"/>
  <c r="H1123" i="8" a="1"/>
  <c r="H1123" i="8" s="1"/>
  <c r="H1124" i="8" a="1"/>
  <c r="H1124" i="8" s="1"/>
  <c r="H1125" i="8" a="1"/>
  <c r="H1125" i="8" s="1"/>
  <c r="H1126" i="8" a="1"/>
  <c r="H1126" i="8"/>
  <c r="H1127" i="8" a="1"/>
  <c r="H1127" i="8" s="1"/>
  <c r="H1128" i="8" a="1"/>
  <c r="H1128" i="8" s="1"/>
  <c r="H1129" i="8" a="1"/>
  <c r="H1129" i="8" s="1"/>
  <c r="H1130" i="8" a="1"/>
  <c r="H1130" i="8" s="1"/>
  <c r="H1131" i="8" a="1"/>
  <c r="H1131" i="8" s="1"/>
  <c r="H1132" i="8" a="1"/>
  <c r="H1132" i="8" s="1"/>
  <c r="H1133" i="8" a="1"/>
  <c r="H1133" i="8" s="1"/>
  <c r="H1134" i="8" a="1"/>
  <c r="H1134" i="8" s="1"/>
  <c r="H1135" i="8" a="1"/>
  <c r="H1135" i="8" s="1"/>
  <c r="H1136" i="8" a="1"/>
  <c r="H1136" i="8"/>
  <c r="H1137" i="8" a="1"/>
  <c r="H1137" i="8" s="1"/>
  <c r="H1138" i="8" a="1"/>
  <c r="H1138" i="8" s="1"/>
  <c r="H1139" i="8" a="1"/>
  <c r="H1139" i="8" s="1"/>
  <c r="H1140" i="8" a="1"/>
  <c r="H1140" i="8" s="1"/>
  <c r="H1141" i="8" a="1"/>
  <c r="H1141" i="8"/>
  <c r="H1142" i="8" a="1"/>
  <c r="H1142" i="8" s="1"/>
  <c r="H1143" i="8" a="1"/>
  <c r="H1143" i="8" s="1"/>
  <c r="H1144" i="8" a="1"/>
  <c r="H1144" i="8" s="1"/>
  <c r="H1145" i="8" a="1"/>
  <c r="H1145" i="8" s="1"/>
  <c r="H1146" i="8" a="1"/>
  <c r="H1146" i="8" s="1"/>
  <c r="H1147" i="8" a="1"/>
  <c r="H1147" i="8"/>
  <c r="H1148" i="8" a="1"/>
  <c r="H1148" i="8" s="1"/>
  <c r="H1149" i="8" a="1"/>
  <c r="H1149" i="8" s="1"/>
  <c r="H1150" i="8" a="1"/>
  <c r="H1150" i="8" s="1"/>
  <c r="H1151" i="8" a="1"/>
  <c r="H1151" i="8" s="1"/>
  <c r="H1152" i="8" a="1"/>
  <c r="H1152" i="8" s="1"/>
  <c r="H1153" i="8" a="1"/>
  <c r="H1153" i="8"/>
  <c r="H1154" i="8" a="1"/>
  <c r="H1154" i="8" s="1"/>
  <c r="H1155" i="8" a="1"/>
  <c r="H1155" i="8"/>
  <c r="H1156" i="8" a="1"/>
  <c r="H1156" i="8" s="1"/>
  <c r="H1157" i="8" a="1"/>
  <c r="H1157" i="8" s="1"/>
  <c r="H1158" i="8" a="1"/>
  <c r="H1158" i="8" s="1"/>
  <c r="H1159" i="8" a="1"/>
  <c r="H1159" i="8" s="1"/>
  <c r="H1160" i="8" a="1"/>
  <c r="H1160" i="8" s="1"/>
  <c r="H1161" i="8" a="1"/>
  <c r="H1161" i="8"/>
  <c r="H1162" i="8" a="1"/>
  <c r="H1162" i="8" s="1"/>
  <c r="H1163" i="8" a="1"/>
  <c r="H1163" i="8"/>
  <c r="H1164" i="8" a="1"/>
  <c r="H1164" i="8" s="1"/>
  <c r="H1165" i="8" a="1"/>
  <c r="H1165" i="8" s="1"/>
  <c r="H1166" i="8" a="1"/>
  <c r="H1166" i="8" s="1"/>
  <c r="H1167" i="8" a="1"/>
  <c r="H1167" i="8" s="1"/>
  <c r="H1168" i="8" a="1"/>
  <c r="H1168" i="8" s="1"/>
  <c r="H1169" i="8" a="1"/>
  <c r="H1169" i="8" s="1"/>
  <c r="H1170" i="8" a="1"/>
  <c r="H1170" i="8" s="1"/>
  <c r="H1171" i="8" a="1"/>
  <c r="H1171" i="8" s="1"/>
  <c r="H1172" i="8" a="1"/>
  <c r="H1172" i="8" s="1"/>
  <c r="H1173" i="8" a="1"/>
  <c r="H1173" i="8"/>
  <c r="H1174" i="8" a="1"/>
  <c r="H1174" i="8" s="1"/>
  <c r="H1175" i="8" a="1"/>
  <c r="H1175" i="8" s="1"/>
  <c r="H1176" i="8" a="1"/>
  <c r="H1176" i="8" s="1"/>
  <c r="H1177" i="8" a="1"/>
  <c r="H1177" i="8" s="1"/>
  <c r="H1178" i="8" a="1"/>
  <c r="H1178" i="8" s="1"/>
  <c r="H1179" i="8" a="1"/>
  <c r="H1179" i="8"/>
  <c r="H1180" i="8" a="1"/>
  <c r="H1180" i="8" s="1"/>
  <c r="H1181" i="8" a="1"/>
  <c r="H1181" i="8"/>
  <c r="H1182" i="8" a="1"/>
  <c r="H1182" i="8" s="1"/>
  <c r="H1183" i="8" a="1"/>
  <c r="H1183" i="8" s="1"/>
  <c r="H1184" i="8" a="1"/>
  <c r="H1184" i="8" s="1"/>
  <c r="H1185" i="8" a="1"/>
  <c r="H1185" i="8"/>
  <c r="H1186" i="8" a="1"/>
  <c r="H1186" i="8" s="1"/>
  <c r="H1187" i="8" a="1"/>
  <c r="H1187" i="8"/>
  <c r="H1188" i="8" a="1"/>
  <c r="H1188" i="8" s="1"/>
  <c r="H1189" i="8" a="1"/>
  <c r="H1189" i="8"/>
  <c r="H1190" i="8" a="1"/>
  <c r="H1190" i="8" s="1"/>
  <c r="H1191" i="8" a="1"/>
  <c r="H1191" i="8" s="1"/>
  <c r="H1192" i="8" a="1"/>
  <c r="H1192" i="8" s="1"/>
  <c r="H1193" i="8" a="1"/>
  <c r="H1193" i="8" s="1"/>
  <c r="H1194" i="8" a="1"/>
  <c r="H1194" i="8" s="1"/>
  <c r="H1195" i="8" a="1"/>
  <c r="H1195" i="8" s="1"/>
  <c r="H1196" i="8" a="1"/>
  <c r="H1196" i="8" s="1"/>
  <c r="H1197" i="8" a="1"/>
  <c r="H1197" i="8" s="1"/>
  <c r="H1198" i="8" a="1"/>
  <c r="H1198" i="8" s="1"/>
  <c r="H1199" i="8" a="1"/>
  <c r="H1199" i="8" s="1"/>
  <c r="H1200" i="8" a="1"/>
  <c r="H1200" i="8" s="1"/>
  <c r="H1201" i="8" a="1"/>
  <c r="H1201" i="8" s="1"/>
  <c r="H1202" i="8" a="1"/>
  <c r="H1202" i="8" s="1"/>
  <c r="H1203" i="8" a="1"/>
  <c r="H1203" i="8" s="1"/>
  <c r="H1204" i="8" a="1"/>
  <c r="H1204" i="8" s="1"/>
  <c r="H1205" i="8" a="1"/>
  <c r="H1205" i="8"/>
  <c r="H1206" i="8" a="1"/>
  <c r="H1206" i="8" s="1"/>
  <c r="H1207" i="8" a="1"/>
  <c r="H1207" i="8" s="1"/>
  <c r="H1208" i="8" a="1"/>
  <c r="H1208" i="8" s="1"/>
  <c r="H1209" i="8" a="1"/>
  <c r="H1209" i="8" s="1"/>
  <c r="H1210" i="8" a="1"/>
  <c r="H1210" i="8" s="1"/>
  <c r="H1211" i="8" a="1"/>
  <c r="H1211" i="8"/>
  <c r="H1212" i="8" a="1"/>
  <c r="H1212" i="8" s="1"/>
  <c r="H1213" i="8" a="1"/>
  <c r="H1213" i="8"/>
  <c r="H1214" i="8" a="1"/>
  <c r="H1214" i="8" s="1"/>
  <c r="H1215" i="8" a="1"/>
  <c r="H1215" i="8" s="1"/>
  <c r="H1216" i="8" a="1"/>
  <c r="H1216" i="8" s="1"/>
  <c r="H1217" i="8" a="1"/>
  <c r="H1217" i="8"/>
  <c r="H1218" i="8" a="1"/>
  <c r="H1218" i="8" s="1"/>
  <c r="H1219" i="8" a="1"/>
  <c r="H1219" i="8" s="1"/>
  <c r="H1220" i="8" a="1"/>
  <c r="H1220" i="8" s="1"/>
  <c r="H1221" i="8" a="1"/>
  <c r="H1221" i="8" s="1"/>
  <c r="H1222" i="8" a="1"/>
  <c r="H1222" i="8" s="1"/>
  <c r="H1223" i="8" a="1"/>
  <c r="H1223" i="8"/>
  <c r="H1224" i="8" a="1"/>
  <c r="H1224" i="8" s="1"/>
  <c r="H1225" i="8" a="1"/>
  <c r="H1225" i="8"/>
  <c r="H1226" i="8" a="1"/>
  <c r="H1226" i="8" s="1"/>
  <c r="H1227" i="8" a="1"/>
  <c r="H1227" i="8" s="1"/>
  <c r="H1228" i="8" a="1"/>
  <c r="H1228" i="8" s="1"/>
  <c r="H1229" i="8" a="1"/>
  <c r="H1229" i="8"/>
  <c r="H1230" i="8" a="1"/>
  <c r="H1230" i="8" s="1"/>
  <c r="H1231" i="8" a="1"/>
  <c r="H1231" i="8"/>
  <c r="H1232" i="8" a="1"/>
  <c r="H1232" i="8" s="1"/>
  <c r="H1233" i="8" a="1"/>
  <c r="H1233" i="8" s="1"/>
  <c r="H1234" i="8" a="1"/>
  <c r="H1234" i="8" s="1"/>
  <c r="H1235" i="8" a="1"/>
  <c r="H1235" i="8"/>
  <c r="H1236" i="8" a="1"/>
  <c r="H1236" i="8" s="1"/>
  <c r="H1237" i="8" a="1"/>
  <c r="H1237" i="8" s="1"/>
  <c r="H1238" i="8" a="1"/>
  <c r="H1238" i="8" s="1"/>
  <c r="H1239" i="8" a="1"/>
  <c r="H1239" i="8" s="1"/>
  <c r="H1240" i="8" a="1"/>
  <c r="H1240" i="8" s="1"/>
  <c r="H1241" i="8" a="1"/>
  <c r="H1241" i="8"/>
  <c r="H1242" i="8" a="1"/>
  <c r="H1242" i="8" s="1"/>
  <c r="H1243" i="8" a="1"/>
  <c r="H1243" i="8"/>
  <c r="H1244" i="8" a="1"/>
  <c r="H1244" i="8" s="1"/>
  <c r="H1245" i="8" a="1"/>
  <c r="H1245" i="8" s="1"/>
  <c r="H1246" i="8" a="1"/>
  <c r="H1246" i="8" s="1"/>
  <c r="H1247" i="8" a="1"/>
  <c r="H1247" i="8"/>
  <c r="H1248" i="8" a="1"/>
  <c r="H1248" i="8" s="1"/>
  <c r="H1249" i="8" a="1"/>
  <c r="H1249" i="8"/>
  <c r="H1250" i="8" a="1"/>
  <c r="H1250" i="8" s="1"/>
  <c r="H1251" i="8" a="1"/>
  <c r="H1251" i="8" s="1"/>
  <c r="H1252" i="8" a="1"/>
  <c r="H1252" i="8" s="1"/>
  <c r="H1253" i="8" a="1"/>
  <c r="H1253" i="8"/>
  <c r="H1254" i="8" a="1"/>
  <c r="H1254" i="8" s="1"/>
  <c r="H1255" i="8" a="1"/>
  <c r="H1255" i="8" s="1"/>
  <c r="H1256" i="8" a="1"/>
  <c r="H1256" i="8" s="1"/>
  <c r="H1257" i="8" a="1"/>
  <c r="H1257" i="8" s="1"/>
  <c r="H1258" i="8" a="1"/>
  <c r="H1258" i="8" s="1"/>
  <c r="H1259" i="8" a="1"/>
  <c r="H1259" i="8"/>
  <c r="H1260" i="8" a="1"/>
  <c r="H1260" i="8" s="1"/>
  <c r="H1261" i="8" a="1"/>
  <c r="H1261" i="8" s="1"/>
  <c r="H1262" i="8" a="1"/>
  <c r="H1262" i="8" s="1"/>
  <c r="H1263" i="8" a="1"/>
  <c r="H1263" i="8" s="1"/>
  <c r="H1264" i="8" a="1"/>
  <c r="H1264" i="8" s="1"/>
  <c r="H1265" i="8" a="1"/>
  <c r="H1265" i="8" s="1"/>
  <c r="H1266" i="8" a="1"/>
  <c r="H1266" i="8" s="1"/>
  <c r="H1267" i="8" a="1"/>
  <c r="H1267" i="8" s="1"/>
  <c r="H1268" i="8" a="1"/>
  <c r="H1268" i="8" s="1"/>
  <c r="H1269" i="8" a="1"/>
  <c r="H1269" i="8" s="1"/>
  <c r="H1270" i="8" a="1"/>
  <c r="H1270" i="8" s="1"/>
  <c r="H1271" i="8" a="1"/>
  <c r="H1271" i="8"/>
  <c r="H1272" i="8" a="1"/>
  <c r="H1272" i="8" s="1"/>
  <c r="H1273" i="8" a="1"/>
  <c r="H1273" i="8" s="1"/>
  <c r="H1274" i="8" a="1"/>
  <c r="H1274" i="8" s="1"/>
  <c r="H1275" i="8" a="1"/>
  <c r="H1275" i="8" s="1"/>
  <c r="H1276" i="8" a="1"/>
  <c r="H1276" i="8" s="1"/>
  <c r="H1277" i="8" a="1"/>
  <c r="H1277" i="8" s="1"/>
  <c r="H1278" i="8" a="1"/>
  <c r="H1278" i="8" s="1"/>
  <c r="H1279" i="8" a="1"/>
  <c r="H1279" i="8" s="1"/>
  <c r="H1280" i="8" a="1"/>
  <c r="H1280" i="8" s="1"/>
  <c r="H1281" i="8" a="1"/>
  <c r="H1281" i="8" s="1"/>
  <c r="H1282" i="8" a="1"/>
  <c r="H1282" i="8" s="1"/>
  <c r="H1283" i="8" a="1"/>
  <c r="H1283" i="8" s="1"/>
  <c r="H1284" i="8" a="1"/>
  <c r="H1284" i="8" s="1"/>
  <c r="H1285" i="8" a="1"/>
  <c r="H1285" i="8" s="1"/>
  <c r="H1286" i="8" a="1"/>
  <c r="H1286" i="8" s="1"/>
  <c r="H1287" i="8" a="1"/>
  <c r="H1287" i="8" s="1"/>
  <c r="H1288" i="8" a="1"/>
  <c r="H1288" i="8" s="1"/>
  <c r="H1289" i="8" a="1"/>
  <c r="H1289" i="8" s="1"/>
  <c r="H1290" i="8" a="1"/>
  <c r="H1290" i="8" s="1"/>
  <c r="H1291" i="8" a="1"/>
  <c r="H1291" i="8" s="1"/>
  <c r="H1292" i="8" a="1"/>
  <c r="H1292" i="8" s="1"/>
  <c r="H1293" i="8" a="1"/>
  <c r="H1293" i="8" s="1"/>
  <c r="H1294" i="8" a="1"/>
  <c r="H1294" i="8" s="1"/>
  <c r="H1295" i="8" a="1"/>
  <c r="H1295" i="8" s="1"/>
  <c r="H1296" i="8" a="1"/>
  <c r="H1296" i="8" s="1"/>
  <c r="H1297" i="8" a="1"/>
  <c r="H1297" i="8" s="1"/>
  <c r="H1298" i="8" a="1"/>
  <c r="H1298" i="8" s="1"/>
  <c r="H1299" i="8" a="1"/>
  <c r="H1299" i="8" s="1"/>
  <c r="H1300" i="8" a="1"/>
  <c r="H1300" i="8" s="1"/>
  <c r="H1301" i="8" a="1"/>
  <c r="H1301" i="8" s="1"/>
  <c r="H1302" i="8" a="1"/>
  <c r="H1302" i="8" s="1"/>
  <c r="H1303" i="8" a="1"/>
  <c r="H1303" i="8" s="1"/>
  <c r="H1304" i="8" a="1"/>
  <c r="H1304" i="8" s="1"/>
  <c r="H1305" i="8" a="1"/>
  <c r="H1305" i="8" s="1"/>
  <c r="H1306" i="8" a="1"/>
  <c r="H1306" i="8" s="1"/>
  <c r="H1307" i="8" a="1"/>
  <c r="H1307" i="8"/>
  <c r="H1308" i="8" a="1"/>
  <c r="H1308" i="8" s="1"/>
  <c r="H1309" i="8" a="1"/>
  <c r="H1309" i="8" s="1"/>
  <c r="H1310" i="8" a="1"/>
  <c r="H1310" i="8" s="1"/>
  <c r="H1311" i="8" a="1"/>
  <c r="H1311" i="8" s="1"/>
  <c r="H1312" i="8" a="1"/>
  <c r="H1312" i="8" s="1"/>
  <c r="H1313" i="8" a="1"/>
  <c r="H1313" i="8" s="1"/>
  <c r="H1314" i="8" a="1"/>
  <c r="H1314" i="8" s="1"/>
  <c r="H1315" i="8" a="1"/>
  <c r="H1315" i="8" s="1"/>
  <c r="H1316" i="8" a="1"/>
  <c r="H1316" i="8" s="1"/>
  <c r="H1317" i="8" a="1"/>
  <c r="H1317" i="8" s="1"/>
  <c r="H1318" i="8" a="1"/>
  <c r="H1318" i="8" s="1"/>
  <c r="H1319" i="8" a="1"/>
  <c r="H1319" i="8" s="1"/>
  <c r="H1320" i="8" a="1"/>
  <c r="H1320" i="8" s="1"/>
  <c r="H1321" i="8" a="1"/>
  <c r="H1321" i="8" s="1"/>
  <c r="H1322" i="8" a="1"/>
  <c r="H1322" i="8" s="1"/>
  <c r="H1323" i="8" a="1"/>
  <c r="H1323" i="8" s="1"/>
  <c r="H1324" i="8" a="1"/>
  <c r="H1324" i="8" s="1"/>
  <c r="H1325" i="8" a="1"/>
  <c r="H1325" i="8"/>
  <c r="H1326" i="8" a="1"/>
  <c r="H1326" i="8" s="1"/>
  <c r="H1327" i="8" a="1"/>
  <c r="H1327" i="8" s="1"/>
  <c r="H1328" i="8" a="1"/>
  <c r="H1328" i="8" s="1"/>
  <c r="H1329" i="8" a="1"/>
  <c r="H1329" i="8" s="1"/>
  <c r="H1330" i="8" a="1"/>
  <c r="H1330" i="8" s="1"/>
  <c r="H1331" i="8" a="1"/>
  <c r="H1331" i="8" s="1"/>
  <c r="H1332" i="8" a="1"/>
  <c r="H1332" i="8" s="1"/>
  <c r="H1333" i="8" a="1"/>
  <c r="H1333" i="8" s="1"/>
  <c r="H1334" i="8" a="1"/>
  <c r="H1334" i="8" s="1"/>
  <c r="H1335" i="8" a="1"/>
  <c r="H1335" i="8" s="1"/>
  <c r="H1336" i="8" a="1"/>
  <c r="H1336" i="8" s="1"/>
  <c r="H1337" i="8" a="1"/>
  <c r="H1337" i="8" s="1"/>
  <c r="H1338" i="8" a="1"/>
  <c r="H1338" i="8" s="1"/>
  <c r="H1339" i="8" a="1"/>
  <c r="H1339" i="8" s="1"/>
  <c r="H1340" i="8" a="1"/>
  <c r="H1340" i="8" s="1"/>
  <c r="H1341" i="8" a="1"/>
  <c r="H1341" i="8" s="1"/>
  <c r="H1342" i="8" a="1"/>
  <c r="H1342" i="8" s="1"/>
  <c r="H1343" i="8" a="1"/>
  <c r="H1343" i="8"/>
  <c r="H1344" i="8" a="1"/>
  <c r="H1344" i="8" s="1"/>
  <c r="H1345" i="8" a="1"/>
  <c r="H1345" i="8" s="1"/>
  <c r="H1346" i="8" a="1"/>
  <c r="H1346" i="8" s="1"/>
  <c r="H1347" i="8" a="1"/>
  <c r="H1347" i="8" s="1"/>
  <c r="H1348" i="8" a="1"/>
  <c r="H1348" i="8" s="1"/>
  <c r="H1349" i="8" a="1"/>
  <c r="H1349" i="8"/>
  <c r="H1350" i="8" a="1"/>
  <c r="H1350" i="8" s="1"/>
  <c r="H1351" i="8" a="1"/>
  <c r="H1351" i="8" s="1"/>
  <c r="H1352" i="8" a="1"/>
  <c r="H1352" i="8" s="1"/>
  <c r="H1353" i="8" a="1"/>
  <c r="H1353" i="8" s="1"/>
  <c r="H1354" i="8" a="1"/>
  <c r="H1354" i="8" s="1"/>
  <c r="H1355" i="8" a="1"/>
  <c r="H1355" i="8" s="1"/>
  <c r="H1356" i="8" a="1"/>
  <c r="H1356" i="8" s="1"/>
  <c r="H1357" i="8" a="1"/>
  <c r="H1357" i="8" s="1"/>
  <c r="H1358" i="8" a="1"/>
  <c r="H1358" i="8" s="1"/>
  <c r="H1359" i="8" a="1"/>
  <c r="H1359" i="8" s="1"/>
  <c r="H1360" i="8" a="1"/>
  <c r="H1360" i="8" s="1"/>
  <c r="H1361" i="8" a="1"/>
  <c r="H1361" i="8"/>
  <c r="H1362" i="8" a="1"/>
  <c r="H1362" i="8" s="1"/>
  <c r="H1363" i="8" a="1"/>
  <c r="H1363" i="8" s="1"/>
  <c r="H1364" i="8" a="1"/>
  <c r="H1364" i="8" s="1"/>
  <c r="H1365" i="8" a="1"/>
  <c r="H1365" i="8" s="1"/>
  <c r="H1366" i="8" a="1"/>
  <c r="H1366" i="8" s="1"/>
  <c r="H1367" i="8" a="1"/>
  <c r="H1367" i="8" s="1"/>
  <c r="H1368" i="8" a="1"/>
  <c r="H1368" i="8" s="1"/>
  <c r="H1369" i="8" a="1"/>
  <c r="H1369" i="8" s="1"/>
  <c r="H1370" i="8" a="1"/>
  <c r="H1370" i="8" s="1"/>
  <c r="H1371" i="8" a="1"/>
  <c r="H1371" i="8" s="1"/>
  <c r="H1372" i="8" a="1"/>
  <c r="H1372" i="8" s="1"/>
  <c r="H1373" i="8" a="1"/>
  <c r="H1373" i="8" s="1"/>
  <c r="H1374" i="8" a="1"/>
  <c r="H1374" i="8" s="1"/>
  <c r="H1375" i="8" a="1"/>
  <c r="H1375" i="8" s="1"/>
  <c r="H1376" i="8" a="1"/>
  <c r="H1376" i="8" s="1"/>
  <c r="H1377" i="8" a="1"/>
  <c r="H1377" i="8" s="1"/>
  <c r="H1378" i="8" a="1"/>
  <c r="H1378" i="8" s="1"/>
  <c r="H1379" i="8" a="1"/>
  <c r="H1379" i="8"/>
  <c r="H1380" i="8" a="1"/>
  <c r="H1380" i="8" s="1"/>
  <c r="H1381" i="8" a="1"/>
  <c r="H1381" i="8" s="1"/>
  <c r="H1382" i="8" a="1"/>
  <c r="H1382" i="8" s="1"/>
  <c r="H1383" i="8" a="1"/>
  <c r="H1383" i="8" s="1"/>
  <c r="H1384" i="8" a="1"/>
  <c r="H1384" i="8" s="1"/>
  <c r="H1385" i="8" a="1"/>
  <c r="H1385" i="8" s="1"/>
  <c r="H1386" i="8" a="1"/>
  <c r="H1386" i="8" s="1"/>
  <c r="H1387" i="8" a="1"/>
  <c r="H1387" i="8" s="1"/>
  <c r="H1388" i="8" a="1"/>
  <c r="H1388" i="8" s="1"/>
  <c r="H1389" i="8" a="1"/>
  <c r="H1389" i="8" s="1"/>
  <c r="H1390" i="8" a="1"/>
  <c r="H1390" i="8" s="1"/>
  <c r="H1391" i="8" a="1"/>
  <c r="H1391" i="8" s="1"/>
  <c r="H1392" i="8" a="1"/>
  <c r="H1392" i="8" s="1"/>
  <c r="H1393" i="8" a="1"/>
  <c r="H1393" i="8" s="1"/>
  <c r="H1394" i="8" a="1"/>
  <c r="H1394" i="8" s="1"/>
  <c r="H1395" i="8" a="1"/>
  <c r="H1395" i="8" s="1"/>
  <c r="H1396" i="8" a="1"/>
  <c r="H1396" i="8" s="1"/>
  <c r="H1397" i="8" a="1"/>
  <c r="H1397" i="8" s="1"/>
  <c r="H1398" i="8" a="1"/>
  <c r="H1398" i="8" s="1"/>
  <c r="H1399" i="8" a="1"/>
  <c r="H1399" i="8" s="1"/>
  <c r="H1400" i="8" a="1"/>
  <c r="H1400" i="8" s="1"/>
  <c r="H1401" i="8" a="1"/>
  <c r="H1401" i="8" s="1"/>
  <c r="H1402" i="8" a="1"/>
  <c r="H1402" i="8" s="1"/>
  <c r="H1403" i="8" a="1"/>
  <c r="H1403" i="8" s="1"/>
  <c r="H1404" i="8" a="1"/>
  <c r="H1404" i="8" s="1"/>
  <c r="H1405" i="8" a="1"/>
  <c r="H1405" i="8" s="1"/>
  <c r="H1406" i="8" a="1"/>
  <c r="H1406" i="8" s="1"/>
  <c r="H1407" i="8" a="1"/>
  <c r="H1407" i="8" s="1"/>
  <c r="H1408" i="8" a="1"/>
  <c r="H1408" i="8" s="1"/>
  <c r="H1409" i="8" a="1"/>
  <c r="H1409" i="8"/>
  <c r="H1410" i="8" a="1"/>
  <c r="H1410" i="8" s="1"/>
  <c r="H1411" i="8" a="1"/>
  <c r="H1411" i="8" s="1"/>
  <c r="H1412" i="8" a="1"/>
  <c r="H1412" i="8" s="1"/>
  <c r="H1413" i="8" a="1"/>
  <c r="H1413" i="8" s="1"/>
  <c r="H1414" i="8" a="1"/>
  <c r="H1414" i="8" s="1"/>
  <c r="H1415" i="8" a="1"/>
  <c r="H1415" i="8"/>
  <c r="H1416" i="8" a="1"/>
  <c r="H1416" i="8" s="1"/>
  <c r="H1417" i="8" a="1"/>
  <c r="H1417" i="8" s="1"/>
  <c r="H1418" i="8" a="1"/>
  <c r="H1418" i="8" s="1"/>
  <c r="H1419" i="8" a="1"/>
  <c r="H1419" i="8" s="1"/>
  <c r="H1420" i="8" a="1"/>
  <c r="H1420" i="8" s="1"/>
  <c r="H1421" i="8" a="1"/>
  <c r="H1421" i="8" s="1"/>
  <c r="H1422" i="8" a="1"/>
  <c r="H1422" i="8" s="1"/>
  <c r="H1423" i="8" a="1"/>
  <c r="H1423" i="8" s="1"/>
  <c r="H1424" i="8" a="1"/>
  <c r="H1424" i="8" s="1"/>
  <c r="H1425" i="8" a="1"/>
  <c r="H1425" i="8" s="1"/>
  <c r="H1426" i="8" a="1"/>
  <c r="H1426" i="8" s="1"/>
  <c r="H1427" i="8" a="1"/>
  <c r="H1427" i="8" s="1"/>
  <c r="H1428" i="8" a="1"/>
  <c r="H1428" i="8" s="1"/>
  <c r="H1429" i="8" a="1"/>
  <c r="H1429" i="8" s="1"/>
  <c r="H1430" i="8" a="1"/>
  <c r="H1430" i="8" s="1"/>
  <c r="H1431" i="8" a="1"/>
  <c r="H1431" i="8" s="1"/>
  <c r="H1432" i="8" a="1"/>
  <c r="H1432" i="8" s="1"/>
  <c r="H1433" i="8" a="1"/>
  <c r="H1433" i="8" s="1"/>
  <c r="H1434" i="8" a="1"/>
  <c r="H1434" i="8" s="1"/>
  <c r="H1435" i="8" a="1"/>
  <c r="H1435" i="8" s="1"/>
  <c r="H1436" i="8" a="1"/>
  <c r="H1436" i="8" s="1"/>
  <c r="H1437" i="8" a="1"/>
  <c r="H1437" i="8" s="1"/>
  <c r="H1438" i="8" a="1"/>
  <c r="H1438" i="8" s="1"/>
  <c r="H1439" i="8" a="1"/>
  <c r="H1439" i="8" s="1"/>
  <c r="H1440" i="8" a="1"/>
  <c r="H1440" i="8" s="1"/>
  <c r="H1441" i="8" a="1"/>
  <c r="H1441" i="8" s="1"/>
  <c r="H1442" i="8" a="1"/>
  <c r="H1442" i="8" s="1"/>
  <c r="H1443" i="8" a="1"/>
  <c r="H1443" i="8" s="1"/>
  <c r="H1444" i="8" a="1"/>
  <c r="H1444" i="8" s="1"/>
  <c r="H1445" i="8" a="1"/>
  <c r="H1445" i="8" s="1"/>
  <c r="H1446" i="8" a="1"/>
  <c r="H1446" i="8" s="1"/>
  <c r="H1447" i="8" a="1"/>
  <c r="H1447" i="8" s="1"/>
  <c r="H1448" i="8" a="1"/>
  <c r="H1448" i="8" s="1"/>
  <c r="H1449" i="8" a="1"/>
  <c r="H1449" i="8" s="1"/>
  <c r="H1450" i="8" a="1"/>
  <c r="H1450" i="8" s="1"/>
  <c r="H1451" i="8" a="1"/>
  <c r="H1451" i="8" s="1"/>
  <c r="H1452" i="8" a="1"/>
  <c r="H1452" i="8" s="1"/>
  <c r="H1453" i="8" a="1"/>
  <c r="H1453" i="8" s="1"/>
  <c r="H1454" i="8" a="1"/>
  <c r="H1454" i="8" s="1"/>
  <c r="H1455" i="8" a="1"/>
  <c r="H1455" i="8" s="1"/>
  <c r="H1456" i="8" a="1"/>
  <c r="H1456" i="8" s="1"/>
  <c r="H1457" i="8" a="1"/>
  <c r="H1457" i="8" s="1"/>
  <c r="H1458" i="8" a="1"/>
  <c r="H1458" i="8" s="1"/>
  <c r="H1459" i="8" a="1"/>
  <c r="H1459" i="8" s="1"/>
  <c r="H1460" i="8" a="1"/>
  <c r="H1460" i="8" s="1"/>
  <c r="H1461" i="8" a="1"/>
  <c r="H1461" i="8" s="1"/>
  <c r="H1462" i="8" a="1"/>
  <c r="H1462" i="8" s="1"/>
  <c r="H1463" i="8" a="1"/>
  <c r="H1463" i="8" s="1"/>
  <c r="H1464" i="8" a="1"/>
  <c r="H1464" i="8" s="1"/>
  <c r="H1465" i="8" a="1"/>
  <c r="H1465" i="8" s="1"/>
  <c r="H1466" i="8" a="1"/>
  <c r="H1466" i="8" s="1"/>
  <c r="H1467" i="8" a="1"/>
  <c r="H1467" i="8" s="1"/>
  <c r="H1468" i="8" a="1"/>
  <c r="H1468" i="8" s="1"/>
  <c r="H1469" i="8" a="1"/>
  <c r="H1469" i="8" s="1"/>
  <c r="H1470" i="8" a="1"/>
  <c r="H1470" i="8" s="1"/>
  <c r="H1471" i="8" a="1"/>
  <c r="H1471" i="8" s="1"/>
  <c r="H1472" i="8" a="1"/>
  <c r="H1472" i="8" s="1"/>
  <c r="H1473" i="8" a="1"/>
  <c r="H1473" i="8" s="1"/>
  <c r="H1474" i="8" a="1"/>
  <c r="H1474" i="8" s="1"/>
  <c r="H1475" i="8" a="1"/>
  <c r="H1475" i="8" s="1"/>
  <c r="H1476" i="8" a="1"/>
  <c r="H1476" i="8" s="1"/>
  <c r="H1477" i="8" a="1"/>
  <c r="H1477" i="8" s="1"/>
  <c r="H1478" i="8" a="1"/>
  <c r="H1478" i="8" s="1"/>
  <c r="H1479" i="8" a="1"/>
  <c r="H1479" i="8" s="1"/>
  <c r="H1480" i="8" a="1"/>
  <c r="H1480" i="8" s="1"/>
  <c r="H1481" i="8" a="1"/>
  <c r="H1481" i="8"/>
  <c r="H1482" i="8" a="1"/>
  <c r="H1482" i="8" s="1"/>
  <c r="H1483" i="8" a="1"/>
  <c r="H1483" i="8" s="1"/>
  <c r="H1484" i="8" a="1"/>
  <c r="H1484" i="8" s="1"/>
  <c r="H1485" i="8" a="1"/>
  <c r="H1485" i="8" s="1"/>
  <c r="H1486" i="8" a="1"/>
  <c r="H1486" i="8" s="1"/>
  <c r="H1487" i="8" a="1"/>
  <c r="H1487" i="8" s="1"/>
  <c r="H1488" i="8" a="1"/>
  <c r="H1488" i="8" s="1"/>
  <c r="H1489" i="8" a="1"/>
  <c r="H1489" i="8" s="1"/>
  <c r="H1490" i="8" a="1"/>
  <c r="H1490" i="8" s="1"/>
  <c r="H1491" i="8" a="1"/>
  <c r="H1491" i="8" s="1"/>
  <c r="H1492" i="8" a="1"/>
  <c r="H1492" i="8" s="1"/>
  <c r="H1493" i="8" a="1"/>
  <c r="H1493" i="8"/>
  <c r="H1494" i="8" a="1"/>
  <c r="H1494" i="8" s="1"/>
  <c r="H1495" i="8" a="1"/>
  <c r="H1495" i="8" s="1"/>
  <c r="H1496" i="8" a="1"/>
  <c r="H1496" i="8" s="1"/>
  <c r="H1497" i="8" a="1"/>
  <c r="H1497" i="8" s="1"/>
  <c r="H1498" i="8" a="1"/>
  <c r="H1498" i="8" s="1"/>
  <c r="H1499" i="8" a="1"/>
  <c r="H1499" i="8" s="1"/>
  <c r="H1500" i="8" a="1"/>
  <c r="H1500" i="8" s="1"/>
  <c r="H1501" i="8" a="1"/>
  <c r="H1501" i="8" s="1"/>
  <c r="H1502" i="8" a="1"/>
  <c r="H1502" i="8" s="1"/>
  <c r="H1503" i="8" a="1"/>
  <c r="H1503" i="8" s="1"/>
  <c r="H1504" i="8" a="1"/>
  <c r="H1504" i="8" s="1"/>
  <c r="H1505" i="8" a="1"/>
  <c r="H1505" i="8" s="1"/>
  <c r="H1506" i="8" a="1"/>
  <c r="H1506" i="8" s="1"/>
  <c r="H1507" i="8" a="1"/>
  <c r="H1507" i="8" s="1"/>
  <c r="H1508" i="8" a="1"/>
  <c r="H1508" i="8" s="1"/>
  <c r="H1509" i="8" a="1"/>
  <c r="H1509" i="8" s="1"/>
  <c r="H1510" i="8" a="1"/>
  <c r="H1510" i="8" s="1"/>
  <c r="H1511" i="8" a="1"/>
  <c r="H1511" i="8" s="1"/>
  <c r="H1512" i="8" a="1"/>
  <c r="H1512" i="8" s="1"/>
  <c r="H1513" i="8" a="1"/>
  <c r="H1513" i="8" s="1"/>
  <c r="H1514" i="8" a="1"/>
  <c r="H1514" i="8" s="1"/>
  <c r="H1515" i="8" a="1"/>
  <c r="H1515" i="8" s="1"/>
  <c r="H1516" i="8" a="1"/>
  <c r="H1516" i="8" s="1"/>
  <c r="H1517" i="8" a="1"/>
  <c r="H1517" i="8" s="1"/>
  <c r="H1518" i="8" a="1"/>
  <c r="H1518" i="8" s="1"/>
  <c r="H1519" i="8" a="1"/>
  <c r="H1519" i="8" s="1"/>
  <c r="H1520" i="8" a="1"/>
  <c r="H1520" i="8" s="1"/>
  <c r="H1521" i="8" a="1"/>
  <c r="H1521" i="8" s="1"/>
  <c r="H1522" i="8" a="1"/>
  <c r="H1522" i="8" s="1"/>
  <c r="H1523" i="8" a="1"/>
  <c r="H1523" i="8"/>
  <c r="H1524" i="8" a="1"/>
  <c r="H1524" i="8" s="1"/>
  <c r="H1525" i="8" a="1"/>
  <c r="H1525" i="8" s="1"/>
  <c r="H1526" i="8" a="1"/>
  <c r="H1526" i="8" s="1"/>
  <c r="H1527" i="8" a="1"/>
  <c r="H1527" i="8" s="1"/>
  <c r="H1528" i="8" a="1"/>
  <c r="H1528" i="8" s="1"/>
  <c r="H1529" i="8" a="1"/>
  <c r="H1529" i="8" s="1"/>
  <c r="H1530" i="8" a="1"/>
  <c r="H1530" i="8" s="1"/>
  <c r="H1531" i="8" a="1"/>
  <c r="H1531" i="8" s="1"/>
  <c r="H1532" i="8" a="1"/>
  <c r="H1532" i="8" s="1"/>
  <c r="H1533" i="8" a="1"/>
  <c r="H1533" i="8" s="1"/>
  <c r="H1534" i="8" a="1"/>
  <c r="H1534" i="8" s="1"/>
  <c r="H1535" i="8" a="1"/>
  <c r="H1535" i="8" s="1"/>
  <c r="H1536" i="8" a="1"/>
  <c r="H1536" i="8" s="1"/>
  <c r="H1537" i="8" a="1"/>
  <c r="H1537" i="8" s="1"/>
  <c r="H1538" i="8" a="1"/>
  <c r="H1538" i="8" s="1"/>
  <c r="H1539" i="8" a="1"/>
  <c r="H1539" i="8" s="1"/>
  <c r="H1540" i="8" a="1"/>
  <c r="H1540" i="8" s="1"/>
  <c r="H1541" i="8" a="1"/>
  <c r="H1541" i="8" s="1"/>
  <c r="H1542" i="8" a="1"/>
  <c r="H1542" i="8" s="1"/>
  <c r="H1543" i="8" a="1"/>
  <c r="H1543" i="8" s="1"/>
  <c r="H1544" i="8" a="1"/>
  <c r="H1544" i="8" s="1"/>
  <c r="H1545" i="8" a="1"/>
  <c r="H1545" i="8" s="1"/>
  <c r="H1546" i="8" a="1"/>
  <c r="H1546" i="8" s="1"/>
  <c r="H1547" i="8" a="1"/>
  <c r="H1547" i="8" s="1"/>
  <c r="H1548" i="8" a="1"/>
  <c r="H1548" i="8" s="1"/>
  <c r="H1549" i="8" a="1"/>
  <c r="H1549" i="8" s="1"/>
  <c r="H1550" i="8" a="1"/>
  <c r="H1550" i="8" s="1"/>
  <c r="H1551" i="8" a="1"/>
  <c r="H1551" i="8" s="1"/>
  <c r="H1552" i="8" a="1"/>
  <c r="H1552" i="8" s="1"/>
  <c r="H1553" i="8" a="1"/>
  <c r="H1553" i="8"/>
  <c r="H1554" i="8" a="1"/>
  <c r="H1554" i="8" s="1"/>
  <c r="H1555" i="8" a="1"/>
  <c r="H1555" i="8" s="1"/>
  <c r="H1556" i="8" a="1"/>
  <c r="H1556" i="8" s="1"/>
  <c r="H1557" i="8" a="1"/>
  <c r="H1557" i="8" s="1"/>
  <c r="H1558" i="8" a="1"/>
  <c r="H1558" i="8" s="1"/>
  <c r="H1559" i="8" a="1"/>
  <c r="H1559" i="8"/>
  <c r="H1560" i="8" a="1"/>
  <c r="H1560" i="8" s="1"/>
  <c r="H1561" i="8" a="1"/>
  <c r="H1561" i="8" s="1"/>
  <c r="H1562" i="8" a="1"/>
  <c r="H1562" i="8" s="1"/>
  <c r="H1563" i="8" a="1"/>
  <c r="H1563" i="8" s="1"/>
  <c r="H1564" i="8" a="1"/>
  <c r="H1564" i="8" s="1"/>
  <c r="H1565" i="8" a="1"/>
  <c r="H1565" i="8" s="1"/>
  <c r="H1566" i="8" a="1"/>
  <c r="H1566" i="8" s="1"/>
  <c r="H1567" i="8" a="1"/>
  <c r="H1567" i="8" s="1"/>
  <c r="H1568" i="8" a="1"/>
  <c r="H1568" i="8" s="1"/>
  <c r="H1569" i="8" a="1"/>
  <c r="H1569" i="8" s="1"/>
  <c r="H1570" i="8" a="1"/>
  <c r="H1570" i="8" s="1"/>
  <c r="H1571" i="8" a="1"/>
  <c r="H1571" i="8" s="1"/>
  <c r="H1572" i="8" a="1"/>
  <c r="H1572" i="8" s="1"/>
  <c r="H1573" i="8" a="1"/>
  <c r="H1573" i="8" s="1"/>
  <c r="H1574" i="8" a="1"/>
  <c r="H1574" i="8" s="1"/>
  <c r="H1575" i="8" a="1"/>
  <c r="H1575" i="8" s="1"/>
  <c r="H1576" i="8" a="1"/>
  <c r="H1576" i="8" s="1"/>
  <c r="H1577" i="8" a="1"/>
  <c r="H1577" i="8" s="1"/>
  <c r="H1578" i="8" a="1"/>
  <c r="H1578" i="8" s="1"/>
  <c r="H1579" i="8" a="1"/>
  <c r="H1579" i="8" s="1"/>
  <c r="H1580" i="8" a="1"/>
  <c r="H1580" i="8" s="1"/>
  <c r="H1581" i="8" a="1"/>
  <c r="H1581" i="8" s="1"/>
  <c r="H1582" i="8" a="1"/>
  <c r="H1582" i="8" s="1"/>
  <c r="H1583" i="8" a="1"/>
  <c r="H1583" i="8" s="1"/>
  <c r="H1584" i="8" a="1"/>
  <c r="H1584" i="8" s="1"/>
  <c r="H1585" i="8" a="1"/>
  <c r="H1585" i="8" s="1"/>
  <c r="H1586" i="8" a="1"/>
  <c r="H1586" i="8" s="1"/>
  <c r="H1587" i="8" a="1"/>
  <c r="H1587" i="8" s="1"/>
  <c r="H1588" i="8" a="1"/>
  <c r="H1588" i="8" s="1"/>
  <c r="H1589" i="8" a="1"/>
  <c r="H1589" i="8" s="1"/>
  <c r="H1590" i="8" a="1"/>
  <c r="H1590" i="8" s="1"/>
  <c r="H1591" i="8" a="1"/>
  <c r="H1591" i="8" s="1"/>
  <c r="H1592" i="8" a="1"/>
  <c r="H1592" i="8" s="1"/>
  <c r="H1593" i="8" a="1"/>
  <c r="H1593" i="8" s="1"/>
  <c r="H1594" i="8" a="1"/>
  <c r="H1594" i="8" s="1"/>
  <c r="H1595" i="8" a="1"/>
  <c r="H1595" i="8" s="1"/>
  <c r="H1596" i="8" a="1"/>
  <c r="H1596" i="8" s="1"/>
  <c r="H1597" i="8" a="1"/>
  <c r="H1597" i="8" s="1"/>
  <c r="H1598" i="8" a="1"/>
  <c r="H1598" i="8" s="1"/>
  <c r="H1599" i="8" a="1"/>
  <c r="H1599" i="8" s="1"/>
  <c r="H1600" i="8" a="1"/>
  <c r="H1600" i="8" s="1"/>
  <c r="H1601" i="8" a="1"/>
  <c r="H1601" i="8" s="1"/>
  <c r="H1602" i="8" a="1"/>
  <c r="H1602" i="8" s="1"/>
  <c r="H1603" i="8" a="1"/>
  <c r="H1603" i="8" s="1"/>
  <c r="H1604" i="8" a="1"/>
  <c r="H1604" i="8" s="1"/>
  <c r="H1605" i="8" a="1"/>
  <c r="H1605" i="8" s="1"/>
  <c r="H1606" i="8" a="1"/>
  <c r="H1606" i="8" s="1"/>
  <c r="H1607" i="8" a="1"/>
  <c r="H1607" i="8" s="1"/>
  <c r="H1608" i="8" a="1"/>
  <c r="H1608" i="8" s="1"/>
  <c r="H1609" i="8" a="1"/>
  <c r="H1609" i="8" s="1"/>
  <c r="H1610" i="8" a="1"/>
  <c r="H1610" i="8" s="1"/>
  <c r="H1611" i="8" a="1"/>
  <c r="H1611" i="8" s="1"/>
  <c r="H1612" i="8" a="1"/>
  <c r="H1612" i="8" s="1"/>
  <c r="H1613" i="8" a="1"/>
  <c r="H1613" i="8" s="1"/>
  <c r="H1614" i="8" a="1"/>
  <c r="H1614" i="8" s="1"/>
  <c r="H1615" i="8" a="1"/>
  <c r="H1615" i="8" s="1"/>
  <c r="H1616" i="8" a="1"/>
  <c r="H1616" i="8" s="1"/>
  <c r="H1617" i="8" a="1"/>
  <c r="H1617" i="8" s="1"/>
  <c r="H1618" i="8" a="1"/>
  <c r="H1618" i="8" s="1"/>
  <c r="H1619" i="8" a="1"/>
  <c r="H1619" i="8" s="1"/>
  <c r="H1620" i="8" a="1"/>
  <c r="H1620" i="8" s="1"/>
  <c r="H1621" i="8" a="1"/>
  <c r="H1621" i="8" s="1"/>
  <c r="H1622" i="8" a="1"/>
  <c r="H1622" i="8" s="1"/>
  <c r="H1623" i="8" a="1"/>
  <c r="H1623" i="8" s="1"/>
  <c r="H1624" i="8" a="1"/>
  <c r="H1624" i="8" s="1"/>
  <c r="H1625" i="8" a="1"/>
  <c r="H1625" i="8"/>
  <c r="H1626" i="8" a="1"/>
  <c r="H1626" i="8" s="1"/>
  <c r="H1627" i="8" a="1"/>
  <c r="H1627" i="8" s="1"/>
  <c r="H1628" i="8" a="1"/>
  <c r="H1628" i="8" s="1"/>
  <c r="H1629" i="8" a="1"/>
  <c r="H1629" i="8" s="1"/>
  <c r="H1630" i="8" a="1"/>
  <c r="H1630" i="8" s="1"/>
  <c r="H1631" i="8" a="1"/>
  <c r="H1631" i="8" s="1"/>
  <c r="H1632" i="8" a="1"/>
  <c r="H1632" i="8" s="1"/>
  <c r="H1633" i="8" a="1"/>
  <c r="H1633" i="8" s="1"/>
  <c r="H1634" i="8" a="1"/>
  <c r="H1634" i="8" s="1"/>
  <c r="H1635" i="8" a="1"/>
  <c r="H1635" i="8" s="1"/>
  <c r="H1636" i="8" a="1"/>
  <c r="H1636" i="8" s="1"/>
  <c r="H1637" i="8" a="1"/>
  <c r="H1637" i="8"/>
  <c r="H1638" i="8" a="1"/>
  <c r="H1638" i="8" s="1"/>
  <c r="H1639" i="8" a="1"/>
  <c r="H1639" i="8" s="1"/>
  <c r="H1640" i="8" a="1"/>
  <c r="H1640" i="8" s="1"/>
  <c r="H1641" i="8" a="1"/>
  <c r="H1641" i="8" s="1"/>
  <c r="H1642" i="8" a="1"/>
  <c r="H1642" i="8" s="1"/>
  <c r="H1643" i="8" a="1"/>
  <c r="H1643" i="8" s="1"/>
  <c r="H1644" i="8" a="1"/>
  <c r="H1644" i="8" s="1"/>
  <c r="H1645" i="8" a="1"/>
  <c r="H1645" i="8" s="1"/>
  <c r="H1646" i="8" a="1"/>
  <c r="H1646" i="8" s="1"/>
  <c r="H1647" i="8" a="1"/>
  <c r="H1647" i="8" s="1"/>
  <c r="H1648" i="8" a="1"/>
  <c r="H1648" i="8" s="1"/>
  <c r="H1649" i="8" a="1"/>
  <c r="H1649" i="8" s="1"/>
  <c r="H1650" i="8" a="1"/>
  <c r="H1650" i="8" s="1"/>
  <c r="H1651" i="8" a="1"/>
  <c r="H1651" i="8" s="1"/>
  <c r="H1652" i="8" a="1"/>
  <c r="H1652" i="8" s="1"/>
  <c r="H1653" i="8" a="1"/>
  <c r="H1653" i="8" s="1"/>
  <c r="H1654" i="8" a="1"/>
  <c r="H1654" i="8" s="1"/>
  <c r="H1655" i="8" a="1"/>
  <c r="H1655" i="8" s="1"/>
  <c r="H1656" i="8" a="1"/>
  <c r="H1656" i="8" s="1"/>
  <c r="H1657" i="8" a="1"/>
  <c r="H1657" i="8" s="1"/>
  <c r="H1658" i="8" a="1"/>
  <c r="H1658" i="8" s="1"/>
  <c r="H1659" i="8" a="1"/>
  <c r="H1659" i="8" s="1"/>
  <c r="H1660" i="8" a="1"/>
  <c r="H1660" i="8" s="1"/>
  <c r="H1661" i="8" a="1"/>
  <c r="H1661" i="8" s="1"/>
  <c r="H1662" i="8" a="1"/>
  <c r="H1662" i="8" s="1"/>
  <c r="H1663" i="8" a="1"/>
  <c r="H1663" i="8" s="1"/>
  <c r="H1664" i="8" a="1"/>
  <c r="H1664" i="8" s="1"/>
  <c r="H1665" i="8" a="1"/>
  <c r="H1665" i="8" s="1"/>
  <c r="H1666" i="8" a="1"/>
  <c r="H1666" i="8" s="1"/>
  <c r="H1667" i="8" a="1"/>
  <c r="H1667" i="8"/>
  <c r="H1668" i="8" a="1"/>
  <c r="H1668" i="8" s="1"/>
  <c r="H1669" i="8" a="1"/>
  <c r="H1669" i="8" s="1"/>
  <c r="H1670" i="8" a="1"/>
  <c r="H1670" i="8" s="1"/>
  <c r="H1671" i="8" a="1"/>
  <c r="H1671" i="8" s="1"/>
  <c r="H1672" i="8" a="1"/>
  <c r="H1672" i="8" s="1"/>
  <c r="H1673" i="8" a="1"/>
  <c r="H1673" i="8" s="1"/>
  <c r="H1674" i="8" a="1"/>
  <c r="H1674" i="8" s="1"/>
  <c r="H1675" i="8" a="1"/>
  <c r="H1675" i="8" s="1"/>
  <c r="H1676" i="8" a="1"/>
  <c r="H1676" i="8" s="1"/>
  <c r="H1677" i="8" a="1"/>
  <c r="H1677" i="8" s="1"/>
  <c r="H1678" i="8" a="1"/>
  <c r="H1678" i="8" s="1"/>
  <c r="H1679" i="8" a="1"/>
  <c r="H1679" i="8" s="1"/>
  <c r="H1680" i="8" a="1"/>
  <c r="H1680" i="8" s="1"/>
  <c r="H1681" i="8" a="1"/>
  <c r="H1681" i="8" s="1"/>
  <c r="H1682" i="8" a="1"/>
  <c r="H1682" i="8" s="1"/>
  <c r="H1683" i="8" a="1"/>
  <c r="H1683" i="8" s="1"/>
  <c r="H1684" i="8" a="1"/>
  <c r="H1684" i="8" s="1"/>
  <c r="H1685" i="8" a="1"/>
  <c r="H1685" i="8" s="1"/>
  <c r="H1686" i="8" a="1"/>
  <c r="H1686" i="8" s="1"/>
  <c r="H1687" i="8" a="1"/>
  <c r="H1687" i="8" s="1"/>
  <c r="H1688" i="8" a="1"/>
  <c r="H1688" i="8" s="1"/>
  <c r="H1689" i="8" a="1"/>
  <c r="H1689" i="8" s="1"/>
  <c r="H1690" i="8" a="1"/>
  <c r="H1690" i="8" s="1"/>
  <c r="H1691" i="8" a="1"/>
  <c r="H1691" i="8" s="1"/>
  <c r="H1692" i="8" a="1"/>
  <c r="H1692" i="8" s="1"/>
  <c r="H1693" i="8" a="1"/>
  <c r="H1693" i="8" s="1"/>
  <c r="H1694" i="8" a="1"/>
  <c r="H1694" i="8" s="1"/>
  <c r="H1695" i="8" a="1"/>
  <c r="H1695" i="8" s="1"/>
  <c r="H1696" i="8" a="1"/>
  <c r="H1696" i="8" s="1"/>
  <c r="H1697" i="8" a="1"/>
  <c r="H1697" i="8"/>
  <c r="H1698" i="8" a="1"/>
  <c r="H1698" i="8" s="1"/>
  <c r="H1699" i="8" a="1"/>
  <c r="H1699" i="8" s="1"/>
  <c r="H1700" i="8" a="1"/>
  <c r="H1700" i="8" s="1"/>
  <c r="H1701" i="8" a="1"/>
  <c r="H1701" i="8" s="1"/>
  <c r="H1702" i="8" a="1"/>
  <c r="H1702" i="8" s="1"/>
  <c r="H1703" i="8" a="1"/>
  <c r="H1703" i="8"/>
  <c r="H1704" i="8" a="1"/>
  <c r="H1704" i="8" s="1"/>
  <c r="H1705" i="8" a="1"/>
  <c r="H1705" i="8" s="1"/>
  <c r="H1706" i="8" a="1"/>
  <c r="H1706" i="8" s="1"/>
  <c r="H1707" i="8" a="1"/>
  <c r="H1707" i="8" s="1"/>
  <c r="H1708" i="8" a="1"/>
  <c r="H1708" i="8" s="1"/>
  <c r="H1709" i="8" a="1"/>
  <c r="H1709" i="8" s="1"/>
  <c r="H1710" i="8" a="1"/>
  <c r="H1710" i="8" s="1"/>
  <c r="H1711" i="8" a="1"/>
  <c r="H1711" i="8" s="1"/>
  <c r="H1712" i="8" a="1"/>
  <c r="H1712" i="8" s="1"/>
  <c r="H1713" i="8" a="1"/>
  <c r="H1713" i="8" s="1"/>
  <c r="H1714" i="8" a="1"/>
  <c r="H1714" i="8" s="1"/>
  <c r="H1715" i="8" a="1"/>
  <c r="H1715" i="8" s="1"/>
  <c r="H1716" i="8" a="1"/>
  <c r="H1716" i="8" s="1"/>
  <c r="H1717" i="8" a="1"/>
  <c r="H1717" i="8" s="1"/>
  <c r="H1718" i="8" a="1"/>
  <c r="H1718" i="8" s="1"/>
  <c r="H1719" i="8" a="1"/>
  <c r="H1719" i="8" s="1"/>
  <c r="H1720" i="8" a="1"/>
  <c r="H1720" i="8" s="1"/>
  <c r="H1721" i="8" a="1"/>
  <c r="H1721" i="8" s="1"/>
  <c r="H1722" i="8" a="1"/>
  <c r="H1722" i="8" s="1"/>
  <c r="H1723" i="8" a="1"/>
  <c r="H1723" i="8" s="1"/>
  <c r="H1724" i="8" a="1"/>
  <c r="H1724" i="8" s="1"/>
  <c r="H1725" i="8" a="1"/>
  <c r="H1725" i="8" s="1"/>
  <c r="H1726" i="8" a="1"/>
  <c r="H1726" i="8" s="1"/>
  <c r="H1727" i="8" a="1"/>
  <c r="H1727" i="8" s="1"/>
  <c r="H1728" i="8" a="1"/>
  <c r="H1728" i="8" s="1"/>
  <c r="H1729" i="8" a="1"/>
  <c r="H1729" i="8" s="1"/>
  <c r="H1730" i="8" a="1"/>
  <c r="H1730" i="8" s="1"/>
  <c r="H1731" i="8" a="1"/>
  <c r="H1731" i="8" s="1"/>
  <c r="H1732" i="8" a="1"/>
  <c r="H1732" i="8" s="1"/>
  <c r="H1733" i="8" a="1"/>
  <c r="H1733" i="8" s="1"/>
  <c r="H1734" i="8" a="1"/>
  <c r="H1734" i="8" s="1"/>
  <c r="H1735" i="8" a="1"/>
  <c r="H1735" i="8" s="1"/>
  <c r="H1736" i="8" a="1"/>
  <c r="H1736" i="8" s="1"/>
  <c r="H1737" i="8" a="1"/>
  <c r="H1737" i="8" s="1"/>
  <c r="H1738" i="8" a="1"/>
  <c r="H1738" i="8" s="1"/>
  <c r="H1739" i="8" a="1"/>
  <c r="H1739" i="8" s="1"/>
  <c r="H1740" i="8" a="1"/>
  <c r="H1740" i="8" s="1"/>
  <c r="H1741" i="8" a="1"/>
  <c r="H1741" i="8" s="1"/>
  <c r="H1742" i="8" a="1"/>
  <c r="H1742" i="8" s="1"/>
  <c r="H1743" i="8" a="1"/>
  <c r="H1743" i="8" s="1"/>
  <c r="H1744" i="8" a="1"/>
  <c r="H1744" i="8" s="1"/>
  <c r="H1745" i="8" a="1"/>
  <c r="H1745" i="8" s="1"/>
  <c r="H1746" i="8" a="1"/>
  <c r="H1746" i="8" s="1"/>
  <c r="H1747" i="8" a="1"/>
  <c r="H1747" i="8" s="1"/>
  <c r="H1748" i="8" a="1"/>
  <c r="H1748" i="8" s="1"/>
  <c r="H1749" i="8" a="1"/>
  <c r="H1749" i="8" s="1"/>
  <c r="H1750" i="8" a="1"/>
  <c r="H1750" i="8" s="1"/>
  <c r="H1751" i="8" a="1"/>
  <c r="H1751" i="8" s="1"/>
  <c r="H1752" i="8" a="1"/>
  <c r="H1752" i="8" s="1"/>
  <c r="H1753" i="8" a="1"/>
  <c r="H1753" i="8" s="1"/>
  <c r="H1754" i="8" a="1"/>
  <c r="H1754" i="8" s="1"/>
  <c r="H1755" i="8" a="1"/>
  <c r="H1755" i="8" s="1"/>
  <c r="H1756" i="8" a="1"/>
  <c r="H1756" i="8" s="1"/>
  <c r="H1757" i="8" a="1"/>
  <c r="H1757" i="8" s="1"/>
  <c r="H1758" i="8" a="1"/>
  <c r="H1758" i="8" s="1"/>
  <c r="H1759" i="8" a="1"/>
  <c r="H1759" i="8" s="1"/>
  <c r="H1760" i="8" a="1"/>
  <c r="H1760" i="8" s="1"/>
  <c r="H1761" i="8" a="1"/>
  <c r="H1761" i="8" s="1"/>
  <c r="H1762" i="8" a="1"/>
  <c r="H1762" i="8" s="1"/>
  <c r="H1763" i="8" a="1"/>
  <c r="H1763" i="8" s="1"/>
  <c r="H1764" i="8" a="1"/>
  <c r="H1764" i="8" s="1"/>
  <c r="H1765" i="8" a="1"/>
  <c r="H1765" i="8" s="1"/>
  <c r="H1766" i="8" a="1"/>
  <c r="H1766" i="8" s="1"/>
  <c r="H1767" i="8" a="1"/>
  <c r="H1767" i="8" s="1"/>
  <c r="H1768" i="8" a="1"/>
  <c r="H1768" i="8" s="1"/>
  <c r="H1769" i="8" a="1"/>
  <c r="H1769" i="8"/>
  <c r="H1770" i="8" a="1"/>
  <c r="H1770" i="8" s="1"/>
  <c r="H1771" i="8" a="1"/>
  <c r="H1771" i="8" s="1"/>
  <c r="H1772" i="8" a="1"/>
  <c r="H1772" i="8" s="1"/>
  <c r="H1773" i="8" a="1"/>
  <c r="H1773" i="8" s="1"/>
  <c r="H1774" i="8" a="1"/>
  <c r="H1774" i="8" s="1"/>
  <c r="H1775" i="8" a="1"/>
  <c r="H1775" i="8" s="1"/>
  <c r="H1776" i="8" a="1"/>
  <c r="H1776" i="8" s="1"/>
  <c r="H1777" i="8" a="1"/>
  <c r="H1777" i="8" s="1"/>
  <c r="H1778" i="8" a="1"/>
  <c r="H1778" i="8" s="1"/>
  <c r="H1779" i="8" a="1"/>
  <c r="H1779" i="8" s="1"/>
  <c r="H1780" i="8" a="1"/>
  <c r="H1780" i="8" s="1"/>
  <c r="H1781" i="8" a="1"/>
  <c r="H1781" i="8"/>
  <c r="H1782" i="8" a="1"/>
  <c r="H1782" i="8" s="1"/>
  <c r="H1783" i="8" a="1"/>
  <c r="H1783" i="8" s="1"/>
  <c r="H1784" i="8" a="1"/>
  <c r="H1784" i="8" s="1"/>
  <c r="H1785" i="8" a="1"/>
  <c r="H1785" i="8" s="1"/>
  <c r="H1786" i="8" a="1"/>
  <c r="H1786" i="8" s="1"/>
  <c r="H1787" i="8" a="1"/>
  <c r="H1787" i="8"/>
  <c r="H1788" i="8" a="1"/>
  <c r="H1788" i="8" s="1"/>
  <c r="H1789" i="8" a="1"/>
  <c r="H1789" i="8" s="1"/>
  <c r="H1790" i="8" a="1"/>
  <c r="H1790" i="8" s="1"/>
  <c r="H1791" i="8" a="1"/>
  <c r="H1791" i="8" s="1"/>
  <c r="H1792" i="8" a="1"/>
  <c r="H1792" i="8" s="1"/>
  <c r="H1793" i="8" a="1"/>
  <c r="H1793" i="8" s="1"/>
  <c r="H1794" i="8" a="1"/>
  <c r="H1794" i="8" s="1"/>
  <c r="H1795" i="8" a="1"/>
  <c r="H1795" i="8" s="1"/>
  <c r="H1796" i="8" a="1"/>
  <c r="H1796" i="8" s="1"/>
  <c r="H1797" i="8" a="1"/>
  <c r="H1797" i="8" s="1"/>
  <c r="H1798" i="8" a="1"/>
  <c r="H1798" i="8" s="1"/>
  <c r="H1799" i="8" a="1"/>
  <c r="H1799" i="8" s="1"/>
  <c r="H1800" i="8" a="1"/>
  <c r="H1800" i="8" s="1"/>
  <c r="H1801" i="8" a="1"/>
  <c r="H1801" i="8"/>
  <c r="H1802" i="8" a="1"/>
  <c r="H1802" i="8" s="1"/>
  <c r="H1803" i="8" a="1"/>
  <c r="H1803" i="8" s="1"/>
  <c r="H1804" i="8" a="1"/>
  <c r="H1804" i="8" s="1"/>
  <c r="H1805" i="8" a="1"/>
  <c r="H1805" i="8"/>
  <c r="H1806" i="8" a="1"/>
  <c r="H1806" i="8" s="1"/>
  <c r="H1807" i="8" a="1"/>
  <c r="H1807" i="8" s="1"/>
  <c r="H1808" i="8" a="1"/>
  <c r="H1808" i="8" s="1"/>
  <c r="H1809" i="8" a="1"/>
  <c r="H1809" i="8" s="1"/>
  <c r="H1810" i="8" a="1"/>
  <c r="H1810" i="8" s="1"/>
  <c r="H1811" i="8" a="1"/>
  <c r="H1811" i="8" s="1"/>
  <c r="H1812" i="8" a="1"/>
  <c r="H1812" i="8" s="1"/>
  <c r="H1813" i="8" a="1"/>
  <c r="H1813" i="8" s="1"/>
  <c r="H1814" i="8" a="1"/>
  <c r="H1814" i="8" s="1"/>
  <c r="H1815" i="8" a="1"/>
  <c r="H1815" i="8" s="1"/>
  <c r="H1816" i="8" a="1"/>
  <c r="H1816" i="8" s="1"/>
  <c r="H1817" i="8" a="1"/>
  <c r="H1817" i="8" s="1"/>
  <c r="H1818" i="8" a="1"/>
  <c r="H1818" i="8" s="1"/>
  <c r="H1819" i="8" a="1"/>
  <c r="H1819" i="8" s="1"/>
  <c r="H1820" i="8" a="1"/>
  <c r="H1820" i="8" s="1"/>
  <c r="H1821" i="8" a="1"/>
  <c r="H1821" i="8" s="1"/>
  <c r="H1822" i="8" a="1"/>
  <c r="H1822" i="8" s="1"/>
  <c r="H1823" i="8" a="1"/>
  <c r="H1823" i="8" s="1"/>
  <c r="H1824" i="8" a="1"/>
  <c r="H1824" i="8" s="1"/>
  <c r="H1825" i="8" a="1"/>
  <c r="H1825" i="8" s="1"/>
  <c r="H1826" i="8" a="1"/>
  <c r="H1826" i="8" s="1"/>
  <c r="H1827" i="8" a="1"/>
  <c r="H1827" i="8" s="1"/>
  <c r="H1828" i="8" a="1"/>
  <c r="H1828" i="8" s="1"/>
  <c r="H1829" i="8" a="1"/>
  <c r="H1829" i="8" s="1"/>
  <c r="H1830" i="8" a="1"/>
  <c r="H1830" i="8" s="1"/>
  <c r="H1831" i="8" a="1"/>
  <c r="H1831" i="8" s="1"/>
  <c r="H1832" i="8" a="1"/>
  <c r="H1832" i="8" s="1"/>
  <c r="H1833" i="8" a="1"/>
  <c r="H1833" i="8" s="1"/>
  <c r="H1834" i="8" a="1"/>
  <c r="H1834" i="8" s="1"/>
  <c r="H1835" i="8" a="1"/>
  <c r="H1835" i="8" s="1"/>
  <c r="H1836" i="8" a="1"/>
  <c r="H1836" i="8" s="1"/>
  <c r="H1837" i="8" a="1"/>
  <c r="H1837" i="8" s="1"/>
  <c r="H1838" i="8" a="1"/>
  <c r="H1838" i="8" s="1"/>
  <c r="H1839" i="8" a="1"/>
  <c r="H1839" i="8" s="1"/>
  <c r="H1840" i="8" a="1"/>
  <c r="H1840" i="8" s="1"/>
  <c r="H1841" i="8" a="1"/>
  <c r="H1841" i="8"/>
  <c r="H1842" i="8" a="1"/>
  <c r="H1842" i="8" s="1"/>
  <c r="H1843" i="8" a="1"/>
  <c r="H1843" i="8" s="1"/>
  <c r="H1844" i="8" a="1"/>
  <c r="H1844" i="8" s="1"/>
  <c r="H1845" i="8" a="1"/>
  <c r="H1845" i="8" s="1"/>
  <c r="H1846" i="8" a="1"/>
  <c r="H1846" i="8" s="1"/>
  <c r="H1847" i="8" a="1"/>
  <c r="H1847" i="8" s="1"/>
  <c r="H1848" i="8" a="1"/>
  <c r="H1848" i="8" s="1"/>
  <c r="H1849" i="8" a="1"/>
  <c r="H1849" i="8" s="1"/>
  <c r="H1850" i="8" a="1"/>
  <c r="H1850" i="8" s="1"/>
  <c r="H1851" i="8" a="1"/>
  <c r="H1851" i="8" s="1"/>
  <c r="H1852" i="8" a="1"/>
  <c r="H1852" i="8" s="1"/>
  <c r="H1853" i="8" a="1"/>
  <c r="H1853" i="8" s="1"/>
  <c r="H1854" i="8" a="1"/>
  <c r="H1854" i="8" s="1"/>
  <c r="H1855" i="8" a="1"/>
  <c r="H1855" i="8" s="1"/>
  <c r="H1856" i="8" a="1"/>
  <c r="H1856" i="8" s="1"/>
  <c r="H1857" i="8" a="1"/>
  <c r="H1857" i="8" s="1"/>
  <c r="H1858" i="8" a="1"/>
  <c r="H1858" i="8" s="1"/>
  <c r="H1859" i="8" a="1"/>
  <c r="H1859" i="8" s="1"/>
  <c r="H1860" i="8" a="1"/>
  <c r="H1860" i="8" s="1"/>
  <c r="H1861" i="8" a="1"/>
  <c r="H1861" i="8" s="1"/>
  <c r="H1862" i="8" a="1"/>
  <c r="H1862" i="8" s="1"/>
  <c r="H1863" i="8" a="1"/>
  <c r="H1863" i="8" s="1"/>
  <c r="H1864" i="8" a="1"/>
  <c r="H1864" i="8" s="1"/>
  <c r="H1865" i="8" a="1"/>
  <c r="H1865" i="8" s="1"/>
  <c r="H1866" i="8" a="1"/>
  <c r="H1866" i="8" s="1"/>
  <c r="H1867" i="8" a="1"/>
  <c r="H1867" i="8" s="1"/>
  <c r="H1868" i="8" a="1"/>
  <c r="H1868" i="8" s="1"/>
  <c r="H1869" i="8" a="1"/>
  <c r="H1869" i="8" s="1"/>
  <c r="H1870" i="8" a="1"/>
  <c r="H1870" i="8" s="1"/>
  <c r="H1871" i="8" a="1"/>
  <c r="H1871" i="8" s="1"/>
  <c r="H1872" i="8" a="1"/>
  <c r="H1872" i="8" s="1"/>
  <c r="H1873" i="8" a="1"/>
  <c r="H1873" i="8" s="1"/>
  <c r="H1874" i="8" a="1"/>
  <c r="H1874" i="8" s="1"/>
  <c r="H1875" i="8" a="1"/>
  <c r="H1875" i="8" s="1"/>
  <c r="H1876" i="8" a="1"/>
  <c r="H1876" i="8" s="1"/>
  <c r="H1877" i="8" a="1"/>
  <c r="H1877" i="8" s="1"/>
  <c r="H1878" i="8" a="1"/>
  <c r="H1878" i="8" s="1"/>
  <c r="H1879" i="8" a="1"/>
  <c r="H1879" i="8" s="1"/>
  <c r="H1880" i="8" a="1"/>
  <c r="H1880" i="8" s="1"/>
  <c r="H1881" i="8" a="1"/>
  <c r="H1881" i="8" s="1"/>
  <c r="H1882" i="8" a="1"/>
  <c r="H1882" i="8" s="1"/>
  <c r="H1883" i="8" a="1"/>
  <c r="H1883" i="8" s="1"/>
  <c r="H1884" i="8" a="1"/>
  <c r="H1884" i="8" s="1"/>
  <c r="H1885" i="8" a="1"/>
  <c r="H1885" i="8" s="1"/>
  <c r="H1886" i="8" a="1"/>
  <c r="H1886" i="8" s="1"/>
  <c r="H1887" i="8" a="1"/>
  <c r="H1887" i="8" s="1"/>
  <c r="H1888" i="8" a="1"/>
  <c r="H1888" i="8" s="1"/>
  <c r="H1889" i="8" a="1"/>
  <c r="H1889" i="8" s="1"/>
  <c r="H1890" i="8" a="1"/>
  <c r="H1890" i="8" s="1"/>
  <c r="H1891" i="8" a="1"/>
  <c r="H1891" i="8" s="1"/>
  <c r="H1892" i="8" a="1"/>
  <c r="H1892" i="8" s="1"/>
  <c r="H1893" i="8" a="1"/>
  <c r="H1893" i="8" s="1"/>
  <c r="H1894" i="8" a="1"/>
  <c r="H1894" i="8" s="1"/>
  <c r="H1895" i="8" a="1"/>
  <c r="H1895" i="8"/>
  <c r="H1896" i="8" a="1"/>
  <c r="H1896" i="8" s="1"/>
  <c r="H1897" i="8" a="1"/>
  <c r="H1897"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3928B6-B93C-4CB5-8E60-57F7786EFBB6}" keepAlive="1" name="Query - EXPENDITURE_2022" description="Connection to the 'EXPENDITURE_2022' query in the workbook." type="5" refreshedVersion="8" background="1" saveData="1">
    <dbPr connection="Provider=Microsoft.Mashup.OleDb.1;Data Source=$Workbook$;Location=EXPENDITURE_2022;Extended Properties=&quot;&quot;" command="SELECT * FROM [EXPENDITURE_2022]"/>
  </connection>
  <connection id="2" xr16:uid="{2E516847-E3AE-4329-A9EB-6FC77D0A438A}" keepAlive="1" name="Query - EXPENDITURE_2023" description="Connection to the 'EXPENDITURE_2023' query in the workbook." type="5" refreshedVersion="8" background="1" saveData="1">
    <dbPr connection="Provider=Microsoft.Mashup.OleDb.1;Data Source=$Workbook$;Location=EXPENDITURE_2023;Extended Properties=&quot;&quot;" command="SELECT * FROM [EXPENDITURE_2023]"/>
  </connection>
  <connection id="3" xr16:uid="{B024D4BC-113E-4429-BFA6-10D006733A25}" keepAlive="1" name="Query - FINANCE_OVERVIEW" description="Connection to the 'FINANCE_OVERVIEW' query in the workbook." type="5" refreshedVersion="8" background="1" saveData="1">
    <dbPr connection="Provider=Microsoft.Mashup.OleDb.1;Data Source=$Workbook$;Location=FINANCE_OVERVIEW;Extended Properties=&quot;&quot;" command="SELECT * FROM [FINANCE_OVERVIEW]"/>
  </connection>
  <connection id="4" xr16:uid="{E538913C-7764-464A-99EA-B091924D8C73}" keepAlive="1" name="Query - REVENUE_2022" description="Connection to the 'REVENUE_2022' query in the workbook." type="5" refreshedVersion="8" background="1" saveData="1">
    <dbPr connection="Provider=Microsoft.Mashup.OleDb.1;Data Source=$Workbook$;Location=REVENUE_2022;Extended Properties=&quot;&quot;" command="SELECT * FROM [REVENUE_2022]"/>
  </connection>
  <connection id="5" xr16:uid="{B1094FFC-1B61-4E6D-9B9A-BB280C6AB39B}" keepAlive="1" name="Query - REVENUE_2023" description="Connection to the 'REVENUE_2023' query in the workbook." type="5" refreshedVersion="8" background="1" saveData="1">
    <dbPr connection="Provider=Microsoft.Mashup.OleDb.1;Data Source=$Workbook$;Location=REVENUE_2023;Extended Properties=&quot;&quot;" command="SELECT * FROM [REVENUE_2023]"/>
  </connection>
  <connection id="6" xr16:uid="{461FEFD0-0A5E-4821-8F1F-39813E7A7139}" keepAlive="1" name="Query - TOTAL_EXPENDITURE" description="Connection to the 'TOTAL_EXPENDITURE' query in the workbook." type="5" refreshedVersion="8" background="1" saveData="1">
    <dbPr connection="Provider=Microsoft.Mashup.OleDb.1;Data Source=$Workbook$;Location=TOTAL_EXPENDITURE;Extended Properties=&quot;&quot;" command="SELECT * FROM [TOTAL_EXPENDITURE]"/>
  </connection>
  <connection id="7" xr16:uid="{93022452-7DA9-4F8C-ACD4-C9C39FEE1F92}" keepAlive="1" name="Query - TOTAL_REVENUE" description="Connection to the 'TOTAL_REVENUE' query in the workbook." type="5" refreshedVersion="8" background="1" saveData="1">
    <dbPr connection="Provider=Microsoft.Mashup.OleDb.1;Data Source=$Workbook$;Location=TOTAL_REVENUE;Extended Properties=&quot;&quot;" command="SELECT * FROM [TOTAL_REVENU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<sst xmlns="http://schemas.openxmlformats.org/spreadsheetml/2006/main" count="13361" uniqueCount="132">
  <si>
    <t>YEAR</t>
  </si>
  <si>
    <t>ENTITY_NAME</t>
  </si>
  <si>
    <t>DESCRIPTION</t>
  </si>
  <si>
    <t>EXPENSE_BUDGET</t>
  </si>
  <si>
    <t>Ministry of Energy &amp; Infrastructure</t>
  </si>
  <si>
    <t>Compensations of Employees</t>
  </si>
  <si>
    <t>Use of Goods and Services</t>
  </si>
  <si>
    <t>Subsidies</t>
  </si>
  <si>
    <t>Budgeted Assets</t>
  </si>
  <si>
    <t>Ministry of Culture and Youth</t>
  </si>
  <si>
    <t>Ministry of Foreign Affairs &amp; International Cooperation</t>
  </si>
  <si>
    <t>Ministry of Interior</t>
  </si>
  <si>
    <t>Ministry of Defense</t>
  </si>
  <si>
    <t>Security Agency</t>
  </si>
  <si>
    <t>Ministry of Education</t>
  </si>
  <si>
    <t>Ministry of Health &amp; Prevention</t>
  </si>
  <si>
    <t>Ministry of Industry &amp; Advanced Technology</t>
  </si>
  <si>
    <t>Ministry of Finance</t>
  </si>
  <si>
    <t>Ministry of Economy</t>
  </si>
  <si>
    <t>Other Expenses</t>
  </si>
  <si>
    <t>State Audit Institution</t>
  </si>
  <si>
    <t>Ministry of Human Resources &amp; Emiratization</t>
  </si>
  <si>
    <t>Ministry of Justice</t>
  </si>
  <si>
    <t>Ministry of Climate Change &amp; Environment</t>
  </si>
  <si>
    <t>Ministry of Community Development</t>
  </si>
  <si>
    <t>Ministry of State for National Council Affairs</t>
  </si>
  <si>
    <t>Ministry of State (132) - Maitha Al Shamsi</t>
  </si>
  <si>
    <t>Minister of State - Ahmed Al Sayeg</t>
  </si>
  <si>
    <t>Other Federal Revenues &amp; Expenditures</t>
  </si>
  <si>
    <t>Interest</t>
  </si>
  <si>
    <t>Grants</t>
  </si>
  <si>
    <t>Social Benefits</t>
  </si>
  <si>
    <t>Vice President’s Office for Political Affairs</t>
  </si>
  <si>
    <t>Emirates School Establishment</t>
  </si>
  <si>
    <t>Emirates Health Services Establishment</t>
  </si>
  <si>
    <t>Emirates News Agency</t>
  </si>
  <si>
    <t>Federal National Council</t>
  </si>
  <si>
    <t>Federal Geographic Information Center</t>
  </si>
  <si>
    <t>General Authority of Sports</t>
  </si>
  <si>
    <t>UAE Gender Balance Council</t>
  </si>
  <si>
    <t>Ministry of Tolerance and Coexistence</t>
  </si>
  <si>
    <t>Federal Authority for Identity and Citizenship</t>
  </si>
  <si>
    <t>The Supreme Council For Motherhood And Childhood</t>
  </si>
  <si>
    <t>Emirates Diplomatic Academy</t>
  </si>
  <si>
    <t>National Counseling Center</t>
  </si>
  <si>
    <t>UAE Space Agency</t>
  </si>
  <si>
    <t>General Authority for Islamic Affairs and Endowments</t>
  </si>
  <si>
    <t>Federal Authority For Government Human Resources</t>
  </si>
  <si>
    <t>United Arab Emirates University</t>
  </si>
  <si>
    <t>Higher Colleges of Technology</t>
  </si>
  <si>
    <t>Zayed University</t>
  </si>
  <si>
    <t>Zakat Fund</t>
  </si>
  <si>
    <t>Securities And Commodities Authority</t>
  </si>
  <si>
    <t>Federal Demographic Council</t>
  </si>
  <si>
    <t>Ministry Of State – Jaber Al Suwaidi</t>
  </si>
  <si>
    <t>The Federal Judicial Control Office</t>
  </si>
  <si>
    <t>Telecommunications Regulatory Authority</t>
  </si>
  <si>
    <t>Federal Authority for Nuclear Regulation</t>
  </si>
  <si>
    <t>REVENUE_BUDGET</t>
  </si>
  <si>
    <t>Other Federal Revenues</t>
  </si>
  <si>
    <t>Social Contributions</t>
  </si>
  <si>
    <t>Taxes</t>
  </si>
  <si>
    <t>Contributions</t>
  </si>
  <si>
    <t>National Capabilities Development</t>
  </si>
  <si>
    <t>Federal Tax Authority</t>
  </si>
  <si>
    <t>Executive Office of the Anti-Money Laundering and Countering the Financing of Terrorism (AML/CFT)</t>
  </si>
  <si>
    <t>Ministry of Justice (AML)</t>
  </si>
  <si>
    <t>Federal Customs Authority (AML)</t>
  </si>
  <si>
    <t>General Authority for Islamic Affairs and AWQAF – Domestic Support</t>
  </si>
  <si>
    <t>Emirates Real Estate Corporation</t>
  </si>
  <si>
    <t>Ministry of Economy (AML)</t>
  </si>
  <si>
    <t>MOHRE Sponsorship Project</t>
  </si>
  <si>
    <t>UAESA Sponsorship Projects</t>
  </si>
  <si>
    <t>ENTITY_NAME_AR</t>
  </si>
  <si>
    <t>DESCRIPTION_AR</t>
  </si>
  <si>
    <t>Abbreviation</t>
  </si>
  <si>
    <t>MoEI</t>
  </si>
  <si>
    <t>MoCY</t>
  </si>
  <si>
    <t>MoFAIC</t>
  </si>
  <si>
    <t>MoI</t>
  </si>
  <si>
    <t>MoD</t>
  </si>
  <si>
    <t>SA</t>
  </si>
  <si>
    <t>MoE</t>
  </si>
  <si>
    <t>MoHP</t>
  </si>
  <si>
    <t>MoIAT</t>
  </si>
  <si>
    <t>MoF</t>
  </si>
  <si>
    <t>MoEc</t>
  </si>
  <si>
    <t>SAI</t>
  </si>
  <si>
    <t>MOHRE</t>
  </si>
  <si>
    <t>MoJ</t>
  </si>
  <si>
    <t>MoCCE</t>
  </si>
  <si>
    <t>MoCD</t>
  </si>
  <si>
    <t>MoS-NCA</t>
  </si>
  <si>
    <t>MoS-MAS</t>
  </si>
  <si>
    <t>MoS-AAS</t>
  </si>
  <si>
    <t>OFR&amp;E</t>
  </si>
  <si>
    <t>VPPA</t>
  </si>
  <si>
    <t>ESE</t>
  </si>
  <si>
    <t>EHS</t>
  </si>
  <si>
    <t>ENA</t>
  </si>
  <si>
    <t>FNC</t>
  </si>
  <si>
    <t>FGIC</t>
  </si>
  <si>
    <t>GAS</t>
  </si>
  <si>
    <t>UGBC</t>
  </si>
  <si>
    <t>MoTC</t>
  </si>
  <si>
    <t>FAIC</t>
  </si>
  <si>
    <t>SCMC</t>
  </si>
  <si>
    <t>EDA</t>
  </si>
  <si>
    <t>NCC</t>
  </si>
  <si>
    <t>UAESA</t>
  </si>
  <si>
    <t>GAIAE</t>
  </si>
  <si>
    <t>FAHR</t>
  </si>
  <si>
    <t>UAEU</t>
  </si>
  <si>
    <t>HCT</t>
  </si>
  <si>
    <t>ZU</t>
  </si>
  <si>
    <t>ZF</t>
  </si>
  <si>
    <t>SCA</t>
  </si>
  <si>
    <t>FDC</t>
  </si>
  <si>
    <t>MoS-JAS</t>
  </si>
  <si>
    <t>FJCO</t>
  </si>
  <si>
    <t>TRA</t>
  </si>
  <si>
    <t>FANR</t>
  </si>
  <si>
    <t>NCD</t>
  </si>
  <si>
    <t>FTA</t>
  </si>
  <si>
    <t>AML-CFT</t>
  </si>
  <si>
    <t>MoJ-AML</t>
  </si>
  <si>
    <t>FCA-AML</t>
  </si>
  <si>
    <t>GAIA-DS</t>
  </si>
  <si>
    <t>EREC</t>
  </si>
  <si>
    <t>MoEc-AML</t>
  </si>
  <si>
    <t>MOHRE-SP</t>
  </si>
  <si>
    <t>UAESA-SP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</si>
</sst>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7" xr16:uid="{8FE9272A-05BF-4212-978C-07206BAB55EC}" autoFormatId="16" applyNumberFormats="0" applyBorderFormats="0" applyFontFormats="0" applyPatternFormats="0" applyAlignmentFormats="0" applyWidthHeightFormats="0">
  <queryTableRefresh nextId="5">
    <queryTableFields count="4">
      <queryTableField id="1" name="YEAR" tableColumnId="1"/>
      <queryTableField id="2" name="ENTITY_NAME" tableColumnId="2"/>
      <queryTableField id="3" name="DESCRIPTION" tableColumnId="3"/>
      <queryTableField id="4" name="REVENUE_BUDGE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 xr16:uid="{533E007E-4147-4742-BF69-A9BEEBF8C870}" autoFormatId="16" applyNumberFormats="0" applyBorderFormats="0" applyFontFormats="0" applyPatternFormats="0" applyAlignmentFormats="0" applyWidthHeightFormats="0">
  <queryTableRefresh nextId="6">
    <queryTableFields count="4">
      <queryTableField id="1" name="YEAR" tableColumnId="1"/>
      <queryTableField id="2" name="ENTITY_NAME" tableColumnId="2"/>
      <queryTableField id="3" name="DESCRIPTION" tableColumnId="3"/>
      <queryTableField id="4" name="EXPENSE_BUDGET"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5" xr16:uid="{6A1CDB45-BB03-40DC-B747-7B86876D7747}" autoFormatId="16" applyNumberFormats="0" applyBorderFormats="0" applyFontFormats="0" applyPatternFormats="0" applyAlignmentFormats="0" applyWidthHeightFormats="0">
  <queryTableRefresh nextId="5">
    <queryTableFields count="4">
      <queryTableField id="1" name="YEAR" tableColumnId="1"/>
      <queryTableField id="2" name="ENTITY_NAME" tableColumnId="2"/>
      <queryTableField id="3" name="DESCRIPTION" tableColumnId="3"/>
      <queryTableField id="4" name="REVENUE_BUDGET"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8F942FDE-C0D2-4D51-A6C6-F1836BD70482}" autoFormatId="16" applyNumberFormats="0" applyBorderFormats="0" applyFontFormats="0" applyPatternFormats="0" applyAlignmentFormats="0" applyWidthHeightFormats="0">
  <queryTableRefresh nextId="5">
    <queryTableFields count="4">
      <queryTableField id="1" name="YEAR" tableColumnId="1"/>
      <queryTableField id="2" name="ENTITY_NAME" tableColumnId="2"/>
      <queryTableField id="3" name="DESCRIPTION" tableColumnId="3"/>
      <queryTableField id="4" name="REVENUE_BUDGET"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7188B09C-C439-4F3F-90E9-221F4CBB2BA6}" autoFormatId="16" applyNumberFormats="0" applyBorderFormats="0" applyFontFormats="0" applyPatternFormats="0" applyAlignmentFormats="0" applyWidthHeightFormats="0">
  <queryTableRefresh nextId="5">
    <queryTableFields count="4">
      <queryTableField id="1" name="YEAR" tableColumnId="1"/>
      <queryTableField id="2" name="ENTITY_NAME" tableColumnId="2"/>
      <queryTableField id="3" name="DESCRIPTION" tableColumnId="3"/>
      <queryTableField id="4" name="EXPENSE_BUDGET"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4D61A040-FEF8-4A89-BFA6-E570B33D1929}" autoFormatId="16" applyNumberFormats="0" applyBorderFormats="0" applyFontFormats="0" applyPatternFormats="0" applyAlignmentFormats="0" applyWidthHeightFormats="0">
  <queryTableRefresh nextId="5">
    <queryTableFields count="4">
      <queryTableField id="1" name="YEAR" tableColumnId="1"/>
      <queryTableField id="2" name="ENTITY_NAME" tableColumnId="2"/>
      <queryTableField id="3" name="DESCRIPTION" tableColumnId="3"/>
      <queryTableField id="4" name="EXPENSE_BUDGET"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connectionId="3" xr16:uid="{F766F658-FC95-4AE2-80EC-2235F662C979}" autoFormatId="16" applyNumberFormats="0" applyBorderFormats="0" applyFontFormats="0" applyPatternFormats="0" applyAlignmentFormats="0" applyWidthHeightFormats="0">
  <queryTableRefresh nextId="9" unboundColumnsRight="2">
    <queryTableFields count="8">
      <queryTableField id="1" name="YEAR" tableColumnId="1"/>
      <queryTableField id="2" name="ENTITY_NAME" tableColumnId="2"/>
      <queryTableField id="3" name="DESCRIPTION" tableColumnId="3"/>
      <queryTableField id="4" name="REVENUE_BUDGET" tableColumnId="4"/>
      <queryTableField id="5" name="EXPENSE_BUDGET" tableColumnId="5"/>
      <queryTableField id="8" name="Abbreviation" tableColumnId="8"/>
      <queryTableField id="6" dataBound="0" tableColumnId="6"/>
      <queryTableField id="7" dataBound="0"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E77CD4B-6202-4619-B9F4-F0CA5A40CA45}" name="TOTAL_REVENUE" displayName="TOTAL_REVENUE" ref="A1:D331" tableType="queryTable" totalsRowShown="0">
  <autoFilter ref="A1:D331" xr:uid="{DE77CD4B-6202-4619-B9F4-F0CA5A40CA45}"/>
  <tableColumns count="4">
    <tableColumn id="1" xr3:uid="{3EA011E9-B467-4EBA-8734-68664B315FCD}" uniqueName="1" name="YEAR" queryTableFieldId="1"/>
    <tableColumn id="2" xr3:uid="{AE8C284A-F80F-4814-AEBE-B76AD5D876BA}" uniqueName="2" name="ENTITY_NAME" queryTableFieldId="2" dataDxfId="15"/>
    <tableColumn id="3" xr3:uid="{A7917CDE-BB27-4DC7-9480-E3513EBCA61F}" uniqueName="3" name="DESCRIPTION" queryTableFieldId="3" dataDxfId="14"/>
    <tableColumn id="4" xr3:uid="{6096573E-9F8A-4621-8544-0FB246AEDA1A}" uniqueName="4" name="REVENUE_BUDGET"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6EC1F89-A40E-444E-90EA-5258EA76C9E6}" name="TOTAL_EXPENDITURE" displayName="TOTAL_EXPENDITURE" ref="A1:D1567" tableType="queryTable" totalsRowShown="0">
  <autoFilter ref="A1:D1567" xr:uid="{56EC1F89-A40E-444E-90EA-5258EA76C9E6}"/>
  <tableColumns count="4">
    <tableColumn id="1" xr3:uid="{CC22A81C-062B-40D0-9BC3-5B2D938D39CD}" uniqueName="1" name="YEAR" queryTableFieldId="1"/>
    <tableColumn id="2" xr3:uid="{304239B5-B2FE-4BFB-A0FC-CF0CB10DC3A2}" uniqueName="2" name="ENTITY_NAME" queryTableFieldId="2" dataDxfId="13"/>
    <tableColumn id="3" xr3:uid="{04352896-2BD6-4BF6-81EB-4E41E49051E9}" uniqueName="3" name="DESCRIPTION" queryTableFieldId="3" dataDxfId="12"/>
    <tableColumn id="4" xr3:uid="{0A256BD1-A4E4-44C0-A83C-C496374BB62B}" uniqueName="4" name="EXPENSE_BUDGET"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51F5FB-9041-4977-B5DD-10E23EFEA876}" name="REVENUE_2023" displayName="REVENUE_2023" ref="A1:D156" tableType="queryTable" totalsRowShown="0">
  <autoFilter ref="A1:D156" xr:uid="{F851F5FB-9041-4977-B5DD-10E23EFEA876}"/>
  <tableColumns count="4">
    <tableColumn id="1" xr3:uid="{613D84F6-CE7F-4AA0-9EFA-3E0FEA44617A}" uniqueName="1" name="YEAR" queryTableFieldId="1"/>
    <tableColumn id="2" xr3:uid="{BEED0B8F-4986-4C94-BD2F-DEC303BF9033}" uniqueName="2" name="ENTITY_NAME" queryTableFieldId="2" dataDxfId="11"/>
    <tableColumn id="3" xr3:uid="{98E71E95-BB25-45E6-8464-BF1EC8625B00}" uniqueName="3" name="DESCRIPTION" queryTableFieldId="3" dataDxfId="10"/>
    <tableColumn id="4" xr3:uid="{2A54FEE4-7CDA-4CB5-887C-88F4A4F6F7F0}" uniqueName="4" name="REVENUE_BUDGET"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FBC573-9D8B-4B17-A36F-0C9A3C817163}" name="REVENUE_2022" displayName="REVENUE_2022" ref="A1:D176" tableType="queryTable" totalsRowShown="0">
  <autoFilter ref="A1:D176" xr:uid="{F5FBC573-9D8B-4B17-A36F-0C9A3C817163}"/>
  <tableColumns count="4">
    <tableColumn id="1" xr3:uid="{8C45CFF4-F05B-4861-B865-3C02DB9CD774}" uniqueName="1" name="YEAR" queryTableFieldId="1"/>
    <tableColumn id="2" xr3:uid="{7429E31C-E834-44CE-915E-7221BA3B4EA5}" uniqueName="2" name="ENTITY_NAME" queryTableFieldId="2" dataDxfId="9"/>
    <tableColumn id="3" xr3:uid="{8AD046C3-5E71-4731-B705-374848ECC613}" uniqueName="3" name="DESCRIPTION" queryTableFieldId="3" dataDxfId="8"/>
    <tableColumn id="4" xr3:uid="{2B159983-5A18-4B3B-969C-052AB419A524}" uniqueName="4" name="REVENUE_BUDGET"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68534F-3516-4C4F-9630-2865EBE51015}" name="EXPENDITURE_2023" displayName="EXPENDITURE_2023" ref="A1:D857" tableType="queryTable" totalsRowShown="0">
  <autoFilter ref="A1:D857" xr:uid="{CF68534F-3516-4C4F-9630-2865EBE51015}"/>
  <tableColumns count="4">
    <tableColumn id="1" xr3:uid="{99AC74FD-0DA1-4E6D-8E33-B7A1A5C5F5AE}" uniqueName="1" name="YEAR" queryTableFieldId="1"/>
    <tableColumn id="2" xr3:uid="{BF02363F-A8CA-49C6-A484-5169ABA13C10}" uniqueName="2" name="ENTITY_NAME" queryTableFieldId="2" dataDxfId="7"/>
    <tableColumn id="3" xr3:uid="{9E03D18A-F570-4E8C-9CB6-D696FC46F880}" uniqueName="3" name="DESCRIPTION" queryTableFieldId="3" dataDxfId="6"/>
    <tableColumn id="4" xr3:uid="{AB6ABAC7-1410-48C4-9688-F167B964C3D5}" uniqueName="4" name="EXPENSE_BUDGET"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7E2CC4-D2C4-4579-9A79-F3A69C06CCEB}" name="EXPENDITURE_2022" displayName="EXPENDITURE_2022" ref="A1:D711" tableType="queryTable" totalsRowShown="0">
  <autoFilter ref="A1:D711" xr:uid="{5B7E2CC4-D2C4-4579-9A79-F3A69C06CCEB}"/>
  <tableColumns count="4">
    <tableColumn id="1" xr3:uid="{07773D8B-5295-42E3-9505-EB51F80EBD2F}" uniqueName="1" name="YEAR" queryTableFieldId="1"/>
    <tableColumn id="2" xr3:uid="{FD835E7B-35BA-43EB-8981-E1F63CD19E98}" uniqueName="2" name="ENTITY_NAME" queryTableFieldId="2" dataDxfId="5"/>
    <tableColumn id="3" xr3:uid="{68316C6F-4AE1-4587-8F24-68C9F3312D33}" uniqueName="3" name="DESCRIPTION" queryTableFieldId="3" dataDxfId="4"/>
    <tableColumn id="4" xr3:uid="{9A1DA0DD-E73B-49BD-A8A8-BB41B3C5A615}" uniqueName="4" name="EXPENSE_BUDGET"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41402CB-8FB4-4602-B905-D7115808AA43}" name="FINANCE_OVERVIEW" displayName="FINANCE_OVERVIEW" ref="A1:H1897" tableType="queryTable" totalsRowShown="0">
  <autoFilter ref="A1:H1897" xr:uid="{841402CB-8FB4-4602-B905-D7115808AA43}"/>
  <tableColumns count="8">
    <tableColumn id="1" xr3:uid="{AA743CD4-859D-45CD-A86E-C0C3569B983C}" uniqueName="1" name="YEAR" queryTableFieldId="1"/>
    <tableColumn id="2" xr3:uid="{77E115A8-9CDD-4CC0-B89E-B6839552E47E}" uniqueName="2" name="ENTITY_NAME" queryTableFieldId="2" dataDxfId="3"/>
    <tableColumn id="3" xr3:uid="{02C55566-859D-41C5-9859-27049F56030D}" uniqueName="3" name="DESCRIPTION" queryTableFieldId="3" dataDxfId="2"/>
    <tableColumn id="4" xr3:uid="{B781FF13-F857-4498-903D-C8CF9CA84E03}" uniqueName="4" name="REVENUE_BUDGET" queryTableFieldId="4"/>
    <tableColumn id="5" xr3:uid="{9CED73DC-CA83-418A-8422-4C95AE7DCA28}" uniqueName="5" name="EXPENSE_BUDGET" queryTableFieldId="5"/>
    <tableColumn id="8" xr3:uid="{879AEE14-34E2-44D4-827B-1397434C6DA3}" uniqueName="8" name="Abbreviation" queryTableFieldId="8"/>
    <tableColumn id="6" xr3:uid="{6D99DF25-32F0-4212-AA80-20AA50431619}" uniqueName="6" name="ENTITY_NAME_AR" queryTableFieldId="6" dataDxfId="1">
      <calculatedColumnFormula array="1">_xlfn.LET(
    _xlpm.r, TRIM(B2),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calculatedColumnFormula>
    </tableColumn>
    <tableColumn id="7" xr3:uid="{84B4537A-C2BA-4AE2-87B4-F1DE0344184A}" uniqueName="7" name="DESCRIPTION_AR" queryTableFieldId="7" dataDxfId="0">
      <calculatedColumnFormula array="1">_xlfn.LET(
     _xlpm.r, TRIM(C2),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F99C3-1EDC-4586-8DA5-91F9E9067E35}">
  <dimension ref="A1:D331"/>
  <sheetViews>
    <sheetView workbookViewId="0"/>
  </sheetViews>
  <sheetFormatPr defaultRowHeight="15" x14ac:dyDescent="0.25"/>
  <cols>
    <col min="1" max="1" width="8" bestFit="1" customWidth="1"/>
    <col min="2" max="2" width="81.140625" bestFit="1" customWidth="1"/>
    <col min="3" max="3" width="22" bestFit="1" customWidth="1"/>
    <col min="4" max="4" width="20.42578125" bestFit="1" customWidth="1"/>
  </cols>
  <sheetData>
    <row r="1" spans="1:4" x14ac:dyDescent="0.25">
      <c r="A1" t="s">
        <v>0</v>
      </c>
      <c r="B1" t="s">
        <v>1</v>
      </c>
      <c r="C1" t="s">
        <v>2</v>
      </c>
      <c r="D1" t="s">
        <v>58</v>
      </c>
    </row>
    <row r="2" spans="1:4" x14ac:dyDescent="0.25">
      <c r="A2">
        <v>2022</v>
      </c>
      <c r="B2" t="s">
        <v>4</v>
      </c>
      <c r="C2" t="s">
        <v>59</v>
      </c>
      <c r="D2">
        <v>94411000</v>
      </c>
    </row>
    <row r="3" spans="1:4" x14ac:dyDescent="0.25">
      <c r="A3">
        <v>2022</v>
      </c>
      <c r="B3" t="s">
        <v>4</v>
      </c>
      <c r="C3" t="s">
        <v>59</v>
      </c>
      <c r="D3">
        <v>0</v>
      </c>
    </row>
    <row r="4" spans="1:4" x14ac:dyDescent="0.25">
      <c r="A4">
        <v>2022</v>
      </c>
      <c r="B4" t="s">
        <v>4</v>
      </c>
      <c r="C4" t="s">
        <v>59</v>
      </c>
      <c r="D4">
        <v>0</v>
      </c>
    </row>
    <row r="5" spans="1:4" x14ac:dyDescent="0.25">
      <c r="A5">
        <v>2022</v>
      </c>
      <c r="B5" t="s">
        <v>4</v>
      </c>
      <c r="C5" t="s">
        <v>59</v>
      </c>
      <c r="D5">
        <v>0</v>
      </c>
    </row>
    <row r="6" spans="1:4" x14ac:dyDescent="0.25">
      <c r="A6">
        <v>2022</v>
      </c>
      <c r="B6" t="s">
        <v>4</v>
      </c>
      <c r="C6" t="s">
        <v>59</v>
      </c>
      <c r="D6">
        <v>0</v>
      </c>
    </row>
    <row r="7" spans="1:4" x14ac:dyDescent="0.25">
      <c r="A7">
        <v>2022</v>
      </c>
      <c r="B7" t="s">
        <v>4</v>
      </c>
      <c r="C7" t="s">
        <v>59</v>
      </c>
      <c r="D7">
        <v>0</v>
      </c>
    </row>
    <row r="8" spans="1:4" x14ac:dyDescent="0.25">
      <c r="A8">
        <v>2022</v>
      </c>
      <c r="B8" t="s">
        <v>9</v>
      </c>
      <c r="C8" t="s">
        <v>59</v>
      </c>
      <c r="D8">
        <v>39600000</v>
      </c>
    </row>
    <row r="9" spans="1:4" x14ac:dyDescent="0.25">
      <c r="A9">
        <v>2022</v>
      </c>
      <c r="B9" t="s">
        <v>9</v>
      </c>
      <c r="C9" t="s">
        <v>59</v>
      </c>
      <c r="D9">
        <v>0</v>
      </c>
    </row>
    <row r="10" spans="1:4" x14ac:dyDescent="0.25">
      <c r="A10">
        <v>2022</v>
      </c>
      <c r="B10" t="s">
        <v>9</v>
      </c>
      <c r="C10" t="s">
        <v>59</v>
      </c>
      <c r="D10">
        <v>0</v>
      </c>
    </row>
    <row r="11" spans="1:4" x14ac:dyDescent="0.25">
      <c r="A11">
        <v>2022</v>
      </c>
      <c r="B11" t="s">
        <v>10</v>
      </c>
      <c r="C11" t="s">
        <v>59</v>
      </c>
      <c r="D11">
        <v>621000000</v>
      </c>
    </row>
    <row r="12" spans="1:4" x14ac:dyDescent="0.25">
      <c r="A12">
        <v>2022</v>
      </c>
      <c r="B12" t="s">
        <v>10</v>
      </c>
      <c r="C12" t="s">
        <v>59</v>
      </c>
      <c r="D12">
        <v>0</v>
      </c>
    </row>
    <row r="13" spans="1:4" x14ac:dyDescent="0.25">
      <c r="A13">
        <v>2022</v>
      </c>
      <c r="B13" t="s">
        <v>10</v>
      </c>
      <c r="C13" t="s">
        <v>59</v>
      </c>
      <c r="D13">
        <v>0</v>
      </c>
    </row>
    <row r="14" spans="1:4" x14ac:dyDescent="0.25">
      <c r="A14">
        <v>2022</v>
      </c>
      <c r="B14" t="s">
        <v>11</v>
      </c>
      <c r="C14" t="s">
        <v>59</v>
      </c>
      <c r="D14">
        <v>150705000</v>
      </c>
    </row>
    <row r="15" spans="1:4" x14ac:dyDescent="0.25">
      <c r="A15">
        <v>2022</v>
      </c>
      <c r="B15" t="s">
        <v>11</v>
      </c>
      <c r="C15" t="s">
        <v>60</v>
      </c>
      <c r="D15">
        <v>0</v>
      </c>
    </row>
    <row r="16" spans="1:4" x14ac:dyDescent="0.25">
      <c r="A16">
        <v>2022</v>
      </c>
      <c r="B16" t="s">
        <v>11</v>
      </c>
      <c r="C16" t="s">
        <v>60</v>
      </c>
      <c r="D16">
        <v>0</v>
      </c>
    </row>
    <row r="17" spans="1:4" x14ac:dyDescent="0.25">
      <c r="A17">
        <v>2022</v>
      </c>
      <c r="B17" t="s">
        <v>11</v>
      </c>
      <c r="C17" t="s">
        <v>59</v>
      </c>
      <c r="D17">
        <v>0</v>
      </c>
    </row>
    <row r="18" spans="1:4" x14ac:dyDescent="0.25">
      <c r="A18">
        <v>2022</v>
      </c>
      <c r="B18" t="s">
        <v>11</v>
      </c>
      <c r="C18" t="s">
        <v>59</v>
      </c>
      <c r="D18">
        <v>0</v>
      </c>
    </row>
    <row r="19" spans="1:4" x14ac:dyDescent="0.25">
      <c r="A19">
        <v>2022</v>
      </c>
      <c r="B19" t="s">
        <v>11</v>
      </c>
      <c r="C19" t="s">
        <v>59</v>
      </c>
      <c r="D19">
        <v>0</v>
      </c>
    </row>
    <row r="20" spans="1:4" x14ac:dyDescent="0.25">
      <c r="A20">
        <v>2022</v>
      </c>
      <c r="B20" t="s">
        <v>11</v>
      </c>
      <c r="C20" t="s">
        <v>59</v>
      </c>
      <c r="D20">
        <v>0</v>
      </c>
    </row>
    <row r="21" spans="1:4" x14ac:dyDescent="0.25">
      <c r="A21">
        <v>2022</v>
      </c>
      <c r="B21" t="s">
        <v>11</v>
      </c>
      <c r="C21" t="s">
        <v>59</v>
      </c>
      <c r="D21">
        <v>0</v>
      </c>
    </row>
    <row r="22" spans="1:4" x14ac:dyDescent="0.25">
      <c r="A22">
        <v>2022</v>
      </c>
      <c r="B22" t="s">
        <v>11</v>
      </c>
      <c r="C22" t="s">
        <v>59</v>
      </c>
      <c r="D22">
        <v>0</v>
      </c>
    </row>
    <row r="23" spans="1:4" x14ac:dyDescent="0.25">
      <c r="A23">
        <v>2022</v>
      </c>
      <c r="B23" t="s">
        <v>11</v>
      </c>
      <c r="C23" t="s">
        <v>59</v>
      </c>
      <c r="D23">
        <v>0</v>
      </c>
    </row>
    <row r="24" spans="1:4" x14ac:dyDescent="0.25">
      <c r="A24">
        <v>2022</v>
      </c>
      <c r="B24" t="s">
        <v>11</v>
      </c>
      <c r="C24" t="s">
        <v>59</v>
      </c>
      <c r="D24">
        <v>0</v>
      </c>
    </row>
    <row r="25" spans="1:4" x14ac:dyDescent="0.25">
      <c r="A25">
        <v>2022</v>
      </c>
      <c r="B25" t="s">
        <v>12</v>
      </c>
      <c r="C25" t="s">
        <v>59</v>
      </c>
      <c r="D25">
        <v>8310000</v>
      </c>
    </row>
    <row r="26" spans="1:4" x14ac:dyDescent="0.25">
      <c r="A26">
        <v>2022</v>
      </c>
      <c r="B26" t="s">
        <v>12</v>
      </c>
      <c r="C26" t="s">
        <v>59</v>
      </c>
      <c r="D26">
        <v>0</v>
      </c>
    </row>
    <row r="27" spans="1:4" x14ac:dyDescent="0.25">
      <c r="A27">
        <v>2022</v>
      </c>
      <c r="B27" t="s">
        <v>12</v>
      </c>
      <c r="C27" t="s">
        <v>59</v>
      </c>
      <c r="D27">
        <v>0</v>
      </c>
    </row>
    <row r="28" spans="1:4" x14ac:dyDescent="0.25">
      <c r="A28">
        <v>2022</v>
      </c>
      <c r="B28" t="s">
        <v>14</v>
      </c>
      <c r="C28" t="s">
        <v>59</v>
      </c>
      <c r="D28">
        <v>18250000</v>
      </c>
    </row>
    <row r="29" spans="1:4" x14ac:dyDescent="0.25">
      <c r="A29">
        <v>2022</v>
      </c>
      <c r="B29" t="s">
        <v>14</v>
      </c>
      <c r="C29" t="s">
        <v>59</v>
      </c>
      <c r="D29">
        <v>0</v>
      </c>
    </row>
    <row r="30" spans="1:4" x14ac:dyDescent="0.25">
      <c r="A30">
        <v>2022</v>
      </c>
      <c r="B30" t="s">
        <v>14</v>
      </c>
      <c r="C30" t="s">
        <v>59</v>
      </c>
      <c r="D30">
        <v>0</v>
      </c>
    </row>
    <row r="31" spans="1:4" x14ac:dyDescent="0.25">
      <c r="A31">
        <v>2022</v>
      </c>
      <c r="B31" t="s">
        <v>15</v>
      </c>
      <c r="C31" t="s">
        <v>59</v>
      </c>
      <c r="D31">
        <v>216763000</v>
      </c>
    </row>
    <row r="32" spans="1:4" x14ac:dyDescent="0.25">
      <c r="A32">
        <v>2022</v>
      </c>
      <c r="B32" t="s">
        <v>15</v>
      </c>
      <c r="C32" t="s">
        <v>61</v>
      </c>
      <c r="D32">
        <v>0</v>
      </c>
    </row>
    <row r="33" spans="1:4" x14ac:dyDescent="0.25">
      <c r="A33">
        <v>2022</v>
      </c>
      <c r="B33" t="s">
        <v>15</v>
      </c>
      <c r="C33" t="s">
        <v>61</v>
      </c>
      <c r="D33">
        <v>0</v>
      </c>
    </row>
    <row r="34" spans="1:4" x14ac:dyDescent="0.25">
      <c r="A34">
        <v>2022</v>
      </c>
      <c r="B34" t="s">
        <v>15</v>
      </c>
      <c r="C34" t="s">
        <v>59</v>
      </c>
      <c r="D34">
        <v>0</v>
      </c>
    </row>
    <row r="35" spans="1:4" x14ac:dyDescent="0.25">
      <c r="A35">
        <v>2022</v>
      </c>
      <c r="B35" t="s">
        <v>15</v>
      </c>
      <c r="C35" t="s">
        <v>59</v>
      </c>
      <c r="D35">
        <v>0</v>
      </c>
    </row>
    <row r="36" spans="1:4" x14ac:dyDescent="0.25">
      <c r="A36">
        <v>2022</v>
      </c>
      <c r="B36" t="s">
        <v>15</v>
      </c>
      <c r="C36" t="s">
        <v>59</v>
      </c>
      <c r="D36">
        <v>0</v>
      </c>
    </row>
    <row r="37" spans="1:4" x14ac:dyDescent="0.25">
      <c r="A37">
        <v>2022</v>
      </c>
      <c r="B37" t="s">
        <v>15</v>
      </c>
      <c r="C37" t="s">
        <v>59</v>
      </c>
      <c r="D37">
        <v>0</v>
      </c>
    </row>
    <row r="38" spans="1:4" x14ac:dyDescent="0.25">
      <c r="A38">
        <v>2022</v>
      </c>
      <c r="B38" t="s">
        <v>15</v>
      </c>
      <c r="C38" t="s">
        <v>59</v>
      </c>
      <c r="D38">
        <v>0</v>
      </c>
    </row>
    <row r="39" spans="1:4" x14ac:dyDescent="0.25">
      <c r="A39">
        <v>2022</v>
      </c>
      <c r="B39" t="s">
        <v>15</v>
      </c>
      <c r="C39" t="s">
        <v>59</v>
      </c>
      <c r="D39">
        <v>0</v>
      </c>
    </row>
    <row r="40" spans="1:4" x14ac:dyDescent="0.25">
      <c r="A40">
        <v>2022</v>
      </c>
      <c r="B40" t="s">
        <v>15</v>
      </c>
      <c r="C40" t="s">
        <v>59</v>
      </c>
      <c r="D40">
        <v>0</v>
      </c>
    </row>
    <row r="41" spans="1:4" x14ac:dyDescent="0.25">
      <c r="A41">
        <v>2022</v>
      </c>
      <c r="B41" t="s">
        <v>15</v>
      </c>
      <c r="C41" t="s">
        <v>59</v>
      </c>
      <c r="D41">
        <v>0</v>
      </c>
    </row>
    <row r="42" spans="1:4" x14ac:dyDescent="0.25">
      <c r="A42">
        <v>2022</v>
      </c>
      <c r="B42" t="s">
        <v>16</v>
      </c>
      <c r="C42" t="s">
        <v>59</v>
      </c>
      <c r="D42">
        <v>80280000</v>
      </c>
    </row>
    <row r="43" spans="1:4" x14ac:dyDescent="0.25">
      <c r="A43">
        <v>2022</v>
      </c>
      <c r="B43" t="s">
        <v>16</v>
      </c>
      <c r="C43" t="s">
        <v>59</v>
      </c>
      <c r="D43">
        <v>0</v>
      </c>
    </row>
    <row r="44" spans="1:4" x14ac:dyDescent="0.25">
      <c r="A44">
        <v>2022</v>
      </c>
      <c r="B44" t="s">
        <v>16</v>
      </c>
      <c r="C44" t="s">
        <v>59</v>
      </c>
      <c r="D44">
        <v>0</v>
      </c>
    </row>
    <row r="45" spans="1:4" x14ac:dyDescent="0.25">
      <c r="A45">
        <v>2022</v>
      </c>
      <c r="B45" t="s">
        <v>16</v>
      </c>
      <c r="C45" t="s">
        <v>59</v>
      </c>
      <c r="D45">
        <v>0</v>
      </c>
    </row>
    <row r="46" spans="1:4" x14ac:dyDescent="0.25">
      <c r="A46">
        <v>2022</v>
      </c>
      <c r="B46" t="s">
        <v>16</v>
      </c>
      <c r="C46" t="s">
        <v>59</v>
      </c>
      <c r="D46">
        <v>0</v>
      </c>
    </row>
    <row r="47" spans="1:4" x14ac:dyDescent="0.25">
      <c r="A47">
        <v>2022</v>
      </c>
      <c r="B47" t="s">
        <v>16</v>
      </c>
      <c r="C47" t="s">
        <v>59</v>
      </c>
      <c r="D47">
        <v>0</v>
      </c>
    </row>
    <row r="48" spans="1:4" x14ac:dyDescent="0.25">
      <c r="A48">
        <v>2022</v>
      </c>
      <c r="B48" t="s">
        <v>17</v>
      </c>
      <c r="C48" t="s">
        <v>59</v>
      </c>
      <c r="D48">
        <v>1650000</v>
      </c>
    </row>
    <row r="49" spans="1:4" x14ac:dyDescent="0.25">
      <c r="A49">
        <v>2022</v>
      </c>
      <c r="B49" t="s">
        <v>17</v>
      </c>
      <c r="C49" t="s">
        <v>62</v>
      </c>
      <c r="D49">
        <v>0</v>
      </c>
    </row>
    <row r="50" spans="1:4" x14ac:dyDescent="0.25">
      <c r="A50">
        <v>2022</v>
      </c>
      <c r="B50" t="s">
        <v>17</v>
      </c>
      <c r="C50" t="s">
        <v>62</v>
      </c>
      <c r="D50">
        <v>0</v>
      </c>
    </row>
    <row r="51" spans="1:4" x14ac:dyDescent="0.25">
      <c r="A51">
        <v>2022</v>
      </c>
      <c r="B51" t="s">
        <v>17</v>
      </c>
      <c r="C51" t="s">
        <v>59</v>
      </c>
      <c r="D51">
        <v>0</v>
      </c>
    </row>
    <row r="52" spans="1:4" x14ac:dyDescent="0.25">
      <c r="A52">
        <v>2022</v>
      </c>
      <c r="B52" t="s">
        <v>17</v>
      </c>
      <c r="C52" t="s">
        <v>59</v>
      </c>
      <c r="D52">
        <v>0</v>
      </c>
    </row>
    <row r="53" spans="1:4" x14ac:dyDescent="0.25">
      <c r="A53">
        <v>2022</v>
      </c>
      <c r="B53" t="s">
        <v>17</v>
      </c>
      <c r="C53" t="s">
        <v>59</v>
      </c>
      <c r="D53">
        <v>0</v>
      </c>
    </row>
    <row r="54" spans="1:4" x14ac:dyDescent="0.25">
      <c r="A54">
        <v>2022</v>
      </c>
      <c r="B54" t="s">
        <v>17</v>
      </c>
      <c r="C54" t="s">
        <v>59</v>
      </c>
      <c r="D54">
        <v>0</v>
      </c>
    </row>
    <row r="55" spans="1:4" x14ac:dyDescent="0.25">
      <c r="A55">
        <v>2022</v>
      </c>
      <c r="B55" t="s">
        <v>18</v>
      </c>
      <c r="C55" t="s">
        <v>59</v>
      </c>
      <c r="D55">
        <v>379000000</v>
      </c>
    </row>
    <row r="56" spans="1:4" x14ac:dyDescent="0.25">
      <c r="A56">
        <v>2022</v>
      </c>
      <c r="B56" t="s">
        <v>18</v>
      </c>
      <c r="C56" t="s">
        <v>59</v>
      </c>
      <c r="D56">
        <v>0</v>
      </c>
    </row>
    <row r="57" spans="1:4" x14ac:dyDescent="0.25">
      <c r="A57">
        <v>2022</v>
      </c>
      <c r="B57" t="s">
        <v>18</v>
      </c>
      <c r="C57" t="s">
        <v>59</v>
      </c>
      <c r="D57">
        <v>0</v>
      </c>
    </row>
    <row r="58" spans="1:4" x14ac:dyDescent="0.25">
      <c r="A58">
        <v>2022</v>
      </c>
      <c r="B58" t="s">
        <v>18</v>
      </c>
      <c r="C58" t="s">
        <v>59</v>
      </c>
      <c r="D58">
        <v>0</v>
      </c>
    </row>
    <row r="59" spans="1:4" x14ac:dyDescent="0.25">
      <c r="A59">
        <v>2022</v>
      </c>
      <c r="B59" t="s">
        <v>18</v>
      </c>
      <c r="C59" t="s">
        <v>59</v>
      </c>
      <c r="D59">
        <v>0</v>
      </c>
    </row>
    <row r="60" spans="1:4" x14ac:dyDescent="0.25">
      <c r="A60">
        <v>2022</v>
      </c>
      <c r="B60" t="s">
        <v>18</v>
      </c>
      <c r="C60" t="s">
        <v>59</v>
      </c>
      <c r="D60">
        <v>0</v>
      </c>
    </row>
    <row r="61" spans="1:4" x14ac:dyDescent="0.25">
      <c r="A61">
        <v>2022</v>
      </c>
      <c r="B61" t="s">
        <v>21</v>
      </c>
      <c r="C61" t="s">
        <v>59</v>
      </c>
      <c r="D61">
        <v>3879000000</v>
      </c>
    </row>
    <row r="62" spans="1:4" x14ac:dyDescent="0.25">
      <c r="A62">
        <v>2022</v>
      </c>
      <c r="B62" t="s">
        <v>21</v>
      </c>
      <c r="C62" t="s">
        <v>61</v>
      </c>
      <c r="D62">
        <v>0</v>
      </c>
    </row>
    <row r="63" spans="1:4" x14ac:dyDescent="0.25">
      <c r="A63">
        <v>2022</v>
      </c>
      <c r="B63" t="s">
        <v>21</v>
      </c>
      <c r="C63" t="s">
        <v>59</v>
      </c>
      <c r="D63">
        <v>0</v>
      </c>
    </row>
    <row r="64" spans="1:4" x14ac:dyDescent="0.25">
      <c r="A64">
        <v>2022</v>
      </c>
      <c r="B64" t="s">
        <v>21</v>
      </c>
      <c r="C64" t="s">
        <v>59</v>
      </c>
      <c r="D64">
        <v>0</v>
      </c>
    </row>
    <row r="65" spans="1:4" x14ac:dyDescent="0.25">
      <c r="A65">
        <v>2022</v>
      </c>
      <c r="B65" t="s">
        <v>21</v>
      </c>
      <c r="C65" t="s">
        <v>59</v>
      </c>
      <c r="D65">
        <v>0</v>
      </c>
    </row>
    <row r="66" spans="1:4" x14ac:dyDescent="0.25">
      <c r="A66">
        <v>2022</v>
      </c>
      <c r="B66" t="s">
        <v>21</v>
      </c>
      <c r="C66" t="s">
        <v>59</v>
      </c>
      <c r="D66">
        <v>0</v>
      </c>
    </row>
    <row r="67" spans="1:4" x14ac:dyDescent="0.25">
      <c r="A67">
        <v>2022</v>
      </c>
      <c r="B67" t="s">
        <v>21</v>
      </c>
      <c r="C67" t="s">
        <v>59</v>
      </c>
      <c r="D67">
        <v>0</v>
      </c>
    </row>
    <row r="68" spans="1:4" x14ac:dyDescent="0.25">
      <c r="A68">
        <v>2022</v>
      </c>
      <c r="B68" t="s">
        <v>21</v>
      </c>
      <c r="C68" t="s">
        <v>59</v>
      </c>
      <c r="D68">
        <v>0</v>
      </c>
    </row>
    <row r="69" spans="1:4" x14ac:dyDescent="0.25">
      <c r="A69">
        <v>2022</v>
      </c>
      <c r="B69" t="s">
        <v>21</v>
      </c>
      <c r="C69" t="s">
        <v>59</v>
      </c>
      <c r="D69">
        <v>0</v>
      </c>
    </row>
    <row r="70" spans="1:4" x14ac:dyDescent="0.25">
      <c r="A70">
        <v>2022</v>
      </c>
      <c r="B70" t="s">
        <v>21</v>
      </c>
      <c r="C70" t="s">
        <v>59</v>
      </c>
      <c r="D70">
        <v>0</v>
      </c>
    </row>
    <row r="71" spans="1:4" x14ac:dyDescent="0.25">
      <c r="A71">
        <v>2022</v>
      </c>
      <c r="B71" t="s">
        <v>22</v>
      </c>
      <c r="C71" t="s">
        <v>59</v>
      </c>
      <c r="D71">
        <v>197290000</v>
      </c>
    </row>
    <row r="72" spans="1:4" x14ac:dyDescent="0.25">
      <c r="A72">
        <v>2022</v>
      </c>
      <c r="B72" t="s">
        <v>22</v>
      </c>
      <c r="C72" t="s">
        <v>59</v>
      </c>
      <c r="D72">
        <v>0</v>
      </c>
    </row>
    <row r="73" spans="1:4" x14ac:dyDescent="0.25">
      <c r="A73">
        <v>2022</v>
      </c>
      <c r="B73" t="s">
        <v>22</v>
      </c>
      <c r="C73" t="s">
        <v>59</v>
      </c>
      <c r="D73">
        <v>0</v>
      </c>
    </row>
    <row r="74" spans="1:4" x14ac:dyDescent="0.25">
      <c r="A74">
        <v>2022</v>
      </c>
      <c r="B74" t="s">
        <v>22</v>
      </c>
      <c r="C74" t="s">
        <v>59</v>
      </c>
      <c r="D74">
        <v>0</v>
      </c>
    </row>
    <row r="75" spans="1:4" x14ac:dyDescent="0.25">
      <c r="A75">
        <v>2022</v>
      </c>
      <c r="B75" t="s">
        <v>22</v>
      </c>
      <c r="C75" t="s">
        <v>59</v>
      </c>
      <c r="D75">
        <v>0</v>
      </c>
    </row>
    <row r="76" spans="1:4" x14ac:dyDescent="0.25">
      <c r="A76">
        <v>2022</v>
      </c>
      <c r="B76" t="s">
        <v>22</v>
      </c>
      <c r="C76" t="s">
        <v>59</v>
      </c>
      <c r="D76">
        <v>0</v>
      </c>
    </row>
    <row r="77" spans="1:4" x14ac:dyDescent="0.25">
      <c r="A77">
        <v>2022</v>
      </c>
      <c r="B77" t="s">
        <v>23</v>
      </c>
      <c r="C77" t="s">
        <v>59</v>
      </c>
      <c r="D77">
        <v>93675000</v>
      </c>
    </row>
    <row r="78" spans="1:4" x14ac:dyDescent="0.25">
      <c r="A78">
        <v>2022</v>
      </c>
      <c r="B78" t="s">
        <v>23</v>
      </c>
      <c r="C78" t="s">
        <v>59</v>
      </c>
      <c r="D78">
        <v>0</v>
      </c>
    </row>
    <row r="79" spans="1:4" x14ac:dyDescent="0.25">
      <c r="A79">
        <v>2022</v>
      </c>
      <c r="B79" t="s">
        <v>23</v>
      </c>
      <c r="C79" t="s">
        <v>59</v>
      </c>
      <c r="D79">
        <v>0</v>
      </c>
    </row>
    <row r="80" spans="1:4" x14ac:dyDescent="0.25">
      <c r="A80">
        <v>2022</v>
      </c>
      <c r="B80" t="s">
        <v>23</v>
      </c>
      <c r="C80" t="s">
        <v>59</v>
      </c>
      <c r="D80">
        <v>0</v>
      </c>
    </row>
    <row r="81" spans="1:4" x14ac:dyDescent="0.25">
      <c r="A81">
        <v>2022</v>
      </c>
      <c r="B81" t="s">
        <v>24</v>
      </c>
      <c r="C81" t="s">
        <v>59</v>
      </c>
      <c r="D81">
        <v>493000</v>
      </c>
    </row>
    <row r="82" spans="1:4" x14ac:dyDescent="0.25">
      <c r="A82">
        <v>2022</v>
      </c>
      <c r="B82" t="s">
        <v>24</v>
      </c>
      <c r="C82" t="s">
        <v>59</v>
      </c>
      <c r="D82">
        <v>0</v>
      </c>
    </row>
    <row r="83" spans="1:4" x14ac:dyDescent="0.25">
      <c r="A83">
        <v>2022</v>
      </c>
      <c r="B83" t="s">
        <v>24</v>
      </c>
      <c r="C83" t="s">
        <v>59</v>
      </c>
      <c r="D83">
        <v>0</v>
      </c>
    </row>
    <row r="84" spans="1:4" x14ac:dyDescent="0.25">
      <c r="A84">
        <v>2022</v>
      </c>
      <c r="B84" t="s">
        <v>25</v>
      </c>
      <c r="C84" t="s">
        <v>62</v>
      </c>
      <c r="D84">
        <v>0</v>
      </c>
    </row>
    <row r="85" spans="1:4" x14ac:dyDescent="0.25">
      <c r="A85">
        <v>2022</v>
      </c>
      <c r="B85" t="s">
        <v>25</v>
      </c>
      <c r="C85" t="s">
        <v>59</v>
      </c>
      <c r="D85">
        <v>0</v>
      </c>
    </row>
    <row r="86" spans="1:4" x14ac:dyDescent="0.25">
      <c r="A86">
        <v>2022</v>
      </c>
      <c r="B86" t="s">
        <v>27</v>
      </c>
      <c r="C86" t="s">
        <v>59</v>
      </c>
      <c r="D86">
        <v>0</v>
      </c>
    </row>
    <row r="87" spans="1:4" x14ac:dyDescent="0.25">
      <c r="A87">
        <v>2022</v>
      </c>
      <c r="B87" t="s">
        <v>28</v>
      </c>
      <c r="C87" t="s">
        <v>61</v>
      </c>
      <c r="D87">
        <v>9163600000</v>
      </c>
    </row>
    <row r="88" spans="1:4" x14ac:dyDescent="0.25">
      <c r="A88">
        <v>2022</v>
      </c>
      <c r="B88" t="s">
        <v>28</v>
      </c>
      <c r="C88" t="s">
        <v>60</v>
      </c>
      <c r="D88">
        <v>350000000</v>
      </c>
    </row>
    <row r="89" spans="1:4" x14ac:dyDescent="0.25">
      <c r="A89">
        <v>2022</v>
      </c>
      <c r="B89" t="s">
        <v>28</v>
      </c>
      <c r="C89" t="s">
        <v>62</v>
      </c>
      <c r="D89">
        <v>18401257000</v>
      </c>
    </row>
    <row r="90" spans="1:4" x14ac:dyDescent="0.25">
      <c r="A90">
        <v>2022</v>
      </c>
      <c r="B90" t="s">
        <v>28</v>
      </c>
      <c r="C90" t="s">
        <v>59</v>
      </c>
      <c r="D90">
        <v>22198340000</v>
      </c>
    </row>
    <row r="91" spans="1:4" x14ac:dyDescent="0.25">
      <c r="A91">
        <v>2022</v>
      </c>
      <c r="B91" t="s">
        <v>28</v>
      </c>
      <c r="C91" t="s">
        <v>61</v>
      </c>
      <c r="D91">
        <v>0</v>
      </c>
    </row>
    <row r="92" spans="1:4" x14ac:dyDescent="0.25">
      <c r="A92">
        <v>2022</v>
      </c>
      <c r="B92" t="s">
        <v>28</v>
      </c>
      <c r="C92" t="s">
        <v>60</v>
      </c>
      <c r="D92">
        <v>0</v>
      </c>
    </row>
    <row r="93" spans="1:4" x14ac:dyDescent="0.25">
      <c r="A93">
        <v>2022</v>
      </c>
      <c r="B93" t="s">
        <v>28</v>
      </c>
      <c r="C93" t="s">
        <v>60</v>
      </c>
      <c r="D93">
        <v>0</v>
      </c>
    </row>
    <row r="94" spans="1:4" x14ac:dyDescent="0.25">
      <c r="A94">
        <v>2022</v>
      </c>
      <c r="B94" t="s">
        <v>28</v>
      </c>
      <c r="C94" t="s">
        <v>60</v>
      </c>
      <c r="D94">
        <v>0</v>
      </c>
    </row>
    <row r="95" spans="1:4" x14ac:dyDescent="0.25">
      <c r="A95">
        <v>2022</v>
      </c>
      <c r="B95" t="s">
        <v>28</v>
      </c>
      <c r="C95" t="s">
        <v>60</v>
      </c>
      <c r="D95">
        <v>0</v>
      </c>
    </row>
    <row r="96" spans="1:4" x14ac:dyDescent="0.25">
      <c r="A96">
        <v>2022</v>
      </c>
      <c r="B96" t="s">
        <v>28</v>
      </c>
      <c r="C96" t="s">
        <v>60</v>
      </c>
      <c r="D96">
        <v>0</v>
      </c>
    </row>
    <row r="97" spans="1:4" x14ac:dyDescent="0.25">
      <c r="A97">
        <v>2022</v>
      </c>
      <c r="B97" t="s">
        <v>28</v>
      </c>
      <c r="C97" t="s">
        <v>60</v>
      </c>
      <c r="D97">
        <v>0</v>
      </c>
    </row>
    <row r="98" spans="1:4" x14ac:dyDescent="0.25">
      <c r="A98">
        <v>2022</v>
      </c>
      <c r="B98" t="s">
        <v>28</v>
      </c>
      <c r="C98" t="s">
        <v>60</v>
      </c>
      <c r="D98">
        <v>0</v>
      </c>
    </row>
    <row r="99" spans="1:4" x14ac:dyDescent="0.25">
      <c r="A99">
        <v>2022</v>
      </c>
      <c r="B99" t="s">
        <v>28</v>
      </c>
      <c r="C99" t="s">
        <v>60</v>
      </c>
      <c r="D99">
        <v>0</v>
      </c>
    </row>
    <row r="100" spans="1:4" x14ac:dyDescent="0.25">
      <c r="A100">
        <v>2022</v>
      </c>
      <c r="B100" t="s">
        <v>28</v>
      </c>
      <c r="C100" t="s">
        <v>60</v>
      </c>
      <c r="D100">
        <v>0</v>
      </c>
    </row>
    <row r="101" spans="1:4" x14ac:dyDescent="0.25">
      <c r="A101">
        <v>2022</v>
      </c>
      <c r="B101" t="s">
        <v>28</v>
      </c>
      <c r="C101" t="s">
        <v>60</v>
      </c>
      <c r="D101">
        <v>0</v>
      </c>
    </row>
    <row r="102" spans="1:4" x14ac:dyDescent="0.25">
      <c r="A102">
        <v>2022</v>
      </c>
      <c r="B102" t="s">
        <v>28</v>
      </c>
      <c r="C102" t="s">
        <v>60</v>
      </c>
      <c r="D102">
        <v>0</v>
      </c>
    </row>
    <row r="103" spans="1:4" x14ac:dyDescent="0.25">
      <c r="A103">
        <v>2022</v>
      </c>
      <c r="B103" t="s">
        <v>28</v>
      </c>
      <c r="C103" t="s">
        <v>60</v>
      </c>
      <c r="D103">
        <v>0</v>
      </c>
    </row>
    <row r="104" spans="1:4" x14ac:dyDescent="0.25">
      <c r="A104">
        <v>2022</v>
      </c>
      <c r="B104" t="s">
        <v>28</v>
      </c>
      <c r="C104" t="s">
        <v>62</v>
      </c>
      <c r="D104">
        <v>0</v>
      </c>
    </row>
    <row r="105" spans="1:4" x14ac:dyDescent="0.25">
      <c r="A105">
        <v>2022</v>
      </c>
      <c r="B105" t="s">
        <v>28</v>
      </c>
      <c r="C105" t="s">
        <v>62</v>
      </c>
      <c r="D105">
        <v>0</v>
      </c>
    </row>
    <row r="106" spans="1:4" x14ac:dyDescent="0.25">
      <c r="A106">
        <v>2022</v>
      </c>
      <c r="B106" t="s">
        <v>28</v>
      </c>
      <c r="C106" t="s">
        <v>62</v>
      </c>
      <c r="D106">
        <v>0</v>
      </c>
    </row>
    <row r="107" spans="1:4" x14ac:dyDescent="0.25">
      <c r="A107">
        <v>2022</v>
      </c>
      <c r="B107" t="s">
        <v>28</v>
      </c>
      <c r="C107" t="s">
        <v>62</v>
      </c>
      <c r="D107">
        <v>0</v>
      </c>
    </row>
    <row r="108" spans="1:4" x14ac:dyDescent="0.25">
      <c r="A108">
        <v>2022</v>
      </c>
      <c r="B108" t="s">
        <v>28</v>
      </c>
      <c r="C108" t="s">
        <v>62</v>
      </c>
      <c r="D108">
        <v>0</v>
      </c>
    </row>
    <row r="109" spans="1:4" x14ac:dyDescent="0.25">
      <c r="A109">
        <v>2022</v>
      </c>
      <c r="B109" t="s">
        <v>28</v>
      </c>
      <c r="C109" t="s">
        <v>59</v>
      </c>
      <c r="D109">
        <v>0</v>
      </c>
    </row>
    <row r="110" spans="1:4" x14ac:dyDescent="0.25">
      <c r="A110">
        <v>2022</v>
      </c>
      <c r="B110" t="s">
        <v>28</v>
      </c>
      <c r="C110" t="s">
        <v>59</v>
      </c>
      <c r="D110">
        <v>0</v>
      </c>
    </row>
    <row r="111" spans="1:4" x14ac:dyDescent="0.25">
      <c r="A111">
        <v>2022</v>
      </c>
      <c r="B111" t="s">
        <v>28</v>
      </c>
      <c r="C111" t="s">
        <v>59</v>
      </c>
      <c r="D111">
        <v>0</v>
      </c>
    </row>
    <row r="112" spans="1:4" x14ac:dyDescent="0.25">
      <c r="A112">
        <v>2022</v>
      </c>
      <c r="B112" t="s">
        <v>28</v>
      </c>
      <c r="C112" t="s">
        <v>59</v>
      </c>
      <c r="D112">
        <v>0</v>
      </c>
    </row>
    <row r="113" spans="1:4" x14ac:dyDescent="0.25">
      <c r="A113">
        <v>2022</v>
      </c>
      <c r="B113" t="s">
        <v>28</v>
      </c>
      <c r="C113" t="s">
        <v>59</v>
      </c>
      <c r="D113">
        <v>0</v>
      </c>
    </row>
    <row r="114" spans="1:4" x14ac:dyDescent="0.25">
      <c r="A114">
        <v>2022</v>
      </c>
      <c r="B114" t="s">
        <v>28</v>
      </c>
      <c r="C114" t="s">
        <v>59</v>
      </c>
      <c r="D114">
        <v>0</v>
      </c>
    </row>
    <row r="115" spans="1:4" x14ac:dyDescent="0.25">
      <c r="A115">
        <v>2022</v>
      </c>
      <c r="B115" t="s">
        <v>28</v>
      </c>
      <c r="C115" t="s">
        <v>59</v>
      </c>
      <c r="D115">
        <v>0</v>
      </c>
    </row>
    <row r="116" spans="1:4" x14ac:dyDescent="0.25">
      <c r="A116">
        <v>2022</v>
      </c>
      <c r="B116" t="s">
        <v>28</v>
      </c>
      <c r="C116" t="s">
        <v>59</v>
      </c>
      <c r="D116">
        <v>0</v>
      </c>
    </row>
    <row r="117" spans="1:4" x14ac:dyDescent="0.25">
      <c r="A117">
        <v>2022</v>
      </c>
      <c r="B117" t="s">
        <v>32</v>
      </c>
      <c r="C117" t="s">
        <v>62</v>
      </c>
      <c r="D117">
        <v>0</v>
      </c>
    </row>
    <row r="118" spans="1:4" x14ac:dyDescent="0.25">
      <c r="A118">
        <v>2022</v>
      </c>
      <c r="B118" t="s">
        <v>32</v>
      </c>
      <c r="C118" t="s">
        <v>62</v>
      </c>
      <c r="D118">
        <v>0</v>
      </c>
    </row>
    <row r="119" spans="1:4" x14ac:dyDescent="0.25">
      <c r="A119">
        <v>2022</v>
      </c>
      <c r="B119" t="s">
        <v>33</v>
      </c>
      <c r="C119" t="s">
        <v>59</v>
      </c>
      <c r="D119">
        <v>47690000</v>
      </c>
    </row>
    <row r="120" spans="1:4" x14ac:dyDescent="0.25">
      <c r="A120">
        <v>2022</v>
      </c>
      <c r="B120" t="s">
        <v>33</v>
      </c>
      <c r="C120" t="s">
        <v>62</v>
      </c>
      <c r="D120">
        <v>0</v>
      </c>
    </row>
    <row r="121" spans="1:4" x14ac:dyDescent="0.25">
      <c r="A121">
        <v>2022</v>
      </c>
      <c r="B121" t="s">
        <v>33</v>
      </c>
      <c r="C121" t="s">
        <v>59</v>
      </c>
      <c r="D121">
        <v>0</v>
      </c>
    </row>
    <row r="122" spans="1:4" x14ac:dyDescent="0.25">
      <c r="A122">
        <v>2022</v>
      </c>
      <c r="B122" t="s">
        <v>33</v>
      </c>
      <c r="C122" t="s">
        <v>59</v>
      </c>
      <c r="D122">
        <v>0</v>
      </c>
    </row>
    <row r="123" spans="1:4" x14ac:dyDescent="0.25">
      <c r="A123">
        <v>2022</v>
      </c>
      <c r="B123" t="s">
        <v>34</v>
      </c>
      <c r="C123" t="s">
        <v>59</v>
      </c>
      <c r="D123">
        <v>383453000</v>
      </c>
    </row>
    <row r="124" spans="1:4" x14ac:dyDescent="0.25">
      <c r="A124">
        <v>2022</v>
      </c>
      <c r="B124" t="s">
        <v>34</v>
      </c>
      <c r="C124" t="s">
        <v>62</v>
      </c>
      <c r="D124">
        <v>0</v>
      </c>
    </row>
    <row r="125" spans="1:4" x14ac:dyDescent="0.25">
      <c r="A125">
        <v>2022</v>
      </c>
      <c r="B125" t="s">
        <v>34</v>
      </c>
      <c r="C125" t="s">
        <v>59</v>
      </c>
      <c r="D125">
        <v>0</v>
      </c>
    </row>
    <row r="126" spans="1:4" x14ac:dyDescent="0.25">
      <c r="A126">
        <v>2022</v>
      </c>
      <c r="B126" t="s">
        <v>34</v>
      </c>
      <c r="C126" t="s">
        <v>59</v>
      </c>
      <c r="D126">
        <v>0</v>
      </c>
    </row>
    <row r="127" spans="1:4" x14ac:dyDescent="0.25">
      <c r="A127">
        <v>2022</v>
      </c>
      <c r="B127" t="s">
        <v>34</v>
      </c>
      <c r="C127" t="s">
        <v>59</v>
      </c>
      <c r="D127">
        <v>0</v>
      </c>
    </row>
    <row r="128" spans="1:4" x14ac:dyDescent="0.25">
      <c r="A128">
        <v>2022</v>
      </c>
      <c r="B128" t="s">
        <v>34</v>
      </c>
      <c r="C128" t="s">
        <v>59</v>
      </c>
      <c r="D128">
        <v>0</v>
      </c>
    </row>
    <row r="129" spans="1:4" x14ac:dyDescent="0.25">
      <c r="A129">
        <v>2022</v>
      </c>
      <c r="B129" t="s">
        <v>34</v>
      </c>
      <c r="C129" t="s">
        <v>59</v>
      </c>
      <c r="D129">
        <v>0</v>
      </c>
    </row>
    <row r="130" spans="1:4" x14ac:dyDescent="0.25">
      <c r="A130">
        <v>2022</v>
      </c>
      <c r="B130" t="s">
        <v>34</v>
      </c>
      <c r="C130" t="s">
        <v>59</v>
      </c>
      <c r="D130">
        <v>0</v>
      </c>
    </row>
    <row r="131" spans="1:4" x14ac:dyDescent="0.25">
      <c r="A131">
        <v>2022</v>
      </c>
      <c r="B131" t="s">
        <v>34</v>
      </c>
      <c r="C131" t="s">
        <v>59</v>
      </c>
      <c r="D131">
        <v>0</v>
      </c>
    </row>
    <row r="132" spans="1:4" x14ac:dyDescent="0.25">
      <c r="A132">
        <v>2022</v>
      </c>
      <c r="B132" t="s">
        <v>34</v>
      </c>
      <c r="C132" t="s">
        <v>59</v>
      </c>
      <c r="D132">
        <v>0</v>
      </c>
    </row>
    <row r="133" spans="1:4" x14ac:dyDescent="0.25">
      <c r="A133">
        <v>2022</v>
      </c>
      <c r="B133" t="s">
        <v>35</v>
      </c>
      <c r="C133" t="s">
        <v>62</v>
      </c>
      <c r="D133">
        <v>0</v>
      </c>
    </row>
    <row r="134" spans="1:4" x14ac:dyDescent="0.25">
      <c r="A134">
        <v>2022</v>
      </c>
      <c r="B134" t="s">
        <v>35</v>
      </c>
      <c r="C134" t="s">
        <v>59</v>
      </c>
      <c r="D134">
        <v>0</v>
      </c>
    </row>
    <row r="135" spans="1:4" x14ac:dyDescent="0.25">
      <c r="A135">
        <v>2022</v>
      </c>
      <c r="B135" t="s">
        <v>36</v>
      </c>
      <c r="C135" t="s">
        <v>62</v>
      </c>
      <c r="D135">
        <v>0</v>
      </c>
    </row>
    <row r="136" spans="1:4" x14ac:dyDescent="0.25">
      <c r="A136">
        <v>2022</v>
      </c>
      <c r="B136" t="s">
        <v>36</v>
      </c>
      <c r="C136" t="s">
        <v>59</v>
      </c>
      <c r="D136">
        <v>0</v>
      </c>
    </row>
    <row r="137" spans="1:4" x14ac:dyDescent="0.25">
      <c r="A137">
        <v>2022</v>
      </c>
      <c r="B137" t="s">
        <v>36</v>
      </c>
      <c r="C137" t="s">
        <v>59</v>
      </c>
      <c r="D137">
        <v>100000</v>
      </c>
    </row>
    <row r="138" spans="1:4" x14ac:dyDescent="0.25">
      <c r="A138">
        <v>2022</v>
      </c>
      <c r="B138" t="s">
        <v>37</v>
      </c>
      <c r="C138" t="s">
        <v>62</v>
      </c>
      <c r="D138">
        <v>0</v>
      </c>
    </row>
    <row r="139" spans="1:4" x14ac:dyDescent="0.25">
      <c r="A139">
        <v>2022</v>
      </c>
      <c r="B139" t="s">
        <v>38</v>
      </c>
      <c r="C139" t="s">
        <v>59</v>
      </c>
      <c r="D139">
        <v>7100000</v>
      </c>
    </row>
    <row r="140" spans="1:4" x14ac:dyDescent="0.25">
      <c r="A140">
        <v>2022</v>
      </c>
      <c r="B140" t="s">
        <v>38</v>
      </c>
      <c r="C140" t="s">
        <v>62</v>
      </c>
      <c r="D140">
        <v>0</v>
      </c>
    </row>
    <row r="141" spans="1:4" x14ac:dyDescent="0.25">
      <c r="A141">
        <v>2022</v>
      </c>
      <c r="B141" t="s">
        <v>38</v>
      </c>
      <c r="C141" t="s">
        <v>59</v>
      </c>
      <c r="D141">
        <v>0</v>
      </c>
    </row>
    <row r="142" spans="1:4" x14ac:dyDescent="0.25">
      <c r="A142">
        <v>2022</v>
      </c>
      <c r="B142" t="s">
        <v>38</v>
      </c>
      <c r="C142" t="s">
        <v>59</v>
      </c>
      <c r="D142">
        <v>0</v>
      </c>
    </row>
    <row r="143" spans="1:4" x14ac:dyDescent="0.25">
      <c r="A143">
        <v>2022</v>
      </c>
      <c r="B143" t="s">
        <v>39</v>
      </c>
      <c r="C143" t="s">
        <v>62</v>
      </c>
      <c r="D143">
        <v>0</v>
      </c>
    </row>
    <row r="144" spans="1:4" x14ac:dyDescent="0.25">
      <c r="A144">
        <v>2022</v>
      </c>
      <c r="B144" t="s">
        <v>39</v>
      </c>
      <c r="C144" t="s">
        <v>59</v>
      </c>
      <c r="D144">
        <v>0</v>
      </c>
    </row>
    <row r="145" spans="1:4" x14ac:dyDescent="0.25">
      <c r="A145">
        <v>2022</v>
      </c>
      <c r="B145" t="s">
        <v>40</v>
      </c>
      <c r="C145" t="s">
        <v>62</v>
      </c>
      <c r="D145">
        <v>0</v>
      </c>
    </row>
    <row r="146" spans="1:4" x14ac:dyDescent="0.25">
      <c r="A146">
        <v>2022</v>
      </c>
      <c r="B146" t="s">
        <v>40</v>
      </c>
      <c r="C146" t="s">
        <v>59</v>
      </c>
      <c r="D146">
        <v>0</v>
      </c>
    </row>
    <row r="147" spans="1:4" x14ac:dyDescent="0.25">
      <c r="A147">
        <v>2022</v>
      </c>
      <c r="B147" t="s">
        <v>41</v>
      </c>
      <c r="C147" t="s">
        <v>60</v>
      </c>
      <c r="D147">
        <v>0</v>
      </c>
    </row>
    <row r="148" spans="1:4" x14ac:dyDescent="0.25">
      <c r="A148">
        <v>2022</v>
      </c>
      <c r="B148" t="s">
        <v>41</v>
      </c>
      <c r="C148" t="s">
        <v>62</v>
      </c>
      <c r="D148">
        <v>0</v>
      </c>
    </row>
    <row r="149" spans="1:4" x14ac:dyDescent="0.25">
      <c r="A149">
        <v>2022</v>
      </c>
      <c r="B149" t="s">
        <v>41</v>
      </c>
      <c r="C149" t="s">
        <v>59</v>
      </c>
      <c r="D149">
        <v>0</v>
      </c>
    </row>
    <row r="150" spans="1:4" x14ac:dyDescent="0.25">
      <c r="A150">
        <v>2022</v>
      </c>
      <c r="B150" t="s">
        <v>42</v>
      </c>
      <c r="C150" t="s">
        <v>62</v>
      </c>
      <c r="D150">
        <v>0</v>
      </c>
    </row>
    <row r="151" spans="1:4" x14ac:dyDescent="0.25">
      <c r="A151">
        <v>2022</v>
      </c>
      <c r="B151" t="s">
        <v>44</v>
      </c>
      <c r="C151" t="s">
        <v>62</v>
      </c>
      <c r="D151">
        <v>0</v>
      </c>
    </row>
    <row r="152" spans="1:4" x14ac:dyDescent="0.25">
      <c r="A152">
        <v>2022</v>
      </c>
      <c r="B152" t="s">
        <v>45</v>
      </c>
      <c r="C152" t="s">
        <v>62</v>
      </c>
      <c r="D152">
        <v>0</v>
      </c>
    </row>
    <row r="153" spans="1:4" x14ac:dyDescent="0.25">
      <c r="A153">
        <v>2022</v>
      </c>
      <c r="B153" t="s">
        <v>45</v>
      </c>
      <c r="C153" t="s">
        <v>59</v>
      </c>
      <c r="D153">
        <v>0</v>
      </c>
    </row>
    <row r="154" spans="1:4" x14ac:dyDescent="0.25">
      <c r="A154">
        <v>2022</v>
      </c>
      <c r="B154" t="s">
        <v>46</v>
      </c>
      <c r="C154" t="s">
        <v>59</v>
      </c>
      <c r="D154">
        <v>8697000</v>
      </c>
    </row>
    <row r="155" spans="1:4" x14ac:dyDescent="0.25">
      <c r="A155">
        <v>2022</v>
      </c>
      <c r="B155" t="s">
        <v>46</v>
      </c>
      <c r="C155" t="s">
        <v>62</v>
      </c>
      <c r="D155">
        <v>0</v>
      </c>
    </row>
    <row r="156" spans="1:4" x14ac:dyDescent="0.25">
      <c r="A156">
        <v>2022</v>
      </c>
      <c r="B156" t="s">
        <v>46</v>
      </c>
      <c r="C156" t="s">
        <v>59</v>
      </c>
      <c r="D156">
        <v>0</v>
      </c>
    </row>
    <row r="157" spans="1:4" x14ac:dyDescent="0.25">
      <c r="A157">
        <v>2022</v>
      </c>
      <c r="B157" t="s">
        <v>47</v>
      </c>
      <c r="C157" t="s">
        <v>59</v>
      </c>
      <c r="D157">
        <v>70000</v>
      </c>
    </row>
    <row r="158" spans="1:4" x14ac:dyDescent="0.25">
      <c r="A158">
        <v>2022</v>
      </c>
      <c r="B158" t="s">
        <v>47</v>
      </c>
      <c r="C158" t="s">
        <v>62</v>
      </c>
      <c r="D158">
        <v>0</v>
      </c>
    </row>
    <row r="159" spans="1:4" x14ac:dyDescent="0.25">
      <c r="A159">
        <v>2022</v>
      </c>
      <c r="B159" t="s">
        <v>47</v>
      </c>
      <c r="C159" t="s">
        <v>59</v>
      </c>
      <c r="D159">
        <v>0</v>
      </c>
    </row>
    <row r="160" spans="1:4" x14ac:dyDescent="0.25">
      <c r="A160">
        <v>2022</v>
      </c>
      <c r="B160" t="s">
        <v>63</v>
      </c>
      <c r="C160" t="s">
        <v>60</v>
      </c>
      <c r="D160">
        <v>0</v>
      </c>
    </row>
    <row r="161" spans="1:4" x14ac:dyDescent="0.25">
      <c r="A161">
        <v>2022</v>
      </c>
      <c r="B161" t="s">
        <v>64</v>
      </c>
      <c r="C161" t="s">
        <v>59</v>
      </c>
      <c r="D161">
        <v>0</v>
      </c>
    </row>
    <row r="162" spans="1:4" x14ac:dyDescent="0.25">
      <c r="A162">
        <v>2022</v>
      </c>
      <c r="B162" t="s">
        <v>65</v>
      </c>
      <c r="C162" t="s">
        <v>62</v>
      </c>
      <c r="D162">
        <v>0</v>
      </c>
    </row>
    <row r="163" spans="1:4" x14ac:dyDescent="0.25">
      <c r="A163">
        <v>2022</v>
      </c>
      <c r="B163" t="s">
        <v>65</v>
      </c>
      <c r="C163" t="s">
        <v>59</v>
      </c>
      <c r="D163">
        <v>0</v>
      </c>
    </row>
    <row r="164" spans="1:4" x14ac:dyDescent="0.25">
      <c r="A164">
        <v>2022</v>
      </c>
      <c r="B164" t="s">
        <v>48</v>
      </c>
      <c r="C164" t="s">
        <v>59</v>
      </c>
      <c r="D164">
        <v>100000000</v>
      </c>
    </row>
    <row r="165" spans="1:4" x14ac:dyDescent="0.25">
      <c r="A165">
        <v>2022</v>
      </c>
      <c r="B165" t="s">
        <v>49</v>
      </c>
      <c r="C165" t="s">
        <v>59</v>
      </c>
      <c r="D165">
        <v>32966000</v>
      </c>
    </row>
    <row r="166" spans="1:4" x14ac:dyDescent="0.25">
      <c r="A166">
        <v>2022</v>
      </c>
      <c r="B166" t="s">
        <v>50</v>
      </c>
      <c r="C166" t="s">
        <v>59</v>
      </c>
      <c r="D166">
        <v>50000000</v>
      </c>
    </row>
    <row r="167" spans="1:4" x14ac:dyDescent="0.25">
      <c r="A167">
        <v>2022</v>
      </c>
      <c r="B167" t="s">
        <v>66</v>
      </c>
      <c r="C167" t="s">
        <v>59</v>
      </c>
      <c r="D167">
        <v>0</v>
      </c>
    </row>
    <row r="168" spans="1:4" x14ac:dyDescent="0.25">
      <c r="A168">
        <v>2022</v>
      </c>
      <c r="B168" t="s">
        <v>67</v>
      </c>
      <c r="C168" t="s">
        <v>59</v>
      </c>
      <c r="D168">
        <v>0</v>
      </c>
    </row>
    <row r="169" spans="1:4" x14ac:dyDescent="0.25">
      <c r="A169">
        <v>2022</v>
      </c>
      <c r="B169" t="s">
        <v>51</v>
      </c>
      <c r="C169" t="s">
        <v>59</v>
      </c>
      <c r="D169">
        <v>300000</v>
      </c>
    </row>
    <row r="170" spans="1:4" x14ac:dyDescent="0.25">
      <c r="A170">
        <v>2022</v>
      </c>
      <c r="B170" t="s">
        <v>68</v>
      </c>
      <c r="C170" t="s">
        <v>62</v>
      </c>
      <c r="D170">
        <v>0</v>
      </c>
    </row>
    <row r="171" spans="1:4" x14ac:dyDescent="0.25">
      <c r="A171">
        <v>2022</v>
      </c>
      <c r="B171" t="s">
        <v>68</v>
      </c>
      <c r="C171" t="s">
        <v>59</v>
      </c>
      <c r="D171">
        <v>0</v>
      </c>
    </row>
    <row r="172" spans="1:4" x14ac:dyDescent="0.25">
      <c r="A172">
        <v>2022</v>
      </c>
      <c r="B172" t="s">
        <v>52</v>
      </c>
      <c r="C172" t="s">
        <v>59</v>
      </c>
      <c r="D172">
        <v>183000000</v>
      </c>
    </row>
    <row r="173" spans="1:4" x14ac:dyDescent="0.25">
      <c r="A173">
        <v>2022</v>
      </c>
      <c r="B173" t="s">
        <v>56</v>
      </c>
      <c r="C173" t="s">
        <v>59</v>
      </c>
      <c r="D173">
        <v>0</v>
      </c>
    </row>
    <row r="174" spans="1:4" x14ac:dyDescent="0.25">
      <c r="A174">
        <v>2022</v>
      </c>
      <c r="B174" t="s">
        <v>57</v>
      </c>
      <c r="C174" t="s">
        <v>62</v>
      </c>
      <c r="D174">
        <v>0</v>
      </c>
    </row>
    <row r="175" spans="1:4" x14ac:dyDescent="0.25">
      <c r="A175">
        <v>2022</v>
      </c>
      <c r="B175" t="s">
        <v>57</v>
      </c>
      <c r="C175" t="s">
        <v>59</v>
      </c>
      <c r="D175">
        <v>0</v>
      </c>
    </row>
    <row r="176" spans="1:4" x14ac:dyDescent="0.25">
      <c r="A176">
        <v>2022</v>
      </c>
      <c r="B176" t="s">
        <v>69</v>
      </c>
      <c r="C176" t="s">
        <v>59</v>
      </c>
      <c r="D176">
        <v>0</v>
      </c>
    </row>
    <row r="177" spans="1:4" x14ac:dyDescent="0.25">
      <c r="A177">
        <v>2023</v>
      </c>
      <c r="B177" t="s">
        <v>4</v>
      </c>
      <c r="C177" t="s">
        <v>59</v>
      </c>
      <c r="D177">
        <v>542285000</v>
      </c>
    </row>
    <row r="178" spans="1:4" x14ac:dyDescent="0.25">
      <c r="A178">
        <v>2023</v>
      </c>
      <c r="B178" t="s">
        <v>4</v>
      </c>
      <c r="C178" t="s">
        <v>59</v>
      </c>
      <c r="D178">
        <v>0</v>
      </c>
    </row>
    <row r="179" spans="1:4" x14ac:dyDescent="0.25">
      <c r="A179">
        <v>2023</v>
      </c>
      <c r="B179" t="s">
        <v>4</v>
      </c>
      <c r="C179" t="s">
        <v>59</v>
      </c>
      <c r="D179">
        <v>0</v>
      </c>
    </row>
    <row r="180" spans="1:4" x14ac:dyDescent="0.25">
      <c r="A180">
        <v>2023</v>
      </c>
      <c r="B180" t="s">
        <v>4</v>
      </c>
      <c r="C180" t="s">
        <v>59</v>
      </c>
      <c r="D180">
        <v>0</v>
      </c>
    </row>
    <row r="181" spans="1:4" x14ac:dyDescent="0.25">
      <c r="A181">
        <v>2023</v>
      </c>
      <c r="B181" t="s">
        <v>9</v>
      </c>
      <c r="C181" t="s">
        <v>59</v>
      </c>
      <c r="D181">
        <v>39845000</v>
      </c>
    </row>
    <row r="182" spans="1:4" x14ac:dyDescent="0.25">
      <c r="A182">
        <v>2023</v>
      </c>
      <c r="B182" t="s">
        <v>9</v>
      </c>
      <c r="C182" t="s">
        <v>59</v>
      </c>
      <c r="D182">
        <v>0</v>
      </c>
    </row>
    <row r="183" spans="1:4" x14ac:dyDescent="0.25">
      <c r="A183">
        <v>2023</v>
      </c>
      <c r="B183" t="s">
        <v>9</v>
      </c>
      <c r="C183" t="s">
        <v>59</v>
      </c>
      <c r="D183">
        <v>0</v>
      </c>
    </row>
    <row r="184" spans="1:4" x14ac:dyDescent="0.25">
      <c r="A184">
        <v>2023</v>
      </c>
      <c r="B184" t="s">
        <v>9</v>
      </c>
      <c r="C184" t="s">
        <v>59</v>
      </c>
      <c r="D184">
        <v>0</v>
      </c>
    </row>
    <row r="185" spans="1:4" x14ac:dyDescent="0.25">
      <c r="A185">
        <v>2023</v>
      </c>
      <c r="B185" t="s">
        <v>9</v>
      </c>
      <c r="C185" t="s">
        <v>59</v>
      </c>
      <c r="D185">
        <v>0</v>
      </c>
    </row>
    <row r="186" spans="1:4" x14ac:dyDescent="0.25">
      <c r="A186">
        <v>2023</v>
      </c>
      <c r="B186" t="s">
        <v>10</v>
      </c>
      <c r="C186" t="s">
        <v>59</v>
      </c>
      <c r="D186">
        <v>1244423000</v>
      </c>
    </row>
    <row r="187" spans="1:4" x14ac:dyDescent="0.25">
      <c r="A187">
        <v>2023</v>
      </c>
      <c r="B187" t="s">
        <v>10</v>
      </c>
      <c r="C187" t="s">
        <v>59</v>
      </c>
      <c r="D187">
        <v>0</v>
      </c>
    </row>
    <row r="188" spans="1:4" x14ac:dyDescent="0.25">
      <c r="A188">
        <v>2023</v>
      </c>
      <c r="B188" t="s">
        <v>10</v>
      </c>
      <c r="C188" t="s">
        <v>59</v>
      </c>
      <c r="D188">
        <v>0</v>
      </c>
    </row>
    <row r="189" spans="1:4" x14ac:dyDescent="0.25">
      <c r="A189">
        <v>2023</v>
      </c>
      <c r="B189" t="s">
        <v>11</v>
      </c>
      <c r="C189" t="s">
        <v>59</v>
      </c>
      <c r="D189">
        <v>158000000</v>
      </c>
    </row>
    <row r="190" spans="1:4" x14ac:dyDescent="0.25">
      <c r="A190">
        <v>2023</v>
      </c>
      <c r="B190" t="s">
        <v>11</v>
      </c>
      <c r="C190" t="s">
        <v>60</v>
      </c>
      <c r="D190">
        <v>0</v>
      </c>
    </row>
    <row r="191" spans="1:4" x14ac:dyDescent="0.25">
      <c r="A191">
        <v>2023</v>
      </c>
      <c r="B191" t="s">
        <v>11</v>
      </c>
      <c r="C191" t="s">
        <v>60</v>
      </c>
      <c r="D191">
        <v>0</v>
      </c>
    </row>
    <row r="192" spans="1:4" x14ac:dyDescent="0.25">
      <c r="A192">
        <v>2023</v>
      </c>
      <c r="B192" t="s">
        <v>11</v>
      </c>
      <c r="C192" t="s">
        <v>59</v>
      </c>
      <c r="D192">
        <v>0</v>
      </c>
    </row>
    <row r="193" spans="1:4" x14ac:dyDescent="0.25">
      <c r="A193">
        <v>2023</v>
      </c>
      <c r="B193" t="s">
        <v>11</v>
      </c>
      <c r="C193" t="s">
        <v>59</v>
      </c>
      <c r="D193">
        <v>0</v>
      </c>
    </row>
    <row r="194" spans="1:4" x14ac:dyDescent="0.25">
      <c r="A194">
        <v>2023</v>
      </c>
      <c r="B194" t="s">
        <v>11</v>
      </c>
      <c r="C194" t="s">
        <v>59</v>
      </c>
      <c r="D194">
        <v>0</v>
      </c>
    </row>
    <row r="195" spans="1:4" x14ac:dyDescent="0.25">
      <c r="A195">
        <v>2023</v>
      </c>
      <c r="B195" t="s">
        <v>11</v>
      </c>
      <c r="C195" t="s">
        <v>59</v>
      </c>
      <c r="D195">
        <v>0</v>
      </c>
    </row>
    <row r="196" spans="1:4" x14ac:dyDescent="0.25">
      <c r="A196">
        <v>2023</v>
      </c>
      <c r="B196" t="s">
        <v>11</v>
      </c>
      <c r="C196" t="s">
        <v>59</v>
      </c>
      <c r="D196">
        <v>0</v>
      </c>
    </row>
    <row r="197" spans="1:4" x14ac:dyDescent="0.25">
      <c r="A197">
        <v>2023</v>
      </c>
      <c r="B197" t="s">
        <v>11</v>
      </c>
      <c r="C197" t="s">
        <v>59</v>
      </c>
      <c r="D197">
        <v>0</v>
      </c>
    </row>
    <row r="198" spans="1:4" x14ac:dyDescent="0.25">
      <c r="A198">
        <v>2023</v>
      </c>
      <c r="B198" t="s">
        <v>11</v>
      </c>
      <c r="C198" t="s">
        <v>59</v>
      </c>
      <c r="D198">
        <v>0</v>
      </c>
    </row>
    <row r="199" spans="1:4" x14ac:dyDescent="0.25">
      <c r="A199">
        <v>2023</v>
      </c>
      <c r="B199" t="s">
        <v>12</v>
      </c>
      <c r="C199" t="s">
        <v>59</v>
      </c>
      <c r="D199">
        <v>10780000</v>
      </c>
    </row>
    <row r="200" spans="1:4" x14ac:dyDescent="0.25">
      <c r="A200">
        <v>2023</v>
      </c>
      <c r="B200" t="s">
        <v>12</v>
      </c>
      <c r="C200" t="s">
        <v>59</v>
      </c>
      <c r="D200">
        <v>0</v>
      </c>
    </row>
    <row r="201" spans="1:4" x14ac:dyDescent="0.25">
      <c r="A201">
        <v>2023</v>
      </c>
      <c r="B201" t="s">
        <v>12</v>
      </c>
      <c r="C201" t="s">
        <v>59</v>
      </c>
      <c r="D201">
        <v>0</v>
      </c>
    </row>
    <row r="202" spans="1:4" x14ac:dyDescent="0.25">
      <c r="A202">
        <v>2023</v>
      </c>
      <c r="B202" t="s">
        <v>12</v>
      </c>
      <c r="C202" t="s">
        <v>59</v>
      </c>
      <c r="D202">
        <v>0</v>
      </c>
    </row>
    <row r="203" spans="1:4" x14ac:dyDescent="0.25">
      <c r="A203">
        <v>2023</v>
      </c>
      <c r="B203" t="s">
        <v>14</v>
      </c>
      <c r="C203" t="s">
        <v>59</v>
      </c>
      <c r="D203">
        <v>42230000</v>
      </c>
    </row>
    <row r="204" spans="1:4" x14ac:dyDescent="0.25">
      <c r="A204">
        <v>2023</v>
      </c>
      <c r="B204" t="s">
        <v>14</v>
      </c>
      <c r="C204" t="s">
        <v>59</v>
      </c>
      <c r="D204">
        <v>0</v>
      </c>
    </row>
    <row r="205" spans="1:4" x14ac:dyDescent="0.25">
      <c r="A205">
        <v>2023</v>
      </c>
      <c r="B205" t="s">
        <v>14</v>
      </c>
      <c r="C205" t="s">
        <v>59</v>
      </c>
      <c r="D205">
        <v>0</v>
      </c>
    </row>
    <row r="206" spans="1:4" x14ac:dyDescent="0.25">
      <c r="A206">
        <v>2023</v>
      </c>
      <c r="B206" t="s">
        <v>15</v>
      </c>
      <c r="C206" t="s">
        <v>59</v>
      </c>
      <c r="D206">
        <v>335820000</v>
      </c>
    </row>
    <row r="207" spans="1:4" x14ac:dyDescent="0.25">
      <c r="A207">
        <v>2023</v>
      </c>
      <c r="B207" t="s">
        <v>15</v>
      </c>
      <c r="C207" t="s">
        <v>61</v>
      </c>
      <c r="D207">
        <v>0</v>
      </c>
    </row>
    <row r="208" spans="1:4" x14ac:dyDescent="0.25">
      <c r="A208">
        <v>2023</v>
      </c>
      <c r="B208" t="s">
        <v>15</v>
      </c>
      <c r="C208" t="s">
        <v>61</v>
      </c>
      <c r="D208">
        <v>0</v>
      </c>
    </row>
    <row r="209" spans="1:4" x14ac:dyDescent="0.25">
      <c r="A209">
        <v>2023</v>
      </c>
      <c r="B209" t="s">
        <v>15</v>
      </c>
      <c r="C209" t="s">
        <v>59</v>
      </c>
      <c r="D209">
        <v>0</v>
      </c>
    </row>
    <row r="210" spans="1:4" x14ac:dyDescent="0.25">
      <c r="A210">
        <v>2023</v>
      </c>
      <c r="B210" t="s">
        <v>15</v>
      </c>
      <c r="C210" t="s">
        <v>59</v>
      </c>
      <c r="D210">
        <v>0</v>
      </c>
    </row>
    <row r="211" spans="1:4" x14ac:dyDescent="0.25">
      <c r="A211">
        <v>2023</v>
      </c>
      <c r="B211" t="s">
        <v>15</v>
      </c>
      <c r="C211" t="s">
        <v>59</v>
      </c>
      <c r="D211">
        <v>0</v>
      </c>
    </row>
    <row r="212" spans="1:4" x14ac:dyDescent="0.25">
      <c r="A212">
        <v>2023</v>
      </c>
      <c r="B212" t="s">
        <v>15</v>
      </c>
      <c r="C212" t="s">
        <v>59</v>
      </c>
      <c r="D212">
        <v>0</v>
      </c>
    </row>
    <row r="213" spans="1:4" x14ac:dyDescent="0.25">
      <c r="A213">
        <v>2023</v>
      </c>
      <c r="B213" t="s">
        <v>15</v>
      </c>
      <c r="C213" t="s">
        <v>59</v>
      </c>
      <c r="D213">
        <v>0</v>
      </c>
    </row>
    <row r="214" spans="1:4" x14ac:dyDescent="0.25">
      <c r="A214">
        <v>2023</v>
      </c>
      <c r="B214" t="s">
        <v>15</v>
      </c>
      <c r="C214" t="s">
        <v>59</v>
      </c>
      <c r="D214">
        <v>0</v>
      </c>
    </row>
    <row r="215" spans="1:4" x14ac:dyDescent="0.25">
      <c r="A215">
        <v>2023</v>
      </c>
      <c r="B215" t="s">
        <v>15</v>
      </c>
      <c r="C215" t="s">
        <v>59</v>
      </c>
      <c r="D215">
        <v>0</v>
      </c>
    </row>
    <row r="216" spans="1:4" x14ac:dyDescent="0.25">
      <c r="A216">
        <v>2023</v>
      </c>
      <c r="B216" t="s">
        <v>15</v>
      </c>
      <c r="C216" t="s">
        <v>59</v>
      </c>
      <c r="D216">
        <v>0</v>
      </c>
    </row>
    <row r="217" spans="1:4" x14ac:dyDescent="0.25">
      <c r="A217">
        <v>2023</v>
      </c>
      <c r="B217" t="s">
        <v>16</v>
      </c>
      <c r="C217" t="s">
        <v>59</v>
      </c>
      <c r="D217">
        <v>80555000</v>
      </c>
    </row>
    <row r="218" spans="1:4" x14ac:dyDescent="0.25">
      <c r="A218">
        <v>2023</v>
      </c>
      <c r="B218" t="s">
        <v>16</v>
      </c>
      <c r="C218" t="s">
        <v>59</v>
      </c>
      <c r="D218">
        <v>0</v>
      </c>
    </row>
    <row r="219" spans="1:4" x14ac:dyDescent="0.25">
      <c r="A219">
        <v>2023</v>
      </c>
      <c r="B219" t="s">
        <v>16</v>
      </c>
      <c r="C219" t="s">
        <v>59</v>
      </c>
      <c r="D219">
        <v>0</v>
      </c>
    </row>
    <row r="220" spans="1:4" x14ac:dyDescent="0.25">
      <c r="A220">
        <v>2023</v>
      </c>
      <c r="B220" t="s">
        <v>16</v>
      </c>
      <c r="C220" t="s">
        <v>59</v>
      </c>
      <c r="D220">
        <v>0</v>
      </c>
    </row>
    <row r="221" spans="1:4" x14ac:dyDescent="0.25">
      <c r="A221">
        <v>2023</v>
      </c>
      <c r="B221" t="s">
        <v>16</v>
      </c>
      <c r="C221" t="s">
        <v>59</v>
      </c>
      <c r="D221">
        <v>0</v>
      </c>
    </row>
    <row r="222" spans="1:4" x14ac:dyDescent="0.25">
      <c r="A222">
        <v>2023</v>
      </c>
      <c r="B222" t="s">
        <v>17</v>
      </c>
      <c r="C222" t="s">
        <v>59</v>
      </c>
      <c r="D222">
        <v>1130000</v>
      </c>
    </row>
    <row r="223" spans="1:4" x14ac:dyDescent="0.25">
      <c r="A223">
        <v>2023</v>
      </c>
      <c r="B223" t="s">
        <v>17</v>
      </c>
      <c r="C223" t="s">
        <v>59</v>
      </c>
      <c r="D223">
        <v>0</v>
      </c>
    </row>
    <row r="224" spans="1:4" x14ac:dyDescent="0.25">
      <c r="A224">
        <v>2023</v>
      </c>
      <c r="B224" t="s">
        <v>17</v>
      </c>
      <c r="C224" t="s">
        <v>59</v>
      </c>
      <c r="D224">
        <v>0</v>
      </c>
    </row>
    <row r="225" spans="1:4" x14ac:dyDescent="0.25">
      <c r="A225">
        <v>2023</v>
      </c>
      <c r="B225" t="s">
        <v>18</v>
      </c>
      <c r="C225" t="s">
        <v>59</v>
      </c>
      <c r="D225">
        <v>456000000</v>
      </c>
    </row>
    <row r="226" spans="1:4" x14ac:dyDescent="0.25">
      <c r="A226">
        <v>2023</v>
      </c>
      <c r="B226" t="s">
        <v>18</v>
      </c>
      <c r="C226" t="s">
        <v>59</v>
      </c>
      <c r="D226">
        <v>0</v>
      </c>
    </row>
    <row r="227" spans="1:4" x14ac:dyDescent="0.25">
      <c r="A227">
        <v>2023</v>
      </c>
      <c r="B227" t="s">
        <v>18</v>
      </c>
      <c r="C227" t="s">
        <v>59</v>
      </c>
      <c r="D227">
        <v>0</v>
      </c>
    </row>
    <row r="228" spans="1:4" x14ac:dyDescent="0.25">
      <c r="A228">
        <v>2023</v>
      </c>
      <c r="B228" t="s">
        <v>21</v>
      </c>
      <c r="C228" t="s">
        <v>59</v>
      </c>
      <c r="D228">
        <v>4800000000</v>
      </c>
    </row>
    <row r="229" spans="1:4" x14ac:dyDescent="0.25">
      <c r="A229">
        <v>2023</v>
      </c>
      <c r="B229" t="s">
        <v>21</v>
      </c>
      <c r="C229" t="s">
        <v>61</v>
      </c>
      <c r="D229">
        <v>0</v>
      </c>
    </row>
    <row r="230" spans="1:4" x14ac:dyDescent="0.25">
      <c r="A230">
        <v>2023</v>
      </c>
      <c r="B230" t="s">
        <v>21</v>
      </c>
      <c r="C230" t="s">
        <v>59</v>
      </c>
      <c r="D230">
        <v>0</v>
      </c>
    </row>
    <row r="231" spans="1:4" x14ac:dyDescent="0.25">
      <c r="A231">
        <v>2023</v>
      </c>
      <c r="B231" t="s">
        <v>21</v>
      </c>
      <c r="C231" t="s">
        <v>59</v>
      </c>
      <c r="D231">
        <v>0</v>
      </c>
    </row>
    <row r="232" spans="1:4" x14ac:dyDescent="0.25">
      <c r="A232">
        <v>2023</v>
      </c>
      <c r="B232" t="s">
        <v>21</v>
      </c>
      <c r="C232" t="s">
        <v>59</v>
      </c>
      <c r="D232">
        <v>0</v>
      </c>
    </row>
    <row r="233" spans="1:4" x14ac:dyDescent="0.25">
      <c r="A233">
        <v>2023</v>
      </c>
      <c r="B233" t="s">
        <v>21</v>
      </c>
      <c r="C233" t="s">
        <v>59</v>
      </c>
      <c r="D233">
        <v>0</v>
      </c>
    </row>
    <row r="234" spans="1:4" x14ac:dyDescent="0.25">
      <c r="A234">
        <v>2023</v>
      </c>
      <c r="B234" t="s">
        <v>21</v>
      </c>
      <c r="C234" t="s">
        <v>59</v>
      </c>
      <c r="D234">
        <v>0</v>
      </c>
    </row>
    <row r="235" spans="1:4" x14ac:dyDescent="0.25">
      <c r="A235">
        <v>2023</v>
      </c>
      <c r="B235" t="s">
        <v>21</v>
      </c>
      <c r="C235" t="s">
        <v>59</v>
      </c>
      <c r="D235">
        <v>0</v>
      </c>
    </row>
    <row r="236" spans="1:4" x14ac:dyDescent="0.25">
      <c r="A236">
        <v>2023</v>
      </c>
      <c r="B236" t="s">
        <v>21</v>
      </c>
      <c r="C236" t="s">
        <v>59</v>
      </c>
      <c r="D236">
        <v>0</v>
      </c>
    </row>
    <row r="237" spans="1:4" x14ac:dyDescent="0.25">
      <c r="A237">
        <v>2023</v>
      </c>
      <c r="B237" t="s">
        <v>21</v>
      </c>
      <c r="C237" t="s">
        <v>59</v>
      </c>
      <c r="D237">
        <v>0</v>
      </c>
    </row>
    <row r="238" spans="1:4" x14ac:dyDescent="0.25">
      <c r="A238">
        <v>2023</v>
      </c>
      <c r="B238" t="s">
        <v>22</v>
      </c>
      <c r="C238" t="s">
        <v>59</v>
      </c>
      <c r="D238">
        <v>232000000</v>
      </c>
    </row>
    <row r="239" spans="1:4" x14ac:dyDescent="0.25">
      <c r="A239">
        <v>2023</v>
      </c>
      <c r="B239" t="s">
        <v>22</v>
      </c>
      <c r="C239" t="s">
        <v>59</v>
      </c>
      <c r="D239">
        <v>0</v>
      </c>
    </row>
    <row r="240" spans="1:4" x14ac:dyDescent="0.25">
      <c r="A240">
        <v>2023</v>
      </c>
      <c r="B240" t="s">
        <v>22</v>
      </c>
      <c r="C240" t="s">
        <v>59</v>
      </c>
      <c r="D240">
        <v>0</v>
      </c>
    </row>
    <row r="241" spans="1:4" x14ac:dyDescent="0.25">
      <c r="A241">
        <v>2023</v>
      </c>
      <c r="B241" t="s">
        <v>23</v>
      </c>
      <c r="C241" t="s">
        <v>59</v>
      </c>
      <c r="D241">
        <v>97329000</v>
      </c>
    </row>
    <row r="242" spans="1:4" x14ac:dyDescent="0.25">
      <c r="A242">
        <v>2023</v>
      </c>
      <c r="B242" t="s">
        <v>23</v>
      </c>
      <c r="C242" t="s">
        <v>59</v>
      </c>
      <c r="D242">
        <v>0</v>
      </c>
    </row>
    <row r="243" spans="1:4" x14ac:dyDescent="0.25">
      <c r="A243">
        <v>2023</v>
      </c>
      <c r="B243" t="s">
        <v>23</v>
      </c>
      <c r="C243" t="s">
        <v>59</v>
      </c>
      <c r="D243">
        <v>0</v>
      </c>
    </row>
    <row r="244" spans="1:4" x14ac:dyDescent="0.25">
      <c r="A244">
        <v>2023</v>
      </c>
      <c r="B244" t="s">
        <v>24</v>
      </c>
      <c r="C244" t="s">
        <v>59</v>
      </c>
      <c r="D244">
        <v>850000</v>
      </c>
    </row>
    <row r="245" spans="1:4" x14ac:dyDescent="0.25">
      <c r="A245">
        <v>2023</v>
      </c>
      <c r="B245" t="s">
        <v>24</v>
      </c>
      <c r="C245" t="s">
        <v>59</v>
      </c>
      <c r="D245">
        <v>0</v>
      </c>
    </row>
    <row r="246" spans="1:4" x14ac:dyDescent="0.25">
      <c r="A246">
        <v>2023</v>
      </c>
      <c r="B246" t="s">
        <v>25</v>
      </c>
      <c r="C246" t="s">
        <v>59</v>
      </c>
      <c r="D246">
        <v>0</v>
      </c>
    </row>
    <row r="247" spans="1:4" x14ac:dyDescent="0.25">
      <c r="A247">
        <v>2023</v>
      </c>
      <c r="B247" t="s">
        <v>25</v>
      </c>
      <c r="C247" t="s">
        <v>59</v>
      </c>
      <c r="D247">
        <v>0</v>
      </c>
    </row>
    <row r="248" spans="1:4" x14ac:dyDescent="0.25">
      <c r="A248">
        <v>2023</v>
      </c>
      <c r="B248" t="s">
        <v>28</v>
      </c>
      <c r="C248" t="s">
        <v>61</v>
      </c>
      <c r="D248">
        <v>9653400000</v>
      </c>
    </row>
    <row r="249" spans="1:4" x14ac:dyDescent="0.25">
      <c r="A249">
        <v>2023</v>
      </c>
      <c r="B249" t="s">
        <v>28</v>
      </c>
      <c r="C249" t="s">
        <v>60</v>
      </c>
      <c r="D249">
        <v>450000000</v>
      </c>
    </row>
    <row r="250" spans="1:4" x14ac:dyDescent="0.25">
      <c r="A250">
        <v>2023</v>
      </c>
      <c r="B250" t="s">
        <v>28</v>
      </c>
      <c r="C250" t="s">
        <v>62</v>
      </c>
      <c r="D250">
        <v>19000919000</v>
      </c>
    </row>
    <row r="251" spans="1:4" x14ac:dyDescent="0.25">
      <c r="A251">
        <v>2023</v>
      </c>
      <c r="B251" t="s">
        <v>28</v>
      </c>
      <c r="C251" t="s">
        <v>59</v>
      </c>
      <c r="D251">
        <v>23892735000</v>
      </c>
    </row>
    <row r="252" spans="1:4" x14ac:dyDescent="0.25">
      <c r="A252">
        <v>2023</v>
      </c>
      <c r="B252" t="s">
        <v>28</v>
      </c>
      <c r="C252" t="s">
        <v>61</v>
      </c>
      <c r="D252">
        <v>0</v>
      </c>
    </row>
    <row r="253" spans="1:4" x14ac:dyDescent="0.25">
      <c r="A253">
        <v>2023</v>
      </c>
      <c r="B253" t="s">
        <v>28</v>
      </c>
      <c r="C253" t="s">
        <v>60</v>
      </c>
      <c r="D253">
        <v>0</v>
      </c>
    </row>
    <row r="254" spans="1:4" x14ac:dyDescent="0.25">
      <c r="A254">
        <v>2023</v>
      </c>
      <c r="B254" t="s">
        <v>28</v>
      </c>
      <c r="C254" t="s">
        <v>60</v>
      </c>
      <c r="D254">
        <v>0</v>
      </c>
    </row>
    <row r="255" spans="1:4" x14ac:dyDescent="0.25">
      <c r="A255">
        <v>2023</v>
      </c>
      <c r="B255" t="s">
        <v>28</v>
      </c>
      <c r="C255" t="s">
        <v>60</v>
      </c>
      <c r="D255">
        <v>0</v>
      </c>
    </row>
    <row r="256" spans="1:4" x14ac:dyDescent="0.25">
      <c r="A256">
        <v>2023</v>
      </c>
      <c r="B256" t="s">
        <v>28</v>
      </c>
      <c r="C256" t="s">
        <v>60</v>
      </c>
      <c r="D256">
        <v>0</v>
      </c>
    </row>
    <row r="257" spans="1:4" x14ac:dyDescent="0.25">
      <c r="A257">
        <v>2023</v>
      </c>
      <c r="B257" t="s">
        <v>28</v>
      </c>
      <c r="C257" t="s">
        <v>60</v>
      </c>
      <c r="D257">
        <v>0</v>
      </c>
    </row>
    <row r="258" spans="1:4" x14ac:dyDescent="0.25">
      <c r="A258">
        <v>2023</v>
      </c>
      <c r="B258" t="s">
        <v>28</v>
      </c>
      <c r="C258" t="s">
        <v>60</v>
      </c>
      <c r="D258">
        <v>0</v>
      </c>
    </row>
    <row r="259" spans="1:4" x14ac:dyDescent="0.25">
      <c r="A259">
        <v>2023</v>
      </c>
      <c r="B259" t="s">
        <v>28</v>
      </c>
      <c r="C259" t="s">
        <v>60</v>
      </c>
      <c r="D259">
        <v>0</v>
      </c>
    </row>
    <row r="260" spans="1:4" x14ac:dyDescent="0.25">
      <c r="A260">
        <v>2023</v>
      </c>
      <c r="B260" t="s">
        <v>28</v>
      </c>
      <c r="C260" t="s">
        <v>60</v>
      </c>
      <c r="D260">
        <v>0</v>
      </c>
    </row>
    <row r="261" spans="1:4" x14ac:dyDescent="0.25">
      <c r="A261">
        <v>2023</v>
      </c>
      <c r="B261" t="s">
        <v>28</v>
      </c>
      <c r="C261" t="s">
        <v>60</v>
      </c>
      <c r="D261">
        <v>0</v>
      </c>
    </row>
    <row r="262" spans="1:4" x14ac:dyDescent="0.25">
      <c r="A262">
        <v>2023</v>
      </c>
      <c r="B262" t="s">
        <v>28</v>
      </c>
      <c r="C262" t="s">
        <v>60</v>
      </c>
      <c r="D262">
        <v>0</v>
      </c>
    </row>
    <row r="263" spans="1:4" x14ac:dyDescent="0.25">
      <c r="A263">
        <v>2023</v>
      </c>
      <c r="B263" t="s">
        <v>28</v>
      </c>
      <c r="C263" t="s">
        <v>60</v>
      </c>
      <c r="D263">
        <v>0</v>
      </c>
    </row>
    <row r="264" spans="1:4" x14ac:dyDescent="0.25">
      <c r="A264">
        <v>2023</v>
      </c>
      <c r="B264" t="s">
        <v>28</v>
      </c>
      <c r="C264" t="s">
        <v>60</v>
      </c>
      <c r="D264">
        <v>0</v>
      </c>
    </row>
    <row r="265" spans="1:4" x14ac:dyDescent="0.25">
      <c r="A265">
        <v>2023</v>
      </c>
      <c r="B265" t="s">
        <v>28</v>
      </c>
      <c r="C265" t="s">
        <v>62</v>
      </c>
      <c r="D265">
        <v>0</v>
      </c>
    </row>
    <row r="266" spans="1:4" x14ac:dyDescent="0.25">
      <c r="A266">
        <v>2023</v>
      </c>
      <c r="B266" t="s">
        <v>28</v>
      </c>
      <c r="C266" t="s">
        <v>59</v>
      </c>
      <c r="D266">
        <v>0</v>
      </c>
    </row>
    <row r="267" spans="1:4" x14ac:dyDescent="0.25">
      <c r="A267">
        <v>2023</v>
      </c>
      <c r="B267" t="s">
        <v>28</v>
      </c>
      <c r="C267" t="s">
        <v>59</v>
      </c>
      <c r="D267">
        <v>0</v>
      </c>
    </row>
    <row r="268" spans="1:4" x14ac:dyDescent="0.25">
      <c r="A268">
        <v>2023</v>
      </c>
      <c r="B268" t="s">
        <v>28</v>
      </c>
      <c r="C268" t="s">
        <v>59</v>
      </c>
      <c r="D268">
        <v>0</v>
      </c>
    </row>
    <row r="269" spans="1:4" x14ac:dyDescent="0.25">
      <c r="A269">
        <v>2023</v>
      </c>
      <c r="B269" t="s">
        <v>28</v>
      </c>
      <c r="C269" t="s">
        <v>59</v>
      </c>
      <c r="D269">
        <v>0</v>
      </c>
    </row>
    <row r="270" spans="1:4" x14ac:dyDescent="0.25">
      <c r="A270">
        <v>2023</v>
      </c>
      <c r="B270" t="s">
        <v>28</v>
      </c>
      <c r="C270" t="s">
        <v>59</v>
      </c>
      <c r="D270">
        <v>0</v>
      </c>
    </row>
    <row r="271" spans="1:4" x14ac:dyDescent="0.25">
      <c r="A271">
        <v>2023</v>
      </c>
      <c r="B271" t="s">
        <v>28</v>
      </c>
      <c r="C271" t="s">
        <v>59</v>
      </c>
      <c r="D271">
        <v>0</v>
      </c>
    </row>
    <row r="272" spans="1:4" x14ac:dyDescent="0.25">
      <c r="A272">
        <v>2023</v>
      </c>
      <c r="B272" t="s">
        <v>28</v>
      </c>
      <c r="C272" t="s">
        <v>59</v>
      </c>
      <c r="D272">
        <v>0</v>
      </c>
    </row>
    <row r="273" spans="1:4" x14ac:dyDescent="0.25">
      <c r="A273">
        <v>2023</v>
      </c>
      <c r="B273" t="s">
        <v>28</v>
      </c>
      <c r="C273" t="s">
        <v>59</v>
      </c>
      <c r="D273">
        <v>0</v>
      </c>
    </row>
    <row r="274" spans="1:4" x14ac:dyDescent="0.25">
      <c r="A274">
        <v>2023</v>
      </c>
      <c r="B274" t="s">
        <v>28</v>
      </c>
      <c r="C274" t="s">
        <v>59</v>
      </c>
      <c r="D274">
        <v>0</v>
      </c>
    </row>
    <row r="275" spans="1:4" x14ac:dyDescent="0.25">
      <c r="A275">
        <v>2023</v>
      </c>
      <c r="B275" t="s">
        <v>32</v>
      </c>
      <c r="C275" t="s">
        <v>62</v>
      </c>
      <c r="D275">
        <v>0</v>
      </c>
    </row>
    <row r="276" spans="1:4" x14ac:dyDescent="0.25">
      <c r="A276">
        <v>2023</v>
      </c>
      <c r="B276" t="s">
        <v>33</v>
      </c>
      <c r="C276" t="s">
        <v>59</v>
      </c>
      <c r="D276">
        <v>41366000</v>
      </c>
    </row>
    <row r="277" spans="1:4" x14ac:dyDescent="0.25">
      <c r="A277">
        <v>2023</v>
      </c>
      <c r="B277" t="s">
        <v>33</v>
      </c>
      <c r="C277" t="s">
        <v>62</v>
      </c>
      <c r="D277">
        <v>0</v>
      </c>
    </row>
    <row r="278" spans="1:4" x14ac:dyDescent="0.25">
      <c r="A278">
        <v>2023</v>
      </c>
      <c r="B278" t="s">
        <v>33</v>
      </c>
      <c r="C278" t="s">
        <v>59</v>
      </c>
      <c r="D278">
        <v>0</v>
      </c>
    </row>
    <row r="279" spans="1:4" x14ac:dyDescent="0.25">
      <c r="A279">
        <v>2023</v>
      </c>
      <c r="B279" t="s">
        <v>34</v>
      </c>
      <c r="C279" t="s">
        <v>59</v>
      </c>
      <c r="D279">
        <v>505760000</v>
      </c>
    </row>
    <row r="280" spans="1:4" x14ac:dyDescent="0.25">
      <c r="A280">
        <v>2023</v>
      </c>
      <c r="B280" t="s">
        <v>34</v>
      </c>
      <c r="C280" t="s">
        <v>62</v>
      </c>
      <c r="D280">
        <v>0</v>
      </c>
    </row>
    <row r="281" spans="1:4" x14ac:dyDescent="0.25">
      <c r="A281">
        <v>2023</v>
      </c>
      <c r="B281" t="s">
        <v>34</v>
      </c>
      <c r="C281" t="s">
        <v>59</v>
      </c>
      <c r="D281">
        <v>0</v>
      </c>
    </row>
    <row r="282" spans="1:4" x14ac:dyDescent="0.25">
      <c r="A282">
        <v>2023</v>
      </c>
      <c r="B282" t="s">
        <v>34</v>
      </c>
      <c r="C282" t="s">
        <v>59</v>
      </c>
      <c r="D282">
        <v>0</v>
      </c>
    </row>
    <row r="283" spans="1:4" x14ac:dyDescent="0.25">
      <c r="A283">
        <v>2023</v>
      </c>
      <c r="B283" t="s">
        <v>34</v>
      </c>
      <c r="C283" t="s">
        <v>59</v>
      </c>
      <c r="D283">
        <v>0</v>
      </c>
    </row>
    <row r="284" spans="1:4" x14ac:dyDescent="0.25">
      <c r="A284">
        <v>2023</v>
      </c>
      <c r="B284" t="s">
        <v>34</v>
      </c>
      <c r="C284" t="s">
        <v>59</v>
      </c>
      <c r="D284">
        <v>0</v>
      </c>
    </row>
    <row r="285" spans="1:4" x14ac:dyDescent="0.25">
      <c r="A285">
        <v>2023</v>
      </c>
      <c r="B285" t="s">
        <v>34</v>
      </c>
      <c r="C285" t="s">
        <v>59</v>
      </c>
      <c r="D285">
        <v>0</v>
      </c>
    </row>
    <row r="286" spans="1:4" x14ac:dyDescent="0.25">
      <c r="A286">
        <v>2023</v>
      </c>
      <c r="B286" t="s">
        <v>34</v>
      </c>
      <c r="C286" t="s">
        <v>59</v>
      </c>
      <c r="D286">
        <v>0</v>
      </c>
    </row>
    <row r="287" spans="1:4" x14ac:dyDescent="0.25">
      <c r="A287">
        <v>2023</v>
      </c>
      <c r="B287" t="s">
        <v>34</v>
      </c>
      <c r="C287" t="s">
        <v>59</v>
      </c>
      <c r="D287">
        <v>0</v>
      </c>
    </row>
    <row r="288" spans="1:4" x14ac:dyDescent="0.25">
      <c r="A288">
        <v>2023</v>
      </c>
      <c r="B288" t="s">
        <v>34</v>
      </c>
      <c r="C288" t="s">
        <v>59</v>
      </c>
      <c r="D288">
        <v>0</v>
      </c>
    </row>
    <row r="289" spans="1:4" x14ac:dyDescent="0.25">
      <c r="A289">
        <v>2023</v>
      </c>
      <c r="B289" t="s">
        <v>35</v>
      </c>
      <c r="C289" t="s">
        <v>62</v>
      </c>
      <c r="D289">
        <v>0</v>
      </c>
    </row>
    <row r="290" spans="1:4" x14ac:dyDescent="0.25">
      <c r="A290">
        <v>2023</v>
      </c>
      <c r="B290" t="s">
        <v>35</v>
      </c>
      <c r="C290" t="s">
        <v>59</v>
      </c>
      <c r="D290">
        <v>0</v>
      </c>
    </row>
    <row r="291" spans="1:4" x14ac:dyDescent="0.25">
      <c r="A291">
        <v>2023</v>
      </c>
      <c r="B291" t="s">
        <v>37</v>
      </c>
      <c r="C291" t="s">
        <v>62</v>
      </c>
      <c r="D291">
        <v>0</v>
      </c>
    </row>
    <row r="292" spans="1:4" x14ac:dyDescent="0.25">
      <c r="A292">
        <v>2023</v>
      </c>
      <c r="B292" t="s">
        <v>38</v>
      </c>
      <c r="C292" t="s">
        <v>59</v>
      </c>
      <c r="D292">
        <v>7100000</v>
      </c>
    </row>
    <row r="293" spans="1:4" x14ac:dyDescent="0.25">
      <c r="A293">
        <v>2023</v>
      </c>
      <c r="B293" t="s">
        <v>38</v>
      </c>
      <c r="C293" t="s">
        <v>62</v>
      </c>
      <c r="D293">
        <v>0</v>
      </c>
    </row>
    <row r="294" spans="1:4" x14ac:dyDescent="0.25">
      <c r="A294">
        <v>2023</v>
      </c>
      <c r="B294" t="s">
        <v>38</v>
      </c>
      <c r="C294" t="s">
        <v>59</v>
      </c>
      <c r="D294">
        <v>0</v>
      </c>
    </row>
    <row r="295" spans="1:4" x14ac:dyDescent="0.25">
      <c r="A295">
        <v>2023</v>
      </c>
      <c r="B295" t="s">
        <v>38</v>
      </c>
      <c r="C295" t="s">
        <v>59</v>
      </c>
      <c r="D295">
        <v>0</v>
      </c>
    </row>
    <row r="296" spans="1:4" x14ac:dyDescent="0.25">
      <c r="A296">
        <v>2023</v>
      </c>
      <c r="B296" t="s">
        <v>40</v>
      </c>
      <c r="C296" t="s">
        <v>62</v>
      </c>
      <c r="D296">
        <v>0</v>
      </c>
    </row>
    <row r="297" spans="1:4" x14ac:dyDescent="0.25">
      <c r="A297">
        <v>2023</v>
      </c>
      <c r="B297" t="s">
        <v>40</v>
      </c>
      <c r="C297" t="s">
        <v>59</v>
      </c>
      <c r="D297">
        <v>0</v>
      </c>
    </row>
    <row r="298" spans="1:4" x14ac:dyDescent="0.25">
      <c r="A298">
        <v>2023</v>
      </c>
      <c r="B298" t="s">
        <v>41</v>
      </c>
      <c r="C298" t="s">
        <v>60</v>
      </c>
      <c r="D298">
        <v>0</v>
      </c>
    </row>
    <row r="299" spans="1:4" x14ac:dyDescent="0.25">
      <c r="A299">
        <v>2023</v>
      </c>
      <c r="B299" t="s">
        <v>41</v>
      </c>
      <c r="C299" t="s">
        <v>62</v>
      </c>
      <c r="D299">
        <v>0</v>
      </c>
    </row>
    <row r="300" spans="1:4" x14ac:dyDescent="0.25">
      <c r="A300">
        <v>2023</v>
      </c>
      <c r="B300" t="s">
        <v>41</v>
      </c>
      <c r="C300" t="s">
        <v>59</v>
      </c>
      <c r="D300">
        <v>0</v>
      </c>
    </row>
    <row r="301" spans="1:4" x14ac:dyDescent="0.25">
      <c r="A301">
        <v>2023</v>
      </c>
      <c r="B301" t="s">
        <v>43</v>
      </c>
      <c r="C301" t="s">
        <v>59</v>
      </c>
      <c r="D301">
        <v>600000</v>
      </c>
    </row>
    <row r="302" spans="1:4" x14ac:dyDescent="0.25">
      <c r="A302">
        <v>2023</v>
      </c>
      <c r="B302" t="s">
        <v>44</v>
      </c>
      <c r="C302" t="s">
        <v>62</v>
      </c>
      <c r="D302">
        <v>0</v>
      </c>
    </row>
    <row r="303" spans="1:4" x14ac:dyDescent="0.25">
      <c r="A303">
        <v>2023</v>
      </c>
      <c r="B303" t="s">
        <v>45</v>
      </c>
      <c r="C303" t="s">
        <v>62</v>
      </c>
      <c r="D303">
        <v>0</v>
      </c>
    </row>
    <row r="304" spans="1:4" x14ac:dyDescent="0.25">
      <c r="A304">
        <v>2023</v>
      </c>
      <c r="B304" t="s">
        <v>45</v>
      </c>
      <c r="C304" t="s">
        <v>59</v>
      </c>
      <c r="D304">
        <v>0</v>
      </c>
    </row>
    <row r="305" spans="1:4" x14ac:dyDescent="0.25">
      <c r="A305">
        <v>2023</v>
      </c>
      <c r="B305" t="s">
        <v>46</v>
      </c>
      <c r="C305" t="s">
        <v>59</v>
      </c>
      <c r="D305">
        <v>9559000</v>
      </c>
    </row>
    <row r="306" spans="1:4" x14ac:dyDescent="0.25">
      <c r="A306">
        <v>2023</v>
      </c>
      <c r="B306" t="s">
        <v>46</v>
      </c>
      <c r="C306" t="s">
        <v>61</v>
      </c>
      <c r="D306">
        <v>0</v>
      </c>
    </row>
    <row r="307" spans="1:4" x14ac:dyDescent="0.25">
      <c r="A307">
        <v>2023</v>
      </c>
      <c r="B307" t="s">
        <v>46</v>
      </c>
      <c r="C307" t="s">
        <v>62</v>
      </c>
      <c r="D307">
        <v>0</v>
      </c>
    </row>
    <row r="308" spans="1:4" x14ac:dyDescent="0.25">
      <c r="A308">
        <v>2023</v>
      </c>
      <c r="B308" t="s">
        <v>46</v>
      </c>
      <c r="C308" t="s">
        <v>59</v>
      </c>
      <c r="D308">
        <v>0</v>
      </c>
    </row>
    <row r="309" spans="1:4" x14ac:dyDescent="0.25">
      <c r="A309">
        <v>2023</v>
      </c>
      <c r="B309" t="s">
        <v>47</v>
      </c>
      <c r="C309" t="s">
        <v>62</v>
      </c>
      <c r="D309">
        <v>0</v>
      </c>
    </row>
    <row r="310" spans="1:4" x14ac:dyDescent="0.25">
      <c r="A310">
        <v>2023</v>
      </c>
      <c r="B310" t="s">
        <v>47</v>
      </c>
      <c r="C310" t="s">
        <v>59</v>
      </c>
      <c r="D310">
        <v>70000</v>
      </c>
    </row>
    <row r="311" spans="1:4" x14ac:dyDescent="0.25">
      <c r="A311">
        <v>2023</v>
      </c>
      <c r="B311" t="s">
        <v>47</v>
      </c>
      <c r="C311" t="s">
        <v>62</v>
      </c>
      <c r="D311">
        <v>0</v>
      </c>
    </row>
    <row r="312" spans="1:4" x14ac:dyDescent="0.25">
      <c r="A312">
        <v>2023</v>
      </c>
      <c r="B312" t="s">
        <v>47</v>
      </c>
      <c r="C312" t="s">
        <v>59</v>
      </c>
      <c r="D312">
        <v>0</v>
      </c>
    </row>
    <row r="313" spans="1:4" x14ac:dyDescent="0.25">
      <c r="A313">
        <v>2023</v>
      </c>
      <c r="B313" t="s">
        <v>63</v>
      </c>
      <c r="C313" t="s">
        <v>60</v>
      </c>
      <c r="D313">
        <v>0</v>
      </c>
    </row>
    <row r="314" spans="1:4" x14ac:dyDescent="0.25">
      <c r="A314">
        <v>2023</v>
      </c>
      <c r="B314" t="s">
        <v>63</v>
      </c>
      <c r="C314" t="s">
        <v>59</v>
      </c>
      <c r="D314">
        <v>0</v>
      </c>
    </row>
    <row r="315" spans="1:4" x14ac:dyDescent="0.25">
      <c r="A315">
        <v>2023</v>
      </c>
      <c r="B315" t="s">
        <v>64</v>
      </c>
      <c r="C315" t="s">
        <v>59</v>
      </c>
      <c r="D315">
        <v>0</v>
      </c>
    </row>
    <row r="316" spans="1:4" x14ac:dyDescent="0.25">
      <c r="A316">
        <v>2023</v>
      </c>
      <c r="B316" t="s">
        <v>65</v>
      </c>
      <c r="C316" t="s">
        <v>62</v>
      </c>
      <c r="D316">
        <v>0</v>
      </c>
    </row>
    <row r="317" spans="1:4" x14ac:dyDescent="0.25">
      <c r="A317">
        <v>2023</v>
      </c>
      <c r="B317" t="s">
        <v>65</v>
      </c>
      <c r="C317" t="s">
        <v>59</v>
      </c>
      <c r="D317">
        <v>0</v>
      </c>
    </row>
    <row r="318" spans="1:4" x14ac:dyDescent="0.25">
      <c r="A318">
        <v>2023</v>
      </c>
      <c r="B318" t="s">
        <v>48</v>
      </c>
      <c r="C318" t="s">
        <v>59</v>
      </c>
      <c r="D318">
        <v>102144000</v>
      </c>
    </row>
    <row r="319" spans="1:4" x14ac:dyDescent="0.25">
      <c r="A319">
        <v>2023</v>
      </c>
      <c r="B319" t="s">
        <v>49</v>
      </c>
      <c r="C319" t="s">
        <v>59</v>
      </c>
      <c r="D319">
        <v>22053000</v>
      </c>
    </row>
    <row r="320" spans="1:4" x14ac:dyDescent="0.25">
      <c r="A320">
        <v>2023</v>
      </c>
      <c r="B320" t="s">
        <v>50</v>
      </c>
      <c r="C320" t="s">
        <v>59</v>
      </c>
      <c r="D320">
        <v>50000000</v>
      </c>
    </row>
    <row r="321" spans="1:4" x14ac:dyDescent="0.25">
      <c r="A321">
        <v>2023</v>
      </c>
      <c r="B321" t="s">
        <v>51</v>
      </c>
      <c r="C321" t="s">
        <v>59</v>
      </c>
      <c r="D321">
        <v>300000</v>
      </c>
    </row>
    <row r="322" spans="1:4" x14ac:dyDescent="0.25">
      <c r="A322">
        <v>2023</v>
      </c>
      <c r="B322" t="s">
        <v>70</v>
      </c>
      <c r="C322" t="s">
        <v>59</v>
      </c>
      <c r="D322">
        <v>0</v>
      </c>
    </row>
    <row r="323" spans="1:4" x14ac:dyDescent="0.25">
      <c r="A323">
        <v>2023</v>
      </c>
      <c r="B323" t="s">
        <v>68</v>
      </c>
      <c r="C323" t="s">
        <v>62</v>
      </c>
      <c r="D323">
        <v>0</v>
      </c>
    </row>
    <row r="324" spans="1:4" x14ac:dyDescent="0.25">
      <c r="A324">
        <v>2023</v>
      </c>
      <c r="B324" t="s">
        <v>68</v>
      </c>
      <c r="C324" t="s">
        <v>59</v>
      </c>
      <c r="D324">
        <v>0</v>
      </c>
    </row>
    <row r="325" spans="1:4" x14ac:dyDescent="0.25">
      <c r="A325">
        <v>2023</v>
      </c>
      <c r="B325" t="s">
        <v>52</v>
      </c>
      <c r="C325" t="s">
        <v>59</v>
      </c>
      <c r="D325">
        <v>170000000</v>
      </c>
    </row>
    <row r="326" spans="1:4" x14ac:dyDescent="0.25">
      <c r="A326">
        <v>2023</v>
      </c>
      <c r="B326" t="s">
        <v>56</v>
      </c>
      <c r="C326" t="s">
        <v>59</v>
      </c>
      <c r="D326">
        <v>1350553000</v>
      </c>
    </row>
    <row r="327" spans="1:4" x14ac:dyDescent="0.25">
      <c r="A327">
        <v>2023</v>
      </c>
      <c r="B327" t="s">
        <v>57</v>
      </c>
      <c r="C327" t="s">
        <v>62</v>
      </c>
      <c r="D327">
        <v>21935440</v>
      </c>
    </row>
    <row r="328" spans="1:4" x14ac:dyDescent="0.25">
      <c r="A328">
        <v>2023</v>
      </c>
      <c r="B328" t="s">
        <v>57</v>
      </c>
      <c r="C328" t="s">
        <v>59</v>
      </c>
      <c r="D328">
        <v>293258560</v>
      </c>
    </row>
    <row r="329" spans="1:4" x14ac:dyDescent="0.25">
      <c r="A329">
        <v>2023</v>
      </c>
      <c r="B329" t="s">
        <v>69</v>
      </c>
      <c r="C329" t="s">
        <v>59</v>
      </c>
      <c r="D329">
        <v>0</v>
      </c>
    </row>
    <row r="330" spans="1:4" x14ac:dyDescent="0.25">
      <c r="A330">
        <v>2023</v>
      </c>
      <c r="B330" t="s">
        <v>71</v>
      </c>
      <c r="C330" t="s">
        <v>62</v>
      </c>
      <c r="D330">
        <v>0</v>
      </c>
    </row>
    <row r="331" spans="1:4" x14ac:dyDescent="0.25">
      <c r="A331">
        <v>2023</v>
      </c>
      <c r="B331" t="s">
        <v>72</v>
      </c>
      <c r="C331" t="s">
        <v>59</v>
      </c>
      <c r="D33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4135D-3451-46E4-AE5B-D9E29DABD23A}">
  <dimension ref="A1:D1567"/>
  <sheetViews>
    <sheetView workbookViewId="0">
      <selection activeCell="G33" sqref="G33"/>
    </sheetView>
  </sheetViews>
  <sheetFormatPr defaultRowHeight="15" x14ac:dyDescent="0.25"/>
  <cols>
    <col min="1" max="1" width="8" bestFit="1" customWidth="1"/>
    <col min="2" max="2" width="49.42578125" bestFit="1" customWidth="1"/>
    <col min="3" max="3" width="27.42578125" bestFit="1" customWidth="1"/>
    <col min="4" max="4" width="20.140625" bestFit="1" customWidth="1"/>
    <col min="5" max="5" width="14.7109375" bestFit="1" customWidth="1"/>
  </cols>
  <sheetData>
    <row r="1" spans="1:4" x14ac:dyDescent="0.25">
      <c r="A1" t="s">
        <v>0</v>
      </c>
      <c r="B1" t="s">
        <v>1</v>
      </c>
      <c r="C1" t="s">
        <v>2</v>
      </c>
      <c r="D1" t="s">
        <v>3</v>
      </c>
    </row>
    <row r="2" spans="1:4" x14ac:dyDescent="0.25">
      <c r="A2">
        <v>2022</v>
      </c>
      <c r="B2" t="s">
        <v>4</v>
      </c>
      <c r="C2" t="s">
        <v>5</v>
      </c>
      <c r="D2">
        <v>488189</v>
      </c>
    </row>
    <row r="3" spans="1:4" x14ac:dyDescent="0.25">
      <c r="A3">
        <v>2022</v>
      </c>
      <c r="B3" t="s">
        <v>4</v>
      </c>
      <c r="C3" t="s">
        <v>5</v>
      </c>
      <c r="D3">
        <v>65962708</v>
      </c>
    </row>
    <row r="4" spans="1:4" x14ac:dyDescent="0.25">
      <c r="A4">
        <v>2022</v>
      </c>
      <c r="B4" t="s">
        <v>4</v>
      </c>
      <c r="C4" t="s">
        <v>5</v>
      </c>
      <c r="D4">
        <v>216880783</v>
      </c>
    </row>
    <row r="5" spans="1:4" x14ac:dyDescent="0.25">
      <c r="A5">
        <v>2022</v>
      </c>
      <c r="B5" t="s">
        <v>4</v>
      </c>
      <c r="C5" t="s">
        <v>5</v>
      </c>
      <c r="D5">
        <v>21176242</v>
      </c>
    </row>
    <row r="6" spans="1:4" x14ac:dyDescent="0.25">
      <c r="A6">
        <v>2022</v>
      </c>
      <c r="B6" t="s">
        <v>4</v>
      </c>
      <c r="C6" t="s">
        <v>5</v>
      </c>
      <c r="D6">
        <v>27140714</v>
      </c>
    </row>
    <row r="7" spans="1:4" x14ac:dyDescent="0.25">
      <c r="A7">
        <v>2022</v>
      </c>
      <c r="B7" t="s">
        <v>4</v>
      </c>
      <c r="C7" t="s">
        <v>5</v>
      </c>
      <c r="D7">
        <v>30468316</v>
      </c>
    </row>
    <row r="8" spans="1:4" x14ac:dyDescent="0.25">
      <c r="A8">
        <v>2022</v>
      </c>
      <c r="B8" t="s">
        <v>4</v>
      </c>
      <c r="C8" t="s">
        <v>5</v>
      </c>
      <c r="D8">
        <v>588048</v>
      </c>
    </row>
    <row r="9" spans="1:4" x14ac:dyDescent="0.25">
      <c r="A9">
        <v>2022</v>
      </c>
      <c r="B9" t="s">
        <v>4</v>
      </c>
      <c r="C9" t="s">
        <v>6</v>
      </c>
      <c r="D9">
        <v>122382000</v>
      </c>
    </row>
    <row r="10" spans="1:4" x14ac:dyDescent="0.25">
      <c r="A10">
        <v>2022</v>
      </c>
      <c r="B10" t="s">
        <v>4</v>
      </c>
      <c r="C10" t="s">
        <v>7</v>
      </c>
      <c r="D10">
        <v>200000000</v>
      </c>
    </row>
    <row r="11" spans="1:4" x14ac:dyDescent="0.25">
      <c r="A11">
        <v>2022</v>
      </c>
      <c r="B11" t="s">
        <v>4</v>
      </c>
      <c r="C11" t="s">
        <v>8</v>
      </c>
      <c r="D11">
        <v>584500000</v>
      </c>
    </row>
    <row r="12" spans="1:4" x14ac:dyDescent="0.25">
      <c r="A12">
        <v>2022</v>
      </c>
      <c r="B12" t="s">
        <v>4</v>
      </c>
      <c r="C12" t="s">
        <v>8</v>
      </c>
      <c r="D12">
        <v>11623000</v>
      </c>
    </row>
    <row r="13" spans="1:4" x14ac:dyDescent="0.25">
      <c r="A13">
        <v>2022</v>
      </c>
      <c r="B13" t="s">
        <v>9</v>
      </c>
      <c r="C13" t="s">
        <v>5</v>
      </c>
      <c r="D13">
        <v>200000</v>
      </c>
    </row>
    <row r="14" spans="1:4" x14ac:dyDescent="0.25">
      <c r="A14">
        <v>2022</v>
      </c>
      <c r="B14" t="s">
        <v>9</v>
      </c>
      <c r="C14" t="s">
        <v>5</v>
      </c>
      <c r="D14">
        <v>125266408</v>
      </c>
    </row>
    <row r="15" spans="1:4" x14ac:dyDescent="0.25">
      <c r="A15">
        <v>2022</v>
      </c>
      <c r="B15" t="s">
        <v>9</v>
      </c>
      <c r="C15" t="s">
        <v>5</v>
      </c>
      <c r="D15">
        <v>25880868</v>
      </c>
    </row>
    <row r="16" spans="1:4" x14ac:dyDescent="0.25">
      <c r="A16">
        <v>2022</v>
      </c>
      <c r="B16" t="s">
        <v>9</v>
      </c>
      <c r="C16" t="s">
        <v>5</v>
      </c>
      <c r="D16">
        <v>5027784</v>
      </c>
    </row>
    <row r="17" spans="1:4" x14ac:dyDescent="0.25">
      <c r="A17">
        <v>2022</v>
      </c>
      <c r="B17" t="s">
        <v>9</v>
      </c>
      <c r="C17" t="s">
        <v>5</v>
      </c>
      <c r="D17">
        <v>1556340</v>
      </c>
    </row>
    <row r="18" spans="1:4" x14ac:dyDescent="0.25">
      <c r="A18">
        <v>2022</v>
      </c>
      <c r="B18" t="s">
        <v>9</v>
      </c>
      <c r="C18" t="s">
        <v>5</v>
      </c>
      <c r="D18">
        <v>9459276</v>
      </c>
    </row>
    <row r="19" spans="1:4" x14ac:dyDescent="0.25">
      <c r="A19">
        <v>2022</v>
      </c>
      <c r="B19" t="s">
        <v>9</v>
      </c>
      <c r="C19" t="s">
        <v>5</v>
      </c>
      <c r="D19">
        <v>8863416</v>
      </c>
    </row>
    <row r="20" spans="1:4" x14ac:dyDescent="0.25">
      <c r="A20">
        <v>2022</v>
      </c>
      <c r="B20" t="s">
        <v>9</v>
      </c>
      <c r="C20" t="s">
        <v>5</v>
      </c>
      <c r="D20">
        <v>7926180</v>
      </c>
    </row>
    <row r="21" spans="1:4" x14ac:dyDescent="0.25">
      <c r="A21">
        <v>2022</v>
      </c>
      <c r="B21" t="s">
        <v>9</v>
      </c>
      <c r="C21" t="s">
        <v>5</v>
      </c>
      <c r="D21">
        <v>2344608</v>
      </c>
    </row>
    <row r="22" spans="1:4" x14ac:dyDescent="0.25">
      <c r="A22">
        <v>2022</v>
      </c>
      <c r="B22" t="s">
        <v>9</v>
      </c>
      <c r="C22" t="s">
        <v>5</v>
      </c>
      <c r="D22">
        <v>789780</v>
      </c>
    </row>
    <row r="23" spans="1:4" x14ac:dyDescent="0.25">
      <c r="A23">
        <v>2022</v>
      </c>
      <c r="B23" t="s">
        <v>9</v>
      </c>
      <c r="C23" t="s">
        <v>5</v>
      </c>
      <c r="D23">
        <v>793920</v>
      </c>
    </row>
    <row r="24" spans="1:4" x14ac:dyDescent="0.25">
      <c r="A24">
        <v>2022</v>
      </c>
      <c r="B24" t="s">
        <v>9</v>
      </c>
      <c r="C24" t="s">
        <v>5</v>
      </c>
      <c r="D24">
        <v>789780</v>
      </c>
    </row>
    <row r="25" spans="1:4" x14ac:dyDescent="0.25">
      <c r="A25">
        <v>2022</v>
      </c>
      <c r="B25" t="s">
        <v>9</v>
      </c>
      <c r="C25" t="s">
        <v>5</v>
      </c>
      <c r="D25">
        <v>789780</v>
      </c>
    </row>
    <row r="26" spans="1:4" x14ac:dyDescent="0.25">
      <c r="A26">
        <v>2022</v>
      </c>
      <c r="B26" t="s">
        <v>9</v>
      </c>
      <c r="C26" t="s">
        <v>5</v>
      </c>
      <c r="D26">
        <v>789780</v>
      </c>
    </row>
    <row r="27" spans="1:4" x14ac:dyDescent="0.25">
      <c r="A27">
        <v>2022</v>
      </c>
      <c r="B27" t="s">
        <v>9</v>
      </c>
      <c r="C27" t="s">
        <v>5</v>
      </c>
      <c r="D27">
        <v>769080</v>
      </c>
    </row>
    <row r="28" spans="1:4" x14ac:dyDescent="0.25">
      <c r="A28">
        <v>2022</v>
      </c>
      <c r="B28" t="s">
        <v>9</v>
      </c>
      <c r="C28" t="s">
        <v>6</v>
      </c>
      <c r="D28">
        <v>111828000</v>
      </c>
    </row>
    <row r="29" spans="1:4" x14ac:dyDescent="0.25">
      <c r="A29">
        <v>2022</v>
      </c>
      <c r="B29" t="s">
        <v>9</v>
      </c>
      <c r="C29" t="s">
        <v>7</v>
      </c>
      <c r="D29">
        <v>4550000</v>
      </c>
    </row>
    <row r="30" spans="1:4" x14ac:dyDescent="0.25">
      <c r="A30">
        <v>2022</v>
      </c>
      <c r="B30" t="s">
        <v>9</v>
      </c>
      <c r="C30" t="s">
        <v>8</v>
      </c>
      <c r="D30">
        <v>5250000</v>
      </c>
    </row>
    <row r="31" spans="1:4" x14ac:dyDescent="0.25">
      <c r="A31">
        <v>2022</v>
      </c>
      <c r="B31" t="s">
        <v>10</v>
      </c>
      <c r="C31" t="s">
        <v>5</v>
      </c>
      <c r="D31">
        <v>5051412</v>
      </c>
    </row>
    <row r="32" spans="1:4" x14ac:dyDescent="0.25">
      <c r="A32">
        <v>2022</v>
      </c>
      <c r="B32" t="s">
        <v>10</v>
      </c>
      <c r="C32" t="s">
        <v>5</v>
      </c>
      <c r="D32">
        <v>1244293408</v>
      </c>
    </row>
    <row r="33" spans="1:4" x14ac:dyDescent="0.25">
      <c r="A33">
        <v>2022</v>
      </c>
      <c r="B33" t="s">
        <v>10</v>
      </c>
      <c r="C33" t="s">
        <v>5</v>
      </c>
      <c r="D33">
        <v>7258740</v>
      </c>
    </row>
    <row r="34" spans="1:4" x14ac:dyDescent="0.25">
      <c r="A34">
        <v>2022</v>
      </c>
      <c r="B34" t="s">
        <v>10</v>
      </c>
      <c r="C34" t="s">
        <v>5</v>
      </c>
      <c r="D34">
        <v>3140800</v>
      </c>
    </row>
    <row r="35" spans="1:4" x14ac:dyDescent="0.25">
      <c r="A35">
        <v>2022</v>
      </c>
      <c r="B35" t="s">
        <v>10</v>
      </c>
      <c r="C35" t="s">
        <v>5</v>
      </c>
      <c r="D35">
        <v>355992</v>
      </c>
    </row>
    <row r="36" spans="1:4" x14ac:dyDescent="0.25">
      <c r="A36">
        <v>2022</v>
      </c>
      <c r="B36" t="s">
        <v>10</v>
      </c>
      <c r="C36" t="s">
        <v>5</v>
      </c>
      <c r="D36">
        <v>688032</v>
      </c>
    </row>
    <row r="37" spans="1:4" x14ac:dyDescent="0.25">
      <c r="A37">
        <v>2022</v>
      </c>
      <c r="B37" t="s">
        <v>10</v>
      </c>
      <c r="C37" t="s">
        <v>5</v>
      </c>
      <c r="D37">
        <v>638616</v>
      </c>
    </row>
    <row r="38" spans="1:4" x14ac:dyDescent="0.25">
      <c r="A38">
        <v>2022</v>
      </c>
      <c r="B38" t="s">
        <v>10</v>
      </c>
      <c r="C38" t="s">
        <v>5</v>
      </c>
      <c r="D38">
        <v>30000</v>
      </c>
    </row>
    <row r="39" spans="1:4" x14ac:dyDescent="0.25">
      <c r="A39">
        <v>2022</v>
      </c>
      <c r="B39" t="s">
        <v>10</v>
      </c>
      <c r="C39" t="s">
        <v>5</v>
      </c>
      <c r="D39">
        <v>3071592</v>
      </c>
    </row>
    <row r="40" spans="1:4" x14ac:dyDescent="0.25">
      <c r="A40">
        <v>2022</v>
      </c>
      <c r="B40" t="s">
        <v>10</v>
      </c>
      <c r="C40" t="s">
        <v>5</v>
      </c>
      <c r="D40">
        <v>4987720</v>
      </c>
    </row>
    <row r="41" spans="1:4" x14ac:dyDescent="0.25">
      <c r="A41">
        <v>2022</v>
      </c>
      <c r="B41" t="s">
        <v>10</v>
      </c>
      <c r="C41" t="s">
        <v>5</v>
      </c>
      <c r="D41">
        <v>280000</v>
      </c>
    </row>
    <row r="42" spans="1:4" x14ac:dyDescent="0.25">
      <c r="A42">
        <v>2022</v>
      </c>
      <c r="B42" t="s">
        <v>10</v>
      </c>
      <c r="C42" t="s">
        <v>5</v>
      </c>
      <c r="D42">
        <v>660000</v>
      </c>
    </row>
    <row r="43" spans="1:4" x14ac:dyDescent="0.25">
      <c r="A43">
        <v>2022</v>
      </c>
      <c r="B43" t="s">
        <v>10</v>
      </c>
      <c r="C43" t="s">
        <v>5</v>
      </c>
      <c r="D43">
        <v>610000</v>
      </c>
    </row>
    <row r="44" spans="1:4" x14ac:dyDescent="0.25">
      <c r="A44">
        <v>2022</v>
      </c>
      <c r="B44" t="s">
        <v>10</v>
      </c>
      <c r="C44" t="s">
        <v>5</v>
      </c>
      <c r="D44">
        <v>1014436</v>
      </c>
    </row>
    <row r="45" spans="1:4" x14ac:dyDescent="0.25">
      <c r="A45">
        <v>2022</v>
      </c>
      <c r="B45" t="s">
        <v>10</v>
      </c>
      <c r="C45" t="s">
        <v>5</v>
      </c>
      <c r="D45">
        <v>3306448</v>
      </c>
    </row>
    <row r="46" spans="1:4" x14ac:dyDescent="0.25">
      <c r="A46">
        <v>2022</v>
      </c>
      <c r="B46" t="s">
        <v>10</v>
      </c>
      <c r="C46" t="s">
        <v>5</v>
      </c>
      <c r="D46">
        <v>1839776</v>
      </c>
    </row>
    <row r="47" spans="1:4" x14ac:dyDescent="0.25">
      <c r="A47">
        <v>2022</v>
      </c>
      <c r="B47" t="s">
        <v>10</v>
      </c>
      <c r="C47" t="s">
        <v>5</v>
      </c>
      <c r="D47">
        <v>810000</v>
      </c>
    </row>
    <row r="48" spans="1:4" x14ac:dyDescent="0.25">
      <c r="A48">
        <v>2022</v>
      </c>
      <c r="B48" t="s">
        <v>10</v>
      </c>
      <c r="C48" t="s">
        <v>5</v>
      </c>
      <c r="D48">
        <v>1332056</v>
      </c>
    </row>
    <row r="49" spans="1:4" x14ac:dyDescent="0.25">
      <c r="A49">
        <v>2022</v>
      </c>
      <c r="B49" t="s">
        <v>10</v>
      </c>
      <c r="C49" t="s">
        <v>5</v>
      </c>
      <c r="D49">
        <v>1021380</v>
      </c>
    </row>
    <row r="50" spans="1:4" x14ac:dyDescent="0.25">
      <c r="A50">
        <v>2022</v>
      </c>
      <c r="B50" t="s">
        <v>10</v>
      </c>
      <c r="C50" t="s">
        <v>5</v>
      </c>
      <c r="D50">
        <v>963492</v>
      </c>
    </row>
    <row r="51" spans="1:4" x14ac:dyDescent="0.25">
      <c r="A51">
        <v>2022</v>
      </c>
      <c r="B51" t="s">
        <v>10</v>
      </c>
      <c r="C51" t="s">
        <v>5</v>
      </c>
      <c r="D51">
        <v>1450684</v>
      </c>
    </row>
    <row r="52" spans="1:4" x14ac:dyDescent="0.25">
      <c r="A52">
        <v>2022</v>
      </c>
      <c r="B52" t="s">
        <v>10</v>
      </c>
      <c r="C52" t="s">
        <v>5</v>
      </c>
      <c r="D52">
        <v>2914212</v>
      </c>
    </row>
    <row r="53" spans="1:4" x14ac:dyDescent="0.25">
      <c r="A53">
        <v>2022</v>
      </c>
      <c r="B53" t="s">
        <v>10</v>
      </c>
      <c r="C53" t="s">
        <v>5</v>
      </c>
      <c r="D53">
        <v>1466244</v>
      </c>
    </row>
    <row r="54" spans="1:4" x14ac:dyDescent="0.25">
      <c r="A54">
        <v>2022</v>
      </c>
      <c r="B54" t="s">
        <v>10</v>
      </c>
      <c r="C54" t="s">
        <v>5</v>
      </c>
      <c r="D54">
        <v>1320000</v>
      </c>
    </row>
    <row r="55" spans="1:4" x14ac:dyDescent="0.25">
      <c r="A55">
        <v>2022</v>
      </c>
      <c r="B55" t="s">
        <v>10</v>
      </c>
      <c r="C55" t="s">
        <v>5</v>
      </c>
      <c r="D55">
        <v>4169504</v>
      </c>
    </row>
    <row r="56" spans="1:4" x14ac:dyDescent="0.25">
      <c r="A56">
        <v>2022</v>
      </c>
      <c r="B56" t="s">
        <v>10</v>
      </c>
      <c r="C56" t="s">
        <v>5</v>
      </c>
      <c r="D56">
        <v>1733772</v>
      </c>
    </row>
    <row r="57" spans="1:4" x14ac:dyDescent="0.25">
      <c r="A57">
        <v>2022</v>
      </c>
      <c r="B57" t="s">
        <v>10</v>
      </c>
      <c r="C57" t="s">
        <v>5</v>
      </c>
      <c r="D57">
        <v>3536104</v>
      </c>
    </row>
    <row r="58" spans="1:4" x14ac:dyDescent="0.25">
      <c r="A58">
        <v>2022</v>
      </c>
      <c r="B58" t="s">
        <v>10</v>
      </c>
      <c r="C58" t="s">
        <v>5</v>
      </c>
      <c r="D58">
        <v>2313316</v>
      </c>
    </row>
    <row r="59" spans="1:4" x14ac:dyDescent="0.25">
      <c r="A59">
        <v>2022</v>
      </c>
      <c r="B59" t="s">
        <v>10</v>
      </c>
      <c r="C59" t="s">
        <v>5</v>
      </c>
      <c r="D59">
        <v>3024920</v>
      </c>
    </row>
    <row r="60" spans="1:4" x14ac:dyDescent="0.25">
      <c r="A60">
        <v>2022</v>
      </c>
      <c r="B60" t="s">
        <v>10</v>
      </c>
      <c r="C60" t="s">
        <v>5</v>
      </c>
      <c r="D60">
        <v>442000</v>
      </c>
    </row>
    <row r="61" spans="1:4" x14ac:dyDescent="0.25">
      <c r="A61">
        <v>2022</v>
      </c>
      <c r="B61" t="s">
        <v>10</v>
      </c>
      <c r="C61" t="s">
        <v>5</v>
      </c>
      <c r="D61">
        <v>3131632</v>
      </c>
    </row>
    <row r="62" spans="1:4" x14ac:dyDescent="0.25">
      <c r="A62">
        <v>2022</v>
      </c>
      <c r="B62" t="s">
        <v>10</v>
      </c>
      <c r="C62" t="s">
        <v>5</v>
      </c>
      <c r="D62">
        <v>1028468</v>
      </c>
    </row>
    <row r="63" spans="1:4" x14ac:dyDescent="0.25">
      <c r="A63">
        <v>2022</v>
      </c>
      <c r="B63" t="s">
        <v>10</v>
      </c>
      <c r="C63" t="s">
        <v>5</v>
      </c>
      <c r="D63">
        <v>710000</v>
      </c>
    </row>
    <row r="64" spans="1:4" x14ac:dyDescent="0.25">
      <c r="A64">
        <v>2022</v>
      </c>
      <c r="B64" t="s">
        <v>10</v>
      </c>
      <c r="C64" t="s">
        <v>5</v>
      </c>
      <c r="D64">
        <v>3296800</v>
      </c>
    </row>
    <row r="65" spans="1:4" x14ac:dyDescent="0.25">
      <c r="A65">
        <v>2022</v>
      </c>
      <c r="B65" t="s">
        <v>10</v>
      </c>
      <c r="C65" t="s">
        <v>5</v>
      </c>
      <c r="D65">
        <v>2362860</v>
      </c>
    </row>
    <row r="66" spans="1:4" x14ac:dyDescent="0.25">
      <c r="A66">
        <v>2022</v>
      </c>
      <c r="B66" t="s">
        <v>10</v>
      </c>
      <c r="C66" t="s">
        <v>5</v>
      </c>
      <c r="D66">
        <v>2943896</v>
      </c>
    </row>
    <row r="67" spans="1:4" x14ac:dyDescent="0.25">
      <c r="A67">
        <v>2022</v>
      </c>
      <c r="B67" t="s">
        <v>10</v>
      </c>
      <c r="C67" t="s">
        <v>5</v>
      </c>
      <c r="D67">
        <v>4329636</v>
      </c>
    </row>
    <row r="68" spans="1:4" x14ac:dyDescent="0.25">
      <c r="A68">
        <v>2022</v>
      </c>
      <c r="B68" t="s">
        <v>10</v>
      </c>
      <c r="C68" t="s">
        <v>5</v>
      </c>
      <c r="D68">
        <v>2378052</v>
      </c>
    </row>
    <row r="69" spans="1:4" x14ac:dyDescent="0.25">
      <c r="A69">
        <v>2022</v>
      </c>
      <c r="B69" t="s">
        <v>10</v>
      </c>
      <c r="C69" t="s">
        <v>5</v>
      </c>
      <c r="D69">
        <v>395000</v>
      </c>
    </row>
    <row r="70" spans="1:4" x14ac:dyDescent="0.25">
      <c r="A70">
        <v>2022</v>
      </c>
      <c r="B70" t="s">
        <v>10</v>
      </c>
      <c r="C70" t="s">
        <v>5</v>
      </c>
      <c r="D70">
        <v>130000</v>
      </c>
    </row>
    <row r="71" spans="1:4" x14ac:dyDescent="0.25">
      <c r="A71">
        <v>2022</v>
      </c>
      <c r="B71" t="s">
        <v>10</v>
      </c>
      <c r="C71" t="s">
        <v>5</v>
      </c>
      <c r="D71">
        <v>2037412</v>
      </c>
    </row>
    <row r="72" spans="1:4" x14ac:dyDescent="0.25">
      <c r="A72">
        <v>2022</v>
      </c>
      <c r="B72" t="s">
        <v>10</v>
      </c>
      <c r="C72" t="s">
        <v>5</v>
      </c>
      <c r="D72">
        <v>1208332</v>
      </c>
    </row>
    <row r="73" spans="1:4" x14ac:dyDescent="0.25">
      <c r="A73">
        <v>2022</v>
      </c>
      <c r="B73" t="s">
        <v>10</v>
      </c>
      <c r="C73" t="s">
        <v>5</v>
      </c>
      <c r="D73">
        <v>1506676</v>
      </c>
    </row>
    <row r="74" spans="1:4" x14ac:dyDescent="0.25">
      <c r="A74">
        <v>2022</v>
      </c>
      <c r="B74" t="s">
        <v>10</v>
      </c>
      <c r="C74" t="s">
        <v>5</v>
      </c>
      <c r="D74">
        <v>1457824</v>
      </c>
    </row>
    <row r="75" spans="1:4" x14ac:dyDescent="0.25">
      <c r="A75">
        <v>2022</v>
      </c>
      <c r="B75" t="s">
        <v>10</v>
      </c>
      <c r="C75" t="s">
        <v>5</v>
      </c>
      <c r="D75">
        <v>485000</v>
      </c>
    </row>
    <row r="76" spans="1:4" x14ac:dyDescent="0.25">
      <c r="A76">
        <v>2022</v>
      </c>
      <c r="B76" t="s">
        <v>10</v>
      </c>
      <c r="C76" t="s">
        <v>5</v>
      </c>
      <c r="D76">
        <v>971300</v>
      </c>
    </row>
    <row r="77" spans="1:4" x14ac:dyDescent="0.25">
      <c r="A77">
        <v>2022</v>
      </c>
      <c r="B77" t="s">
        <v>10</v>
      </c>
      <c r="C77" t="s">
        <v>5</v>
      </c>
      <c r="D77">
        <v>605000</v>
      </c>
    </row>
    <row r="78" spans="1:4" x14ac:dyDescent="0.25">
      <c r="A78">
        <v>2022</v>
      </c>
      <c r="B78" t="s">
        <v>10</v>
      </c>
      <c r="C78" t="s">
        <v>5</v>
      </c>
      <c r="D78">
        <v>250000</v>
      </c>
    </row>
    <row r="79" spans="1:4" x14ac:dyDescent="0.25">
      <c r="A79">
        <v>2022</v>
      </c>
      <c r="B79" t="s">
        <v>10</v>
      </c>
      <c r="C79" t="s">
        <v>5</v>
      </c>
      <c r="D79">
        <v>310000</v>
      </c>
    </row>
    <row r="80" spans="1:4" x14ac:dyDescent="0.25">
      <c r="A80">
        <v>2022</v>
      </c>
      <c r="B80" t="s">
        <v>10</v>
      </c>
      <c r="C80" t="s">
        <v>5</v>
      </c>
      <c r="D80">
        <v>250000</v>
      </c>
    </row>
    <row r="81" spans="1:4" x14ac:dyDescent="0.25">
      <c r="A81">
        <v>2022</v>
      </c>
      <c r="B81" t="s">
        <v>10</v>
      </c>
      <c r="C81" t="s">
        <v>5</v>
      </c>
      <c r="D81">
        <v>310000</v>
      </c>
    </row>
    <row r="82" spans="1:4" x14ac:dyDescent="0.25">
      <c r="A82">
        <v>2022</v>
      </c>
      <c r="B82" t="s">
        <v>10</v>
      </c>
      <c r="C82" t="s">
        <v>5</v>
      </c>
      <c r="D82">
        <v>20000</v>
      </c>
    </row>
    <row r="83" spans="1:4" x14ac:dyDescent="0.25">
      <c r="A83">
        <v>2022</v>
      </c>
      <c r="B83" t="s">
        <v>10</v>
      </c>
      <c r="C83" t="s">
        <v>5</v>
      </c>
      <c r="D83">
        <v>20000</v>
      </c>
    </row>
    <row r="84" spans="1:4" x14ac:dyDescent="0.25">
      <c r="A84">
        <v>2022</v>
      </c>
      <c r="B84" t="s">
        <v>10</v>
      </c>
      <c r="C84" t="s">
        <v>5</v>
      </c>
      <c r="D84">
        <v>3999000</v>
      </c>
    </row>
    <row r="85" spans="1:4" x14ac:dyDescent="0.25">
      <c r="A85">
        <v>2022</v>
      </c>
      <c r="B85" t="s">
        <v>10</v>
      </c>
      <c r="C85" t="s">
        <v>5</v>
      </c>
      <c r="D85">
        <v>2700000</v>
      </c>
    </row>
    <row r="86" spans="1:4" x14ac:dyDescent="0.25">
      <c r="A86">
        <v>2022</v>
      </c>
      <c r="B86" t="s">
        <v>10</v>
      </c>
      <c r="C86" t="s">
        <v>5</v>
      </c>
      <c r="D86">
        <v>1765524</v>
      </c>
    </row>
    <row r="87" spans="1:4" x14ac:dyDescent="0.25">
      <c r="A87">
        <v>2022</v>
      </c>
      <c r="B87" t="s">
        <v>10</v>
      </c>
      <c r="C87" t="s">
        <v>5</v>
      </c>
      <c r="D87">
        <v>625000</v>
      </c>
    </row>
    <row r="88" spans="1:4" x14ac:dyDescent="0.25">
      <c r="A88">
        <v>2022</v>
      </c>
      <c r="B88" t="s">
        <v>10</v>
      </c>
      <c r="C88" t="s">
        <v>5</v>
      </c>
      <c r="D88">
        <v>1407828</v>
      </c>
    </row>
    <row r="89" spans="1:4" x14ac:dyDescent="0.25">
      <c r="A89">
        <v>2022</v>
      </c>
      <c r="B89" t="s">
        <v>10</v>
      </c>
      <c r="C89" t="s">
        <v>5</v>
      </c>
      <c r="D89">
        <v>812100</v>
      </c>
    </row>
    <row r="90" spans="1:4" x14ac:dyDescent="0.25">
      <c r="A90">
        <v>2022</v>
      </c>
      <c r="B90" t="s">
        <v>10</v>
      </c>
      <c r="C90" t="s">
        <v>5</v>
      </c>
      <c r="D90">
        <v>2392012</v>
      </c>
    </row>
    <row r="91" spans="1:4" x14ac:dyDescent="0.25">
      <c r="A91">
        <v>2022</v>
      </c>
      <c r="B91" t="s">
        <v>10</v>
      </c>
      <c r="C91" t="s">
        <v>5</v>
      </c>
      <c r="D91">
        <v>1059020</v>
      </c>
    </row>
    <row r="92" spans="1:4" x14ac:dyDescent="0.25">
      <c r="A92">
        <v>2022</v>
      </c>
      <c r="B92" t="s">
        <v>10</v>
      </c>
      <c r="C92" t="s">
        <v>5</v>
      </c>
      <c r="D92">
        <v>1911668</v>
      </c>
    </row>
    <row r="93" spans="1:4" x14ac:dyDescent="0.25">
      <c r="A93">
        <v>2022</v>
      </c>
      <c r="B93" t="s">
        <v>10</v>
      </c>
      <c r="C93" t="s">
        <v>5</v>
      </c>
      <c r="D93">
        <v>70000</v>
      </c>
    </row>
    <row r="94" spans="1:4" x14ac:dyDescent="0.25">
      <c r="A94">
        <v>2022</v>
      </c>
      <c r="B94" t="s">
        <v>10</v>
      </c>
      <c r="C94" t="s">
        <v>5</v>
      </c>
      <c r="D94">
        <v>185000</v>
      </c>
    </row>
    <row r="95" spans="1:4" x14ac:dyDescent="0.25">
      <c r="A95">
        <v>2022</v>
      </c>
      <c r="B95" t="s">
        <v>10</v>
      </c>
      <c r="C95" t="s">
        <v>5</v>
      </c>
      <c r="D95">
        <v>2391344</v>
      </c>
    </row>
    <row r="96" spans="1:4" x14ac:dyDescent="0.25">
      <c r="A96">
        <v>2022</v>
      </c>
      <c r="B96" t="s">
        <v>10</v>
      </c>
      <c r="C96" t="s">
        <v>5</v>
      </c>
      <c r="D96">
        <v>1234308</v>
      </c>
    </row>
    <row r="97" spans="1:4" x14ac:dyDescent="0.25">
      <c r="A97">
        <v>2022</v>
      </c>
      <c r="B97" t="s">
        <v>10</v>
      </c>
      <c r="C97" t="s">
        <v>5</v>
      </c>
      <c r="D97">
        <v>1227816</v>
      </c>
    </row>
    <row r="98" spans="1:4" x14ac:dyDescent="0.25">
      <c r="A98">
        <v>2022</v>
      </c>
      <c r="B98" t="s">
        <v>10</v>
      </c>
      <c r="C98" t="s">
        <v>5</v>
      </c>
      <c r="D98">
        <v>753900</v>
      </c>
    </row>
    <row r="99" spans="1:4" x14ac:dyDescent="0.25">
      <c r="A99">
        <v>2022</v>
      </c>
      <c r="B99" t="s">
        <v>10</v>
      </c>
      <c r="C99" t="s">
        <v>5</v>
      </c>
      <c r="D99">
        <v>1405948</v>
      </c>
    </row>
    <row r="100" spans="1:4" x14ac:dyDescent="0.25">
      <c r="A100">
        <v>2022</v>
      </c>
      <c r="B100" t="s">
        <v>10</v>
      </c>
      <c r="C100" t="s">
        <v>5</v>
      </c>
      <c r="D100">
        <v>1391872</v>
      </c>
    </row>
    <row r="101" spans="1:4" x14ac:dyDescent="0.25">
      <c r="A101">
        <v>2022</v>
      </c>
      <c r="B101" t="s">
        <v>10</v>
      </c>
      <c r="C101" t="s">
        <v>5</v>
      </c>
      <c r="D101">
        <v>3942208</v>
      </c>
    </row>
    <row r="102" spans="1:4" x14ac:dyDescent="0.25">
      <c r="A102">
        <v>2022</v>
      </c>
      <c r="B102" t="s">
        <v>10</v>
      </c>
      <c r="C102" t="s">
        <v>5</v>
      </c>
      <c r="D102">
        <v>315000</v>
      </c>
    </row>
    <row r="103" spans="1:4" x14ac:dyDescent="0.25">
      <c r="A103">
        <v>2022</v>
      </c>
      <c r="B103" t="s">
        <v>10</v>
      </c>
      <c r="C103" t="s">
        <v>5</v>
      </c>
      <c r="D103">
        <v>507000</v>
      </c>
    </row>
    <row r="104" spans="1:4" x14ac:dyDescent="0.25">
      <c r="A104">
        <v>2022</v>
      </c>
      <c r="B104" t="s">
        <v>10</v>
      </c>
      <c r="C104" t="s">
        <v>5</v>
      </c>
      <c r="D104">
        <v>310000</v>
      </c>
    </row>
    <row r="105" spans="1:4" x14ac:dyDescent="0.25">
      <c r="A105">
        <v>2022</v>
      </c>
      <c r="B105" t="s">
        <v>10</v>
      </c>
      <c r="C105" t="s">
        <v>5</v>
      </c>
      <c r="D105">
        <v>20000</v>
      </c>
    </row>
    <row r="106" spans="1:4" x14ac:dyDescent="0.25">
      <c r="A106">
        <v>2022</v>
      </c>
      <c r="B106" t="s">
        <v>10</v>
      </c>
      <c r="C106" t="s">
        <v>5</v>
      </c>
      <c r="D106">
        <v>310000</v>
      </c>
    </row>
    <row r="107" spans="1:4" x14ac:dyDescent="0.25">
      <c r="A107">
        <v>2022</v>
      </c>
      <c r="B107" t="s">
        <v>10</v>
      </c>
      <c r="C107" t="s">
        <v>5</v>
      </c>
      <c r="D107">
        <v>180000</v>
      </c>
    </row>
    <row r="108" spans="1:4" x14ac:dyDescent="0.25">
      <c r="A108">
        <v>2022</v>
      </c>
      <c r="B108" t="s">
        <v>10</v>
      </c>
      <c r="C108" t="s">
        <v>5</v>
      </c>
      <c r="D108">
        <v>70000</v>
      </c>
    </row>
    <row r="109" spans="1:4" x14ac:dyDescent="0.25">
      <c r="A109">
        <v>2022</v>
      </c>
      <c r="B109" t="s">
        <v>10</v>
      </c>
      <c r="C109" t="s">
        <v>5</v>
      </c>
      <c r="D109">
        <v>20000</v>
      </c>
    </row>
    <row r="110" spans="1:4" x14ac:dyDescent="0.25">
      <c r="A110">
        <v>2022</v>
      </c>
      <c r="B110" t="s">
        <v>10</v>
      </c>
      <c r="C110" t="s">
        <v>5</v>
      </c>
      <c r="D110">
        <v>30000</v>
      </c>
    </row>
    <row r="111" spans="1:4" x14ac:dyDescent="0.25">
      <c r="A111">
        <v>2022</v>
      </c>
      <c r="B111" t="s">
        <v>10</v>
      </c>
      <c r="C111" t="s">
        <v>5</v>
      </c>
      <c r="D111">
        <v>5000</v>
      </c>
    </row>
    <row r="112" spans="1:4" x14ac:dyDescent="0.25">
      <c r="A112">
        <v>2022</v>
      </c>
      <c r="B112" t="s">
        <v>10</v>
      </c>
      <c r="C112" t="s">
        <v>5</v>
      </c>
      <c r="D112">
        <v>1300000</v>
      </c>
    </row>
    <row r="113" spans="1:4" x14ac:dyDescent="0.25">
      <c r="A113">
        <v>2022</v>
      </c>
      <c r="B113" t="s">
        <v>10</v>
      </c>
      <c r="C113" t="s">
        <v>5</v>
      </c>
      <c r="D113">
        <v>50000</v>
      </c>
    </row>
    <row r="114" spans="1:4" x14ac:dyDescent="0.25">
      <c r="A114">
        <v>2022</v>
      </c>
      <c r="B114" t="s">
        <v>10</v>
      </c>
      <c r="C114" t="s">
        <v>5</v>
      </c>
      <c r="D114">
        <v>2250000</v>
      </c>
    </row>
    <row r="115" spans="1:4" x14ac:dyDescent="0.25">
      <c r="A115">
        <v>2022</v>
      </c>
      <c r="B115" t="s">
        <v>10</v>
      </c>
      <c r="C115" t="s">
        <v>5</v>
      </c>
      <c r="D115">
        <v>2890000</v>
      </c>
    </row>
    <row r="116" spans="1:4" x14ac:dyDescent="0.25">
      <c r="A116">
        <v>2022</v>
      </c>
      <c r="B116" t="s">
        <v>10</v>
      </c>
      <c r="C116" t="s">
        <v>5</v>
      </c>
      <c r="D116">
        <v>714024</v>
      </c>
    </row>
    <row r="117" spans="1:4" x14ac:dyDescent="0.25">
      <c r="A117">
        <v>2022</v>
      </c>
      <c r="B117" t="s">
        <v>10</v>
      </c>
      <c r="C117" t="s">
        <v>5</v>
      </c>
      <c r="D117">
        <v>2492252</v>
      </c>
    </row>
    <row r="118" spans="1:4" x14ac:dyDescent="0.25">
      <c r="A118">
        <v>2022</v>
      </c>
      <c r="B118" t="s">
        <v>10</v>
      </c>
      <c r="C118" t="s">
        <v>5</v>
      </c>
      <c r="D118">
        <v>633016</v>
      </c>
    </row>
    <row r="119" spans="1:4" x14ac:dyDescent="0.25">
      <c r="A119">
        <v>2022</v>
      </c>
      <c r="B119" t="s">
        <v>10</v>
      </c>
      <c r="C119" t="s">
        <v>5</v>
      </c>
      <c r="D119">
        <v>445000</v>
      </c>
    </row>
    <row r="120" spans="1:4" x14ac:dyDescent="0.25">
      <c r="A120">
        <v>2022</v>
      </c>
      <c r="B120" t="s">
        <v>10</v>
      </c>
      <c r="C120" t="s">
        <v>5</v>
      </c>
      <c r="D120">
        <v>4593780</v>
      </c>
    </row>
    <row r="121" spans="1:4" x14ac:dyDescent="0.25">
      <c r="A121">
        <v>2022</v>
      </c>
      <c r="B121" t="s">
        <v>10</v>
      </c>
      <c r="C121" t="s">
        <v>5</v>
      </c>
      <c r="D121">
        <v>2148920</v>
      </c>
    </row>
    <row r="122" spans="1:4" x14ac:dyDescent="0.25">
      <c r="A122">
        <v>2022</v>
      </c>
      <c r="B122" t="s">
        <v>10</v>
      </c>
      <c r="C122" t="s">
        <v>5</v>
      </c>
      <c r="D122">
        <v>2336424</v>
      </c>
    </row>
    <row r="123" spans="1:4" x14ac:dyDescent="0.25">
      <c r="A123">
        <v>2022</v>
      </c>
      <c r="B123" t="s">
        <v>10</v>
      </c>
      <c r="C123" t="s">
        <v>5</v>
      </c>
      <c r="D123">
        <v>1856544</v>
      </c>
    </row>
    <row r="124" spans="1:4" x14ac:dyDescent="0.25">
      <c r="A124">
        <v>2022</v>
      </c>
      <c r="B124" t="s">
        <v>10</v>
      </c>
      <c r="C124" t="s">
        <v>5</v>
      </c>
      <c r="D124">
        <v>404000</v>
      </c>
    </row>
    <row r="125" spans="1:4" x14ac:dyDescent="0.25">
      <c r="A125">
        <v>2022</v>
      </c>
      <c r="B125" t="s">
        <v>10</v>
      </c>
      <c r="C125" t="s">
        <v>5</v>
      </c>
      <c r="D125">
        <v>1158004</v>
      </c>
    </row>
    <row r="126" spans="1:4" x14ac:dyDescent="0.25">
      <c r="A126">
        <v>2022</v>
      </c>
      <c r="B126" t="s">
        <v>10</v>
      </c>
      <c r="C126" t="s">
        <v>5</v>
      </c>
      <c r="D126">
        <v>2617444</v>
      </c>
    </row>
    <row r="127" spans="1:4" x14ac:dyDescent="0.25">
      <c r="A127">
        <v>2022</v>
      </c>
      <c r="B127" t="s">
        <v>10</v>
      </c>
      <c r="C127" t="s">
        <v>5</v>
      </c>
      <c r="D127">
        <v>360000</v>
      </c>
    </row>
    <row r="128" spans="1:4" x14ac:dyDescent="0.25">
      <c r="A128">
        <v>2022</v>
      </c>
      <c r="B128" t="s">
        <v>10</v>
      </c>
      <c r="C128" t="s">
        <v>5</v>
      </c>
      <c r="D128">
        <v>20000</v>
      </c>
    </row>
    <row r="129" spans="1:4" x14ac:dyDescent="0.25">
      <c r="A129">
        <v>2022</v>
      </c>
      <c r="B129" t="s">
        <v>10</v>
      </c>
      <c r="C129" t="s">
        <v>5</v>
      </c>
      <c r="D129">
        <v>4428876</v>
      </c>
    </row>
    <row r="130" spans="1:4" x14ac:dyDescent="0.25">
      <c r="A130">
        <v>2022</v>
      </c>
      <c r="B130" t="s">
        <v>10</v>
      </c>
      <c r="C130" t="s">
        <v>5</v>
      </c>
      <c r="D130">
        <v>785000</v>
      </c>
    </row>
    <row r="131" spans="1:4" x14ac:dyDescent="0.25">
      <c r="A131">
        <v>2022</v>
      </c>
      <c r="B131" t="s">
        <v>10</v>
      </c>
      <c r="C131" t="s">
        <v>5</v>
      </c>
      <c r="D131">
        <v>595000</v>
      </c>
    </row>
    <row r="132" spans="1:4" x14ac:dyDescent="0.25">
      <c r="A132">
        <v>2022</v>
      </c>
      <c r="B132" t="s">
        <v>10</v>
      </c>
      <c r="C132" t="s">
        <v>5</v>
      </c>
      <c r="D132">
        <v>1126012</v>
      </c>
    </row>
    <row r="133" spans="1:4" x14ac:dyDescent="0.25">
      <c r="A133">
        <v>2022</v>
      </c>
      <c r="B133" t="s">
        <v>10</v>
      </c>
      <c r="C133" t="s">
        <v>5</v>
      </c>
      <c r="D133">
        <v>1671088</v>
      </c>
    </row>
    <row r="134" spans="1:4" x14ac:dyDescent="0.25">
      <c r="A134">
        <v>2022</v>
      </c>
      <c r="B134" t="s">
        <v>10</v>
      </c>
      <c r="C134" t="s">
        <v>5</v>
      </c>
      <c r="D134">
        <v>140000</v>
      </c>
    </row>
    <row r="135" spans="1:4" x14ac:dyDescent="0.25">
      <c r="A135">
        <v>2022</v>
      </c>
      <c r="B135" t="s">
        <v>10</v>
      </c>
      <c r="C135" t="s">
        <v>5</v>
      </c>
      <c r="D135">
        <v>1710212</v>
      </c>
    </row>
    <row r="136" spans="1:4" x14ac:dyDescent="0.25">
      <c r="A136">
        <v>2022</v>
      </c>
      <c r="B136" t="s">
        <v>10</v>
      </c>
      <c r="C136" t="s">
        <v>5</v>
      </c>
      <c r="D136">
        <v>1332272</v>
      </c>
    </row>
    <row r="137" spans="1:4" x14ac:dyDescent="0.25">
      <c r="A137">
        <v>2022</v>
      </c>
      <c r="B137" t="s">
        <v>10</v>
      </c>
      <c r="C137" t="s">
        <v>5</v>
      </c>
      <c r="D137">
        <v>940000</v>
      </c>
    </row>
    <row r="138" spans="1:4" x14ac:dyDescent="0.25">
      <c r="A138">
        <v>2022</v>
      </c>
      <c r="B138" t="s">
        <v>10</v>
      </c>
      <c r="C138" t="s">
        <v>5</v>
      </c>
      <c r="D138">
        <v>3098440</v>
      </c>
    </row>
    <row r="139" spans="1:4" x14ac:dyDescent="0.25">
      <c r="A139">
        <v>2022</v>
      </c>
      <c r="B139" t="s">
        <v>10</v>
      </c>
      <c r="C139" t="s">
        <v>5</v>
      </c>
      <c r="D139">
        <v>135000</v>
      </c>
    </row>
    <row r="140" spans="1:4" x14ac:dyDescent="0.25">
      <c r="A140">
        <v>2022</v>
      </c>
      <c r="B140" t="s">
        <v>10</v>
      </c>
      <c r="C140" t="s">
        <v>5</v>
      </c>
      <c r="D140">
        <v>2262432</v>
      </c>
    </row>
    <row r="141" spans="1:4" x14ac:dyDescent="0.25">
      <c r="A141">
        <v>2022</v>
      </c>
      <c r="B141" t="s">
        <v>10</v>
      </c>
      <c r="C141" t="s">
        <v>5</v>
      </c>
      <c r="D141">
        <v>240000</v>
      </c>
    </row>
    <row r="142" spans="1:4" x14ac:dyDescent="0.25">
      <c r="A142">
        <v>2022</v>
      </c>
      <c r="B142" t="s">
        <v>10</v>
      </c>
      <c r="C142" t="s">
        <v>5</v>
      </c>
      <c r="D142">
        <v>661136</v>
      </c>
    </row>
    <row r="143" spans="1:4" x14ac:dyDescent="0.25">
      <c r="A143">
        <v>2022</v>
      </c>
      <c r="B143" t="s">
        <v>10</v>
      </c>
      <c r="C143" t="s">
        <v>5</v>
      </c>
      <c r="D143">
        <v>410000</v>
      </c>
    </row>
    <row r="144" spans="1:4" x14ac:dyDescent="0.25">
      <c r="A144">
        <v>2022</v>
      </c>
      <c r="B144" t="s">
        <v>10</v>
      </c>
      <c r="C144" t="s">
        <v>5</v>
      </c>
      <c r="D144">
        <v>190000</v>
      </c>
    </row>
    <row r="145" spans="1:4" x14ac:dyDescent="0.25">
      <c r="A145">
        <v>2022</v>
      </c>
      <c r="B145" t="s">
        <v>10</v>
      </c>
      <c r="C145" t="s">
        <v>5</v>
      </c>
      <c r="D145">
        <v>570000</v>
      </c>
    </row>
    <row r="146" spans="1:4" x14ac:dyDescent="0.25">
      <c r="A146">
        <v>2022</v>
      </c>
      <c r="B146" t="s">
        <v>10</v>
      </c>
      <c r="C146" t="s">
        <v>5</v>
      </c>
      <c r="D146">
        <v>640000</v>
      </c>
    </row>
    <row r="147" spans="1:4" x14ac:dyDescent="0.25">
      <c r="A147">
        <v>2022</v>
      </c>
      <c r="B147" t="s">
        <v>10</v>
      </c>
      <c r="C147" t="s">
        <v>5</v>
      </c>
      <c r="D147">
        <v>550000</v>
      </c>
    </row>
    <row r="148" spans="1:4" x14ac:dyDescent="0.25">
      <c r="A148">
        <v>2022</v>
      </c>
      <c r="B148" t="s">
        <v>10</v>
      </c>
      <c r="C148" t="s">
        <v>5</v>
      </c>
      <c r="D148">
        <v>490000</v>
      </c>
    </row>
    <row r="149" spans="1:4" x14ac:dyDescent="0.25">
      <c r="A149">
        <v>2022</v>
      </c>
      <c r="B149" t="s">
        <v>10</v>
      </c>
      <c r="C149" t="s">
        <v>5</v>
      </c>
      <c r="D149">
        <v>380000</v>
      </c>
    </row>
    <row r="150" spans="1:4" x14ac:dyDescent="0.25">
      <c r="A150">
        <v>2022</v>
      </c>
      <c r="B150" t="s">
        <v>10</v>
      </c>
      <c r="C150" t="s">
        <v>5</v>
      </c>
      <c r="D150">
        <v>420000</v>
      </c>
    </row>
    <row r="151" spans="1:4" x14ac:dyDescent="0.25">
      <c r="A151">
        <v>2022</v>
      </c>
      <c r="B151" t="s">
        <v>10</v>
      </c>
      <c r="C151" t="s">
        <v>5</v>
      </c>
      <c r="D151">
        <v>895916</v>
      </c>
    </row>
    <row r="152" spans="1:4" x14ac:dyDescent="0.25">
      <c r="A152">
        <v>2022</v>
      </c>
      <c r="B152" t="s">
        <v>10</v>
      </c>
      <c r="C152" t="s">
        <v>5</v>
      </c>
      <c r="D152">
        <v>1608524</v>
      </c>
    </row>
    <row r="153" spans="1:4" x14ac:dyDescent="0.25">
      <c r="A153">
        <v>2022</v>
      </c>
      <c r="B153" t="s">
        <v>10</v>
      </c>
      <c r="C153" t="s">
        <v>5</v>
      </c>
      <c r="D153">
        <v>11611640</v>
      </c>
    </row>
    <row r="154" spans="1:4" x14ac:dyDescent="0.25">
      <c r="A154">
        <v>2022</v>
      </c>
      <c r="B154" t="s">
        <v>10</v>
      </c>
      <c r="C154" t="s">
        <v>5</v>
      </c>
      <c r="D154">
        <v>16855632</v>
      </c>
    </row>
    <row r="155" spans="1:4" x14ac:dyDescent="0.25">
      <c r="A155">
        <v>2022</v>
      </c>
      <c r="B155" t="s">
        <v>10</v>
      </c>
      <c r="C155" t="s">
        <v>5</v>
      </c>
      <c r="D155">
        <v>35000</v>
      </c>
    </row>
    <row r="156" spans="1:4" x14ac:dyDescent="0.25">
      <c r="A156">
        <v>2022</v>
      </c>
      <c r="B156" t="s">
        <v>10</v>
      </c>
      <c r="C156" t="s">
        <v>5</v>
      </c>
      <c r="D156">
        <v>325000</v>
      </c>
    </row>
    <row r="157" spans="1:4" x14ac:dyDescent="0.25">
      <c r="A157">
        <v>2022</v>
      </c>
      <c r="B157" t="s">
        <v>10</v>
      </c>
      <c r="C157" t="s">
        <v>5</v>
      </c>
      <c r="D157">
        <v>2350052</v>
      </c>
    </row>
    <row r="158" spans="1:4" x14ac:dyDescent="0.25">
      <c r="A158">
        <v>2022</v>
      </c>
      <c r="B158" t="s">
        <v>10</v>
      </c>
      <c r="C158" t="s">
        <v>5</v>
      </c>
      <c r="D158">
        <v>340000</v>
      </c>
    </row>
    <row r="159" spans="1:4" x14ac:dyDescent="0.25">
      <c r="A159">
        <v>2022</v>
      </c>
      <c r="B159" t="s">
        <v>10</v>
      </c>
      <c r="C159" t="s">
        <v>5</v>
      </c>
      <c r="D159">
        <v>881000</v>
      </c>
    </row>
    <row r="160" spans="1:4" x14ac:dyDescent="0.25">
      <c r="A160">
        <v>2022</v>
      </c>
      <c r="B160" t="s">
        <v>10</v>
      </c>
      <c r="C160" t="s">
        <v>5</v>
      </c>
      <c r="D160">
        <v>1435056</v>
      </c>
    </row>
    <row r="161" spans="1:4" x14ac:dyDescent="0.25">
      <c r="A161">
        <v>2022</v>
      </c>
      <c r="B161" t="s">
        <v>10</v>
      </c>
      <c r="C161" t="s">
        <v>5</v>
      </c>
      <c r="D161">
        <v>4055156</v>
      </c>
    </row>
    <row r="162" spans="1:4" x14ac:dyDescent="0.25">
      <c r="A162">
        <v>2022</v>
      </c>
      <c r="B162" t="s">
        <v>10</v>
      </c>
      <c r="C162" t="s">
        <v>5</v>
      </c>
      <c r="D162">
        <v>353000</v>
      </c>
    </row>
    <row r="163" spans="1:4" x14ac:dyDescent="0.25">
      <c r="A163">
        <v>2022</v>
      </c>
      <c r="B163" t="s">
        <v>10</v>
      </c>
      <c r="C163" t="s">
        <v>5</v>
      </c>
      <c r="D163">
        <v>1210056</v>
      </c>
    </row>
    <row r="164" spans="1:4" x14ac:dyDescent="0.25">
      <c r="A164">
        <v>2022</v>
      </c>
      <c r="B164" t="s">
        <v>10</v>
      </c>
      <c r="C164" t="s">
        <v>5</v>
      </c>
      <c r="D164">
        <v>335000</v>
      </c>
    </row>
    <row r="165" spans="1:4" x14ac:dyDescent="0.25">
      <c r="A165">
        <v>2022</v>
      </c>
      <c r="B165" t="s">
        <v>10</v>
      </c>
      <c r="C165" t="s">
        <v>5</v>
      </c>
      <c r="D165">
        <v>250000</v>
      </c>
    </row>
    <row r="166" spans="1:4" x14ac:dyDescent="0.25">
      <c r="A166">
        <v>2022</v>
      </c>
      <c r="B166" t="s">
        <v>10</v>
      </c>
      <c r="C166" t="s">
        <v>5</v>
      </c>
      <c r="D166">
        <v>360000</v>
      </c>
    </row>
    <row r="167" spans="1:4" x14ac:dyDescent="0.25">
      <c r="A167">
        <v>2022</v>
      </c>
      <c r="B167" t="s">
        <v>10</v>
      </c>
      <c r="C167" t="s">
        <v>5</v>
      </c>
      <c r="D167">
        <v>610000</v>
      </c>
    </row>
    <row r="168" spans="1:4" x14ac:dyDescent="0.25">
      <c r="A168">
        <v>2022</v>
      </c>
      <c r="B168" t="s">
        <v>10</v>
      </c>
      <c r="C168" t="s">
        <v>5</v>
      </c>
      <c r="D168">
        <v>20000</v>
      </c>
    </row>
    <row r="169" spans="1:4" x14ac:dyDescent="0.25">
      <c r="A169">
        <v>2022</v>
      </c>
      <c r="B169" t="s">
        <v>10</v>
      </c>
      <c r="C169" t="s">
        <v>5</v>
      </c>
      <c r="D169">
        <v>250000</v>
      </c>
    </row>
    <row r="170" spans="1:4" x14ac:dyDescent="0.25">
      <c r="A170">
        <v>2022</v>
      </c>
      <c r="B170" t="s">
        <v>10</v>
      </c>
      <c r="C170" t="s">
        <v>5</v>
      </c>
      <c r="D170">
        <v>227000</v>
      </c>
    </row>
    <row r="171" spans="1:4" x14ac:dyDescent="0.25">
      <c r="A171">
        <v>2022</v>
      </c>
      <c r="B171" t="s">
        <v>10</v>
      </c>
      <c r="C171" t="s">
        <v>5</v>
      </c>
      <c r="D171">
        <v>270000</v>
      </c>
    </row>
    <row r="172" spans="1:4" x14ac:dyDescent="0.25">
      <c r="A172">
        <v>2022</v>
      </c>
      <c r="B172" t="s">
        <v>10</v>
      </c>
      <c r="C172" t="s">
        <v>5</v>
      </c>
      <c r="D172">
        <v>215000</v>
      </c>
    </row>
    <row r="173" spans="1:4" x14ac:dyDescent="0.25">
      <c r="A173">
        <v>2022</v>
      </c>
      <c r="B173" t="s">
        <v>10</v>
      </c>
      <c r="C173" t="s">
        <v>5</v>
      </c>
      <c r="D173">
        <v>185000</v>
      </c>
    </row>
    <row r="174" spans="1:4" x14ac:dyDescent="0.25">
      <c r="A174">
        <v>2022</v>
      </c>
      <c r="B174" t="s">
        <v>10</v>
      </c>
      <c r="C174" t="s">
        <v>5</v>
      </c>
      <c r="D174">
        <v>190000</v>
      </c>
    </row>
    <row r="175" spans="1:4" x14ac:dyDescent="0.25">
      <c r="A175">
        <v>2022</v>
      </c>
      <c r="B175" t="s">
        <v>10</v>
      </c>
      <c r="C175" t="s">
        <v>5</v>
      </c>
      <c r="D175">
        <v>220000</v>
      </c>
    </row>
    <row r="176" spans="1:4" x14ac:dyDescent="0.25">
      <c r="A176">
        <v>2022</v>
      </c>
      <c r="B176" t="s">
        <v>10</v>
      </c>
      <c r="C176" t="s">
        <v>5</v>
      </c>
      <c r="D176">
        <v>257000</v>
      </c>
    </row>
    <row r="177" spans="1:4" x14ac:dyDescent="0.25">
      <c r="A177">
        <v>2022</v>
      </c>
      <c r="B177" t="s">
        <v>10</v>
      </c>
      <c r="C177" t="s">
        <v>5</v>
      </c>
      <c r="D177">
        <v>185000</v>
      </c>
    </row>
    <row r="178" spans="1:4" x14ac:dyDescent="0.25">
      <c r="A178">
        <v>2022</v>
      </c>
      <c r="B178" t="s">
        <v>10</v>
      </c>
      <c r="C178" t="s">
        <v>5</v>
      </c>
      <c r="D178">
        <v>237000</v>
      </c>
    </row>
    <row r="179" spans="1:4" x14ac:dyDescent="0.25">
      <c r="A179">
        <v>2022</v>
      </c>
      <c r="B179" t="s">
        <v>10</v>
      </c>
      <c r="C179" t="s">
        <v>5</v>
      </c>
      <c r="D179">
        <v>2485000</v>
      </c>
    </row>
    <row r="180" spans="1:4" x14ac:dyDescent="0.25">
      <c r="A180">
        <v>2022</v>
      </c>
      <c r="B180" t="s">
        <v>10</v>
      </c>
      <c r="C180" t="s">
        <v>5</v>
      </c>
      <c r="D180">
        <v>2590000</v>
      </c>
    </row>
    <row r="181" spans="1:4" x14ac:dyDescent="0.25">
      <c r="A181">
        <v>2022</v>
      </c>
      <c r="B181" t="s">
        <v>10</v>
      </c>
      <c r="C181" t="s">
        <v>6</v>
      </c>
      <c r="D181">
        <v>652875800</v>
      </c>
    </row>
    <row r="182" spans="1:4" x14ac:dyDescent="0.25">
      <c r="A182">
        <v>2022</v>
      </c>
      <c r="B182" t="s">
        <v>10</v>
      </c>
      <c r="C182" t="s">
        <v>6</v>
      </c>
      <c r="D182">
        <v>871000</v>
      </c>
    </row>
    <row r="183" spans="1:4" x14ac:dyDescent="0.25">
      <c r="A183">
        <v>2022</v>
      </c>
      <c r="B183" t="s">
        <v>10</v>
      </c>
      <c r="C183" t="s">
        <v>6</v>
      </c>
      <c r="D183">
        <v>1010000</v>
      </c>
    </row>
    <row r="184" spans="1:4" x14ac:dyDescent="0.25">
      <c r="A184">
        <v>2022</v>
      </c>
      <c r="B184" t="s">
        <v>10</v>
      </c>
      <c r="C184" t="s">
        <v>6</v>
      </c>
      <c r="D184">
        <v>1198000</v>
      </c>
    </row>
    <row r="185" spans="1:4" x14ac:dyDescent="0.25">
      <c r="A185">
        <v>2022</v>
      </c>
      <c r="B185" t="s">
        <v>10</v>
      </c>
      <c r="C185" t="s">
        <v>6</v>
      </c>
      <c r="D185">
        <v>1099000</v>
      </c>
    </row>
    <row r="186" spans="1:4" x14ac:dyDescent="0.25">
      <c r="A186">
        <v>2022</v>
      </c>
      <c r="B186" t="s">
        <v>10</v>
      </c>
      <c r="C186" t="s">
        <v>6</v>
      </c>
      <c r="D186">
        <v>1374600</v>
      </c>
    </row>
    <row r="187" spans="1:4" x14ac:dyDescent="0.25">
      <c r="A187">
        <v>2022</v>
      </c>
      <c r="B187" t="s">
        <v>10</v>
      </c>
      <c r="C187" t="s">
        <v>6</v>
      </c>
      <c r="D187">
        <v>928600</v>
      </c>
    </row>
    <row r="188" spans="1:4" x14ac:dyDescent="0.25">
      <c r="A188">
        <v>2022</v>
      </c>
      <c r="B188" t="s">
        <v>10</v>
      </c>
      <c r="C188" t="s">
        <v>6</v>
      </c>
      <c r="D188">
        <v>424000</v>
      </c>
    </row>
    <row r="189" spans="1:4" x14ac:dyDescent="0.25">
      <c r="A189">
        <v>2022</v>
      </c>
      <c r="B189" t="s">
        <v>10</v>
      </c>
      <c r="C189" t="s">
        <v>6</v>
      </c>
      <c r="D189">
        <v>1381000</v>
      </c>
    </row>
    <row r="190" spans="1:4" x14ac:dyDescent="0.25">
      <c r="A190">
        <v>2022</v>
      </c>
      <c r="B190" t="s">
        <v>10</v>
      </c>
      <c r="C190" t="s">
        <v>6</v>
      </c>
      <c r="D190">
        <v>888500</v>
      </c>
    </row>
    <row r="191" spans="1:4" x14ac:dyDescent="0.25">
      <c r="A191">
        <v>2022</v>
      </c>
      <c r="B191" t="s">
        <v>10</v>
      </c>
      <c r="C191" t="s">
        <v>6</v>
      </c>
      <c r="D191">
        <v>663100</v>
      </c>
    </row>
    <row r="192" spans="1:4" x14ac:dyDescent="0.25">
      <c r="A192">
        <v>2022</v>
      </c>
      <c r="B192" t="s">
        <v>10</v>
      </c>
      <c r="C192" t="s">
        <v>6</v>
      </c>
      <c r="D192">
        <v>696000</v>
      </c>
    </row>
    <row r="193" spans="1:4" x14ac:dyDescent="0.25">
      <c r="A193">
        <v>2022</v>
      </c>
      <c r="B193" t="s">
        <v>10</v>
      </c>
      <c r="C193" t="s">
        <v>6</v>
      </c>
      <c r="D193">
        <v>1786000</v>
      </c>
    </row>
    <row r="194" spans="1:4" x14ac:dyDescent="0.25">
      <c r="A194">
        <v>2022</v>
      </c>
      <c r="B194" t="s">
        <v>10</v>
      </c>
      <c r="C194" t="s">
        <v>6</v>
      </c>
      <c r="D194">
        <v>590000</v>
      </c>
    </row>
    <row r="195" spans="1:4" x14ac:dyDescent="0.25">
      <c r="A195">
        <v>2022</v>
      </c>
      <c r="B195" t="s">
        <v>10</v>
      </c>
      <c r="C195" t="s">
        <v>6</v>
      </c>
      <c r="D195">
        <v>1313700</v>
      </c>
    </row>
    <row r="196" spans="1:4" x14ac:dyDescent="0.25">
      <c r="A196">
        <v>2022</v>
      </c>
      <c r="B196" t="s">
        <v>10</v>
      </c>
      <c r="C196" t="s">
        <v>6</v>
      </c>
      <c r="D196">
        <v>1401000</v>
      </c>
    </row>
    <row r="197" spans="1:4" x14ac:dyDescent="0.25">
      <c r="A197">
        <v>2022</v>
      </c>
      <c r="B197" t="s">
        <v>10</v>
      </c>
      <c r="C197" t="s">
        <v>6</v>
      </c>
      <c r="D197">
        <v>675000</v>
      </c>
    </row>
    <row r="198" spans="1:4" x14ac:dyDescent="0.25">
      <c r="A198">
        <v>2022</v>
      </c>
      <c r="B198" t="s">
        <v>10</v>
      </c>
      <c r="C198" t="s">
        <v>6</v>
      </c>
      <c r="D198">
        <v>1165700</v>
      </c>
    </row>
    <row r="199" spans="1:4" x14ac:dyDescent="0.25">
      <c r="A199">
        <v>2022</v>
      </c>
      <c r="B199" t="s">
        <v>10</v>
      </c>
      <c r="C199" t="s">
        <v>6</v>
      </c>
      <c r="D199">
        <v>820000</v>
      </c>
    </row>
    <row r="200" spans="1:4" x14ac:dyDescent="0.25">
      <c r="A200">
        <v>2022</v>
      </c>
      <c r="B200" t="s">
        <v>10</v>
      </c>
      <c r="C200" t="s">
        <v>6</v>
      </c>
      <c r="D200">
        <v>1953000</v>
      </c>
    </row>
    <row r="201" spans="1:4" x14ac:dyDescent="0.25">
      <c r="A201">
        <v>2022</v>
      </c>
      <c r="B201" t="s">
        <v>10</v>
      </c>
      <c r="C201" t="s">
        <v>6</v>
      </c>
      <c r="D201">
        <v>721000</v>
      </c>
    </row>
    <row r="202" spans="1:4" x14ac:dyDescent="0.25">
      <c r="A202">
        <v>2022</v>
      </c>
      <c r="B202" t="s">
        <v>10</v>
      </c>
      <c r="C202" t="s">
        <v>6</v>
      </c>
      <c r="D202">
        <v>716500</v>
      </c>
    </row>
    <row r="203" spans="1:4" x14ac:dyDescent="0.25">
      <c r="A203">
        <v>2022</v>
      </c>
      <c r="B203" t="s">
        <v>10</v>
      </c>
      <c r="C203" t="s">
        <v>6</v>
      </c>
      <c r="D203">
        <v>1026000</v>
      </c>
    </row>
    <row r="204" spans="1:4" x14ac:dyDescent="0.25">
      <c r="A204">
        <v>2022</v>
      </c>
      <c r="B204" t="s">
        <v>10</v>
      </c>
      <c r="C204" t="s">
        <v>6</v>
      </c>
      <c r="D204">
        <v>1366000</v>
      </c>
    </row>
    <row r="205" spans="1:4" x14ac:dyDescent="0.25">
      <c r="A205">
        <v>2022</v>
      </c>
      <c r="B205" t="s">
        <v>10</v>
      </c>
      <c r="C205" t="s">
        <v>6</v>
      </c>
      <c r="D205">
        <v>843000</v>
      </c>
    </row>
    <row r="206" spans="1:4" x14ac:dyDescent="0.25">
      <c r="A206">
        <v>2022</v>
      </c>
      <c r="B206" t="s">
        <v>10</v>
      </c>
      <c r="C206" t="s">
        <v>6</v>
      </c>
      <c r="D206">
        <v>147000</v>
      </c>
    </row>
    <row r="207" spans="1:4" x14ac:dyDescent="0.25">
      <c r="A207">
        <v>2022</v>
      </c>
      <c r="B207" t="s">
        <v>10</v>
      </c>
      <c r="C207" t="s">
        <v>6</v>
      </c>
      <c r="D207">
        <v>1638000</v>
      </c>
    </row>
    <row r="208" spans="1:4" x14ac:dyDescent="0.25">
      <c r="A208">
        <v>2022</v>
      </c>
      <c r="B208" t="s">
        <v>10</v>
      </c>
      <c r="C208" t="s">
        <v>6</v>
      </c>
      <c r="D208">
        <v>3558000</v>
      </c>
    </row>
    <row r="209" spans="1:4" x14ac:dyDescent="0.25">
      <c r="A209">
        <v>2022</v>
      </c>
      <c r="B209" t="s">
        <v>10</v>
      </c>
      <c r="C209" t="s">
        <v>6</v>
      </c>
      <c r="D209">
        <v>1137000</v>
      </c>
    </row>
    <row r="210" spans="1:4" x14ac:dyDescent="0.25">
      <c r="A210">
        <v>2022</v>
      </c>
      <c r="B210" t="s">
        <v>10</v>
      </c>
      <c r="C210" t="s">
        <v>6</v>
      </c>
      <c r="D210">
        <v>791000</v>
      </c>
    </row>
    <row r="211" spans="1:4" x14ac:dyDescent="0.25">
      <c r="A211">
        <v>2022</v>
      </c>
      <c r="B211" t="s">
        <v>10</v>
      </c>
      <c r="C211" t="s">
        <v>6</v>
      </c>
      <c r="D211">
        <v>720000</v>
      </c>
    </row>
    <row r="212" spans="1:4" x14ac:dyDescent="0.25">
      <c r="A212">
        <v>2022</v>
      </c>
      <c r="B212" t="s">
        <v>10</v>
      </c>
      <c r="C212" t="s">
        <v>6</v>
      </c>
      <c r="D212">
        <v>995000</v>
      </c>
    </row>
    <row r="213" spans="1:4" x14ac:dyDescent="0.25">
      <c r="A213">
        <v>2022</v>
      </c>
      <c r="B213" t="s">
        <v>10</v>
      </c>
      <c r="C213" t="s">
        <v>6</v>
      </c>
      <c r="D213">
        <v>838000</v>
      </c>
    </row>
    <row r="214" spans="1:4" x14ac:dyDescent="0.25">
      <c r="A214">
        <v>2022</v>
      </c>
      <c r="B214" t="s">
        <v>10</v>
      </c>
      <c r="C214" t="s">
        <v>6</v>
      </c>
      <c r="D214">
        <v>720000</v>
      </c>
    </row>
    <row r="215" spans="1:4" x14ac:dyDescent="0.25">
      <c r="A215">
        <v>2022</v>
      </c>
      <c r="B215" t="s">
        <v>10</v>
      </c>
      <c r="C215" t="s">
        <v>6</v>
      </c>
      <c r="D215">
        <v>698000</v>
      </c>
    </row>
    <row r="216" spans="1:4" x14ac:dyDescent="0.25">
      <c r="A216">
        <v>2022</v>
      </c>
      <c r="B216" t="s">
        <v>10</v>
      </c>
      <c r="C216" t="s">
        <v>6</v>
      </c>
      <c r="D216">
        <v>925000</v>
      </c>
    </row>
    <row r="217" spans="1:4" x14ac:dyDescent="0.25">
      <c r="A217">
        <v>2022</v>
      </c>
      <c r="B217" t="s">
        <v>10</v>
      </c>
      <c r="C217" t="s">
        <v>6</v>
      </c>
      <c r="D217">
        <v>801000</v>
      </c>
    </row>
    <row r="218" spans="1:4" x14ac:dyDescent="0.25">
      <c r="A218">
        <v>2022</v>
      </c>
      <c r="B218" t="s">
        <v>10</v>
      </c>
      <c r="C218" t="s">
        <v>6</v>
      </c>
      <c r="D218">
        <v>624000</v>
      </c>
    </row>
    <row r="219" spans="1:4" x14ac:dyDescent="0.25">
      <c r="A219">
        <v>2022</v>
      </c>
      <c r="B219" t="s">
        <v>10</v>
      </c>
      <c r="C219" t="s">
        <v>6</v>
      </c>
      <c r="D219">
        <v>311000</v>
      </c>
    </row>
    <row r="220" spans="1:4" x14ac:dyDescent="0.25">
      <c r="A220">
        <v>2022</v>
      </c>
      <c r="B220" t="s">
        <v>10</v>
      </c>
      <c r="C220" t="s">
        <v>6</v>
      </c>
      <c r="D220">
        <v>683000</v>
      </c>
    </row>
    <row r="221" spans="1:4" x14ac:dyDescent="0.25">
      <c r="A221">
        <v>2022</v>
      </c>
      <c r="B221" t="s">
        <v>10</v>
      </c>
      <c r="C221" t="s">
        <v>6</v>
      </c>
      <c r="D221">
        <v>570500</v>
      </c>
    </row>
    <row r="222" spans="1:4" x14ac:dyDescent="0.25">
      <c r="A222">
        <v>2022</v>
      </c>
      <c r="B222" t="s">
        <v>10</v>
      </c>
      <c r="C222" t="s">
        <v>6</v>
      </c>
      <c r="D222">
        <v>656000</v>
      </c>
    </row>
    <row r="223" spans="1:4" x14ac:dyDescent="0.25">
      <c r="A223">
        <v>2022</v>
      </c>
      <c r="B223" t="s">
        <v>10</v>
      </c>
      <c r="C223" t="s">
        <v>6</v>
      </c>
      <c r="D223">
        <v>780000</v>
      </c>
    </row>
    <row r="224" spans="1:4" x14ac:dyDescent="0.25">
      <c r="A224">
        <v>2022</v>
      </c>
      <c r="B224" t="s">
        <v>10</v>
      </c>
      <c r="C224" t="s">
        <v>6</v>
      </c>
      <c r="D224">
        <v>392000</v>
      </c>
    </row>
    <row r="225" spans="1:4" x14ac:dyDescent="0.25">
      <c r="A225">
        <v>2022</v>
      </c>
      <c r="B225" t="s">
        <v>10</v>
      </c>
      <c r="C225" t="s">
        <v>6</v>
      </c>
      <c r="D225">
        <v>482000</v>
      </c>
    </row>
    <row r="226" spans="1:4" x14ac:dyDescent="0.25">
      <c r="A226">
        <v>2022</v>
      </c>
      <c r="B226" t="s">
        <v>10</v>
      </c>
      <c r="C226" t="s">
        <v>6</v>
      </c>
      <c r="D226">
        <v>477500</v>
      </c>
    </row>
    <row r="227" spans="1:4" x14ac:dyDescent="0.25">
      <c r="A227">
        <v>2022</v>
      </c>
      <c r="B227" t="s">
        <v>10</v>
      </c>
      <c r="C227" t="s">
        <v>6</v>
      </c>
      <c r="D227">
        <v>670000</v>
      </c>
    </row>
    <row r="228" spans="1:4" x14ac:dyDescent="0.25">
      <c r="A228">
        <v>2022</v>
      </c>
      <c r="B228" t="s">
        <v>10</v>
      </c>
      <c r="C228" t="s">
        <v>6</v>
      </c>
      <c r="D228">
        <v>668000</v>
      </c>
    </row>
    <row r="229" spans="1:4" x14ac:dyDescent="0.25">
      <c r="A229">
        <v>2022</v>
      </c>
      <c r="B229" t="s">
        <v>10</v>
      </c>
      <c r="C229" t="s">
        <v>6</v>
      </c>
      <c r="D229">
        <v>5882000</v>
      </c>
    </row>
    <row r="230" spans="1:4" x14ac:dyDescent="0.25">
      <c r="A230">
        <v>2022</v>
      </c>
      <c r="B230" t="s">
        <v>10</v>
      </c>
      <c r="C230" t="s">
        <v>6</v>
      </c>
      <c r="D230">
        <v>2160000</v>
      </c>
    </row>
    <row r="231" spans="1:4" x14ac:dyDescent="0.25">
      <c r="A231">
        <v>2022</v>
      </c>
      <c r="B231" t="s">
        <v>10</v>
      </c>
      <c r="C231" t="s">
        <v>6</v>
      </c>
      <c r="D231">
        <v>506000</v>
      </c>
    </row>
    <row r="232" spans="1:4" x14ac:dyDescent="0.25">
      <c r="A232">
        <v>2022</v>
      </c>
      <c r="B232" t="s">
        <v>10</v>
      </c>
      <c r="C232" t="s">
        <v>6</v>
      </c>
      <c r="D232">
        <v>989500</v>
      </c>
    </row>
    <row r="233" spans="1:4" x14ac:dyDescent="0.25">
      <c r="A233">
        <v>2022</v>
      </c>
      <c r="B233" t="s">
        <v>10</v>
      </c>
      <c r="C233" t="s">
        <v>6</v>
      </c>
      <c r="D233">
        <v>631000</v>
      </c>
    </row>
    <row r="234" spans="1:4" x14ac:dyDescent="0.25">
      <c r="A234">
        <v>2022</v>
      </c>
      <c r="B234" t="s">
        <v>10</v>
      </c>
      <c r="C234" t="s">
        <v>6</v>
      </c>
      <c r="D234">
        <v>909000</v>
      </c>
    </row>
    <row r="235" spans="1:4" x14ac:dyDescent="0.25">
      <c r="A235">
        <v>2022</v>
      </c>
      <c r="B235" t="s">
        <v>10</v>
      </c>
      <c r="C235" t="s">
        <v>6</v>
      </c>
      <c r="D235">
        <v>1983000</v>
      </c>
    </row>
    <row r="236" spans="1:4" x14ac:dyDescent="0.25">
      <c r="A236">
        <v>2022</v>
      </c>
      <c r="B236" t="s">
        <v>10</v>
      </c>
      <c r="C236" t="s">
        <v>6</v>
      </c>
      <c r="D236">
        <v>668000</v>
      </c>
    </row>
    <row r="237" spans="1:4" x14ac:dyDescent="0.25">
      <c r="A237">
        <v>2022</v>
      </c>
      <c r="B237" t="s">
        <v>10</v>
      </c>
      <c r="C237" t="s">
        <v>6</v>
      </c>
      <c r="D237">
        <v>861500</v>
      </c>
    </row>
    <row r="238" spans="1:4" x14ac:dyDescent="0.25">
      <c r="A238">
        <v>2022</v>
      </c>
      <c r="B238" t="s">
        <v>10</v>
      </c>
      <c r="C238" t="s">
        <v>6</v>
      </c>
      <c r="D238">
        <v>331000</v>
      </c>
    </row>
    <row r="239" spans="1:4" x14ac:dyDescent="0.25">
      <c r="A239">
        <v>2022</v>
      </c>
      <c r="B239" t="s">
        <v>10</v>
      </c>
      <c r="C239" t="s">
        <v>6</v>
      </c>
      <c r="D239">
        <v>1070500</v>
      </c>
    </row>
    <row r="240" spans="1:4" x14ac:dyDescent="0.25">
      <c r="A240">
        <v>2022</v>
      </c>
      <c r="B240" t="s">
        <v>10</v>
      </c>
      <c r="C240" t="s">
        <v>6</v>
      </c>
      <c r="D240">
        <v>653000</v>
      </c>
    </row>
    <row r="241" spans="1:4" x14ac:dyDescent="0.25">
      <c r="A241">
        <v>2022</v>
      </c>
      <c r="B241" t="s">
        <v>10</v>
      </c>
      <c r="C241" t="s">
        <v>6</v>
      </c>
      <c r="D241">
        <v>1241000</v>
      </c>
    </row>
    <row r="242" spans="1:4" x14ac:dyDescent="0.25">
      <c r="A242">
        <v>2022</v>
      </c>
      <c r="B242" t="s">
        <v>10</v>
      </c>
      <c r="C242" t="s">
        <v>6</v>
      </c>
      <c r="D242">
        <v>589000</v>
      </c>
    </row>
    <row r="243" spans="1:4" x14ac:dyDescent="0.25">
      <c r="A243">
        <v>2022</v>
      </c>
      <c r="B243" t="s">
        <v>10</v>
      </c>
      <c r="C243" t="s">
        <v>6</v>
      </c>
      <c r="D243">
        <v>647500</v>
      </c>
    </row>
    <row r="244" spans="1:4" x14ac:dyDescent="0.25">
      <c r="A244">
        <v>2022</v>
      </c>
      <c r="B244" t="s">
        <v>10</v>
      </c>
      <c r="C244" t="s">
        <v>6</v>
      </c>
      <c r="D244">
        <v>715000</v>
      </c>
    </row>
    <row r="245" spans="1:4" x14ac:dyDescent="0.25">
      <c r="A245">
        <v>2022</v>
      </c>
      <c r="B245" t="s">
        <v>10</v>
      </c>
      <c r="C245" t="s">
        <v>6</v>
      </c>
      <c r="D245">
        <v>694000</v>
      </c>
    </row>
    <row r="246" spans="1:4" x14ac:dyDescent="0.25">
      <c r="A246">
        <v>2022</v>
      </c>
      <c r="B246" t="s">
        <v>10</v>
      </c>
      <c r="C246" t="s">
        <v>6</v>
      </c>
      <c r="D246">
        <v>1765000</v>
      </c>
    </row>
    <row r="247" spans="1:4" x14ac:dyDescent="0.25">
      <c r="A247">
        <v>2022</v>
      </c>
      <c r="B247" t="s">
        <v>10</v>
      </c>
      <c r="C247" t="s">
        <v>6</v>
      </c>
      <c r="D247">
        <v>881500</v>
      </c>
    </row>
    <row r="248" spans="1:4" x14ac:dyDescent="0.25">
      <c r="A248">
        <v>2022</v>
      </c>
      <c r="B248" t="s">
        <v>10</v>
      </c>
      <c r="C248" t="s">
        <v>6</v>
      </c>
      <c r="D248">
        <v>469500</v>
      </c>
    </row>
    <row r="249" spans="1:4" x14ac:dyDescent="0.25">
      <c r="A249">
        <v>2022</v>
      </c>
      <c r="B249" t="s">
        <v>10</v>
      </c>
      <c r="C249" t="s">
        <v>6</v>
      </c>
      <c r="D249">
        <v>525000</v>
      </c>
    </row>
    <row r="250" spans="1:4" x14ac:dyDescent="0.25">
      <c r="A250">
        <v>2022</v>
      </c>
      <c r="B250" t="s">
        <v>10</v>
      </c>
      <c r="C250" t="s">
        <v>6</v>
      </c>
      <c r="D250">
        <v>956000</v>
      </c>
    </row>
    <row r="251" spans="1:4" x14ac:dyDescent="0.25">
      <c r="A251">
        <v>2022</v>
      </c>
      <c r="B251" t="s">
        <v>10</v>
      </c>
      <c r="C251" t="s">
        <v>6</v>
      </c>
      <c r="D251">
        <v>535500</v>
      </c>
    </row>
    <row r="252" spans="1:4" x14ac:dyDescent="0.25">
      <c r="A252">
        <v>2022</v>
      </c>
      <c r="B252" t="s">
        <v>10</v>
      </c>
      <c r="C252" t="s">
        <v>6</v>
      </c>
      <c r="D252">
        <v>487000</v>
      </c>
    </row>
    <row r="253" spans="1:4" x14ac:dyDescent="0.25">
      <c r="A253">
        <v>2022</v>
      </c>
      <c r="B253" t="s">
        <v>10</v>
      </c>
      <c r="C253" t="s">
        <v>6</v>
      </c>
      <c r="D253">
        <v>875500</v>
      </c>
    </row>
    <row r="254" spans="1:4" x14ac:dyDescent="0.25">
      <c r="A254">
        <v>2022</v>
      </c>
      <c r="B254" t="s">
        <v>10</v>
      </c>
      <c r="C254" t="s">
        <v>6</v>
      </c>
      <c r="D254">
        <v>1016000</v>
      </c>
    </row>
    <row r="255" spans="1:4" x14ac:dyDescent="0.25">
      <c r="A255">
        <v>2022</v>
      </c>
      <c r="B255" t="s">
        <v>10</v>
      </c>
      <c r="C255" t="s">
        <v>6</v>
      </c>
      <c r="D255">
        <v>828000</v>
      </c>
    </row>
    <row r="256" spans="1:4" x14ac:dyDescent="0.25">
      <c r="A256">
        <v>2022</v>
      </c>
      <c r="B256" t="s">
        <v>10</v>
      </c>
      <c r="C256" t="s">
        <v>6</v>
      </c>
      <c r="D256">
        <v>670000</v>
      </c>
    </row>
    <row r="257" spans="1:4" x14ac:dyDescent="0.25">
      <c r="A257">
        <v>2022</v>
      </c>
      <c r="B257" t="s">
        <v>10</v>
      </c>
      <c r="C257" t="s">
        <v>6</v>
      </c>
      <c r="D257">
        <v>959000</v>
      </c>
    </row>
    <row r="258" spans="1:4" x14ac:dyDescent="0.25">
      <c r="A258">
        <v>2022</v>
      </c>
      <c r="B258" t="s">
        <v>10</v>
      </c>
      <c r="C258" t="s">
        <v>6</v>
      </c>
      <c r="D258">
        <v>789000</v>
      </c>
    </row>
    <row r="259" spans="1:4" x14ac:dyDescent="0.25">
      <c r="A259">
        <v>2022</v>
      </c>
      <c r="B259" t="s">
        <v>10</v>
      </c>
      <c r="C259" t="s">
        <v>6</v>
      </c>
      <c r="D259">
        <v>4770000</v>
      </c>
    </row>
    <row r="260" spans="1:4" x14ac:dyDescent="0.25">
      <c r="A260">
        <v>2022</v>
      </c>
      <c r="B260" t="s">
        <v>10</v>
      </c>
      <c r="C260" t="s">
        <v>6</v>
      </c>
      <c r="D260">
        <v>2820000</v>
      </c>
    </row>
    <row r="261" spans="1:4" x14ac:dyDescent="0.25">
      <c r="A261">
        <v>2022</v>
      </c>
      <c r="B261" t="s">
        <v>10</v>
      </c>
      <c r="C261" t="s">
        <v>6</v>
      </c>
      <c r="D261">
        <v>1079000</v>
      </c>
    </row>
    <row r="262" spans="1:4" x14ac:dyDescent="0.25">
      <c r="A262">
        <v>2022</v>
      </c>
      <c r="B262" t="s">
        <v>10</v>
      </c>
      <c r="C262" t="s">
        <v>6</v>
      </c>
      <c r="D262">
        <v>595000</v>
      </c>
    </row>
    <row r="263" spans="1:4" x14ac:dyDescent="0.25">
      <c r="A263">
        <v>2022</v>
      </c>
      <c r="B263" t="s">
        <v>10</v>
      </c>
      <c r="C263" t="s">
        <v>6</v>
      </c>
      <c r="D263">
        <v>707000</v>
      </c>
    </row>
    <row r="264" spans="1:4" x14ac:dyDescent="0.25">
      <c r="A264">
        <v>2022</v>
      </c>
      <c r="B264" t="s">
        <v>10</v>
      </c>
      <c r="C264" t="s">
        <v>6</v>
      </c>
      <c r="D264">
        <v>1703000</v>
      </c>
    </row>
    <row r="265" spans="1:4" x14ac:dyDescent="0.25">
      <c r="A265">
        <v>2022</v>
      </c>
      <c r="B265" t="s">
        <v>10</v>
      </c>
      <c r="C265" t="s">
        <v>6</v>
      </c>
      <c r="D265">
        <v>2183000</v>
      </c>
    </row>
    <row r="266" spans="1:4" x14ac:dyDescent="0.25">
      <c r="A266">
        <v>2022</v>
      </c>
      <c r="B266" t="s">
        <v>10</v>
      </c>
      <c r="C266" t="s">
        <v>6</v>
      </c>
      <c r="D266">
        <v>3314000</v>
      </c>
    </row>
    <row r="267" spans="1:4" x14ac:dyDescent="0.25">
      <c r="A267">
        <v>2022</v>
      </c>
      <c r="B267" t="s">
        <v>10</v>
      </c>
      <c r="C267" t="s">
        <v>6</v>
      </c>
      <c r="D267">
        <v>915000</v>
      </c>
    </row>
    <row r="268" spans="1:4" x14ac:dyDescent="0.25">
      <c r="A268">
        <v>2022</v>
      </c>
      <c r="B268" t="s">
        <v>10</v>
      </c>
      <c r="C268" t="s">
        <v>6</v>
      </c>
      <c r="D268">
        <v>1089000</v>
      </c>
    </row>
    <row r="269" spans="1:4" x14ac:dyDescent="0.25">
      <c r="A269">
        <v>2022</v>
      </c>
      <c r="B269" t="s">
        <v>10</v>
      </c>
      <c r="C269" t="s">
        <v>6</v>
      </c>
      <c r="D269">
        <v>802000</v>
      </c>
    </row>
    <row r="270" spans="1:4" x14ac:dyDescent="0.25">
      <c r="A270">
        <v>2022</v>
      </c>
      <c r="B270" t="s">
        <v>10</v>
      </c>
      <c r="C270" t="s">
        <v>6</v>
      </c>
      <c r="D270">
        <v>2034000</v>
      </c>
    </row>
    <row r="271" spans="1:4" x14ac:dyDescent="0.25">
      <c r="A271">
        <v>2022</v>
      </c>
      <c r="B271" t="s">
        <v>10</v>
      </c>
      <c r="C271" t="s">
        <v>6</v>
      </c>
      <c r="D271">
        <v>665000</v>
      </c>
    </row>
    <row r="272" spans="1:4" x14ac:dyDescent="0.25">
      <c r="A272">
        <v>2022</v>
      </c>
      <c r="B272" t="s">
        <v>10</v>
      </c>
      <c r="C272" t="s">
        <v>6</v>
      </c>
      <c r="D272">
        <v>531000</v>
      </c>
    </row>
    <row r="273" spans="1:4" x14ac:dyDescent="0.25">
      <c r="A273">
        <v>2022</v>
      </c>
      <c r="B273" t="s">
        <v>10</v>
      </c>
      <c r="C273" t="s">
        <v>6</v>
      </c>
      <c r="D273">
        <v>1159000</v>
      </c>
    </row>
    <row r="274" spans="1:4" x14ac:dyDescent="0.25">
      <c r="A274">
        <v>2022</v>
      </c>
      <c r="B274" t="s">
        <v>10</v>
      </c>
      <c r="C274" t="s">
        <v>6</v>
      </c>
      <c r="D274">
        <v>792000</v>
      </c>
    </row>
    <row r="275" spans="1:4" x14ac:dyDescent="0.25">
      <c r="A275">
        <v>2022</v>
      </c>
      <c r="B275" t="s">
        <v>10</v>
      </c>
      <c r="C275" t="s">
        <v>6</v>
      </c>
      <c r="D275">
        <v>760000</v>
      </c>
    </row>
    <row r="276" spans="1:4" x14ac:dyDescent="0.25">
      <c r="A276">
        <v>2022</v>
      </c>
      <c r="B276" t="s">
        <v>10</v>
      </c>
      <c r="C276" t="s">
        <v>6</v>
      </c>
      <c r="D276">
        <v>1171000</v>
      </c>
    </row>
    <row r="277" spans="1:4" x14ac:dyDescent="0.25">
      <c r="A277">
        <v>2022</v>
      </c>
      <c r="B277" t="s">
        <v>10</v>
      </c>
      <c r="C277" t="s">
        <v>6</v>
      </c>
      <c r="D277">
        <v>593000</v>
      </c>
    </row>
    <row r="278" spans="1:4" x14ac:dyDescent="0.25">
      <c r="A278">
        <v>2022</v>
      </c>
      <c r="B278" t="s">
        <v>10</v>
      </c>
      <c r="C278" t="s">
        <v>6</v>
      </c>
      <c r="D278">
        <v>717000</v>
      </c>
    </row>
    <row r="279" spans="1:4" x14ac:dyDescent="0.25">
      <c r="A279">
        <v>2022</v>
      </c>
      <c r="B279" t="s">
        <v>10</v>
      </c>
      <c r="C279" t="s">
        <v>6</v>
      </c>
      <c r="D279">
        <v>1457000</v>
      </c>
    </row>
    <row r="280" spans="1:4" x14ac:dyDescent="0.25">
      <c r="A280">
        <v>2022</v>
      </c>
      <c r="B280" t="s">
        <v>10</v>
      </c>
      <c r="C280" t="s">
        <v>6</v>
      </c>
      <c r="D280">
        <v>750000</v>
      </c>
    </row>
    <row r="281" spans="1:4" x14ac:dyDescent="0.25">
      <c r="A281">
        <v>2022</v>
      </c>
      <c r="B281" t="s">
        <v>10</v>
      </c>
      <c r="C281" t="s">
        <v>6</v>
      </c>
      <c r="D281">
        <v>689000</v>
      </c>
    </row>
    <row r="282" spans="1:4" x14ac:dyDescent="0.25">
      <c r="A282">
        <v>2022</v>
      </c>
      <c r="B282" t="s">
        <v>10</v>
      </c>
      <c r="C282" t="s">
        <v>6</v>
      </c>
      <c r="D282">
        <v>1489000</v>
      </c>
    </row>
    <row r="283" spans="1:4" x14ac:dyDescent="0.25">
      <c r="A283">
        <v>2022</v>
      </c>
      <c r="B283" t="s">
        <v>10</v>
      </c>
      <c r="C283" t="s">
        <v>6</v>
      </c>
      <c r="D283">
        <v>1185000</v>
      </c>
    </row>
    <row r="284" spans="1:4" x14ac:dyDescent="0.25">
      <c r="A284">
        <v>2022</v>
      </c>
      <c r="B284" t="s">
        <v>10</v>
      </c>
      <c r="C284" t="s">
        <v>6</v>
      </c>
      <c r="D284">
        <v>3610000</v>
      </c>
    </row>
    <row r="285" spans="1:4" x14ac:dyDescent="0.25">
      <c r="A285">
        <v>2022</v>
      </c>
      <c r="B285" t="s">
        <v>10</v>
      </c>
      <c r="C285" t="s">
        <v>6</v>
      </c>
      <c r="D285">
        <v>700000</v>
      </c>
    </row>
    <row r="286" spans="1:4" x14ac:dyDescent="0.25">
      <c r="A286">
        <v>2022</v>
      </c>
      <c r="B286" t="s">
        <v>10</v>
      </c>
      <c r="C286" t="s">
        <v>6</v>
      </c>
      <c r="D286">
        <v>405000</v>
      </c>
    </row>
    <row r="287" spans="1:4" x14ac:dyDescent="0.25">
      <c r="A287">
        <v>2022</v>
      </c>
      <c r="B287" t="s">
        <v>10</v>
      </c>
      <c r="C287" t="s">
        <v>6</v>
      </c>
      <c r="D287">
        <v>610000</v>
      </c>
    </row>
    <row r="288" spans="1:4" x14ac:dyDescent="0.25">
      <c r="A288">
        <v>2022</v>
      </c>
      <c r="B288" t="s">
        <v>10</v>
      </c>
      <c r="C288" t="s">
        <v>6</v>
      </c>
      <c r="D288">
        <v>706000</v>
      </c>
    </row>
    <row r="289" spans="1:4" x14ac:dyDescent="0.25">
      <c r="A289">
        <v>2022</v>
      </c>
      <c r="B289" t="s">
        <v>10</v>
      </c>
      <c r="C289" t="s">
        <v>6</v>
      </c>
      <c r="D289">
        <v>752000</v>
      </c>
    </row>
    <row r="290" spans="1:4" x14ac:dyDescent="0.25">
      <c r="A290">
        <v>2022</v>
      </c>
      <c r="B290" t="s">
        <v>10</v>
      </c>
      <c r="C290" t="s">
        <v>6</v>
      </c>
      <c r="D290">
        <v>1043000</v>
      </c>
    </row>
    <row r="291" spans="1:4" x14ac:dyDescent="0.25">
      <c r="A291">
        <v>2022</v>
      </c>
      <c r="B291" t="s">
        <v>10</v>
      </c>
      <c r="C291" t="s">
        <v>6</v>
      </c>
      <c r="D291">
        <v>823000</v>
      </c>
    </row>
    <row r="292" spans="1:4" x14ac:dyDescent="0.25">
      <c r="A292">
        <v>2022</v>
      </c>
      <c r="B292" t="s">
        <v>10</v>
      </c>
      <c r="C292" t="s">
        <v>6</v>
      </c>
      <c r="D292">
        <v>612000</v>
      </c>
    </row>
    <row r="293" spans="1:4" x14ac:dyDescent="0.25">
      <c r="A293">
        <v>2022</v>
      </c>
      <c r="B293" t="s">
        <v>10</v>
      </c>
      <c r="C293" t="s">
        <v>6</v>
      </c>
      <c r="D293">
        <v>772000</v>
      </c>
    </row>
    <row r="294" spans="1:4" x14ac:dyDescent="0.25">
      <c r="A294">
        <v>2022</v>
      </c>
      <c r="B294" t="s">
        <v>10</v>
      </c>
      <c r="C294" t="s">
        <v>6</v>
      </c>
      <c r="D294">
        <v>1235000</v>
      </c>
    </row>
    <row r="295" spans="1:4" x14ac:dyDescent="0.25">
      <c r="A295">
        <v>2022</v>
      </c>
      <c r="B295" t="s">
        <v>10</v>
      </c>
      <c r="C295" t="s">
        <v>6</v>
      </c>
      <c r="D295">
        <v>1191500</v>
      </c>
    </row>
    <row r="296" spans="1:4" x14ac:dyDescent="0.25">
      <c r="A296">
        <v>2022</v>
      </c>
      <c r="B296" t="s">
        <v>10</v>
      </c>
      <c r="C296" t="s">
        <v>6</v>
      </c>
      <c r="D296">
        <v>997000</v>
      </c>
    </row>
    <row r="297" spans="1:4" x14ac:dyDescent="0.25">
      <c r="A297">
        <v>2022</v>
      </c>
      <c r="B297" t="s">
        <v>10</v>
      </c>
      <c r="C297" t="s">
        <v>6</v>
      </c>
      <c r="D297">
        <v>5181000</v>
      </c>
    </row>
    <row r="298" spans="1:4" x14ac:dyDescent="0.25">
      <c r="A298">
        <v>2022</v>
      </c>
      <c r="B298" t="s">
        <v>10</v>
      </c>
      <c r="C298" t="s">
        <v>6</v>
      </c>
      <c r="D298">
        <v>4592000</v>
      </c>
    </row>
    <row r="299" spans="1:4" x14ac:dyDescent="0.25">
      <c r="A299">
        <v>2022</v>
      </c>
      <c r="B299" t="s">
        <v>10</v>
      </c>
      <c r="C299" t="s">
        <v>6</v>
      </c>
      <c r="D299">
        <v>865000</v>
      </c>
    </row>
    <row r="300" spans="1:4" x14ac:dyDescent="0.25">
      <c r="A300">
        <v>2022</v>
      </c>
      <c r="B300" t="s">
        <v>10</v>
      </c>
      <c r="C300" t="s">
        <v>6</v>
      </c>
      <c r="D300">
        <v>557000</v>
      </c>
    </row>
    <row r="301" spans="1:4" x14ac:dyDescent="0.25">
      <c r="A301">
        <v>2022</v>
      </c>
      <c r="B301" t="s">
        <v>10</v>
      </c>
      <c r="C301" t="s">
        <v>6</v>
      </c>
      <c r="D301">
        <v>931000</v>
      </c>
    </row>
    <row r="302" spans="1:4" x14ac:dyDescent="0.25">
      <c r="A302">
        <v>2022</v>
      </c>
      <c r="B302" t="s">
        <v>10</v>
      </c>
      <c r="C302" t="s">
        <v>6</v>
      </c>
      <c r="D302">
        <v>728000</v>
      </c>
    </row>
    <row r="303" spans="1:4" x14ac:dyDescent="0.25">
      <c r="A303">
        <v>2022</v>
      </c>
      <c r="B303" t="s">
        <v>10</v>
      </c>
      <c r="C303" t="s">
        <v>6</v>
      </c>
      <c r="D303">
        <v>847000</v>
      </c>
    </row>
    <row r="304" spans="1:4" x14ac:dyDescent="0.25">
      <c r="A304">
        <v>2022</v>
      </c>
      <c r="B304" t="s">
        <v>10</v>
      </c>
      <c r="C304" t="s">
        <v>6</v>
      </c>
      <c r="D304">
        <v>658000</v>
      </c>
    </row>
    <row r="305" spans="1:4" x14ac:dyDescent="0.25">
      <c r="A305">
        <v>2022</v>
      </c>
      <c r="B305" t="s">
        <v>10</v>
      </c>
      <c r="C305" t="s">
        <v>6</v>
      </c>
      <c r="D305">
        <v>958000</v>
      </c>
    </row>
    <row r="306" spans="1:4" x14ac:dyDescent="0.25">
      <c r="A306">
        <v>2022</v>
      </c>
      <c r="B306" t="s">
        <v>10</v>
      </c>
      <c r="C306" t="s">
        <v>6</v>
      </c>
      <c r="D306">
        <v>844000</v>
      </c>
    </row>
    <row r="307" spans="1:4" x14ac:dyDescent="0.25">
      <c r="A307">
        <v>2022</v>
      </c>
      <c r="B307" t="s">
        <v>10</v>
      </c>
      <c r="C307" t="s">
        <v>6</v>
      </c>
      <c r="D307">
        <v>836000</v>
      </c>
    </row>
    <row r="308" spans="1:4" x14ac:dyDescent="0.25">
      <c r="A308">
        <v>2022</v>
      </c>
      <c r="B308" t="s">
        <v>10</v>
      </c>
      <c r="C308" t="s">
        <v>6</v>
      </c>
      <c r="D308">
        <v>842500</v>
      </c>
    </row>
    <row r="309" spans="1:4" x14ac:dyDescent="0.25">
      <c r="A309">
        <v>2022</v>
      </c>
      <c r="B309" t="s">
        <v>10</v>
      </c>
      <c r="C309" t="s">
        <v>6</v>
      </c>
      <c r="D309">
        <v>1268000</v>
      </c>
    </row>
    <row r="310" spans="1:4" x14ac:dyDescent="0.25">
      <c r="A310">
        <v>2022</v>
      </c>
      <c r="B310" t="s">
        <v>10</v>
      </c>
      <c r="C310" t="s">
        <v>6</v>
      </c>
      <c r="D310">
        <v>560000</v>
      </c>
    </row>
    <row r="311" spans="1:4" x14ac:dyDescent="0.25">
      <c r="A311">
        <v>2022</v>
      </c>
      <c r="B311" t="s">
        <v>10</v>
      </c>
      <c r="C311" t="s">
        <v>6</v>
      </c>
      <c r="D311">
        <v>534000</v>
      </c>
    </row>
    <row r="312" spans="1:4" x14ac:dyDescent="0.25">
      <c r="A312">
        <v>2022</v>
      </c>
      <c r="B312" t="s">
        <v>10</v>
      </c>
      <c r="C312" t="s">
        <v>6</v>
      </c>
      <c r="D312">
        <v>704000</v>
      </c>
    </row>
    <row r="313" spans="1:4" x14ac:dyDescent="0.25">
      <c r="A313">
        <v>2022</v>
      </c>
      <c r="B313" t="s">
        <v>10</v>
      </c>
      <c r="C313" t="s">
        <v>6</v>
      </c>
      <c r="D313">
        <v>571000</v>
      </c>
    </row>
    <row r="314" spans="1:4" x14ac:dyDescent="0.25">
      <c r="A314">
        <v>2022</v>
      </c>
      <c r="B314" t="s">
        <v>10</v>
      </c>
      <c r="C314" t="s">
        <v>6</v>
      </c>
      <c r="D314">
        <v>562000</v>
      </c>
    </row>
    <row r="315" spans="1:4" x14ac:dyDescent="0.25">
      <c r="A315">
        <v>2022</v>
      </c>
      <c r="B315" t="s">
        <v>10</v>
      </c>
      <c r="C315" t="s">
        <v>6</v>
      </c>
      <c r="D315">
        <v>488000</v>
      </c>
    </row>
    <row r="316" spans="1:4" x14ac:dyDescent="0.25">
      <c r="A316">
        <v>2022</v>
      </c>
      <c r="B316" t="s">
        <v>10</v>
      </c>
      <c r="C316" t="s">
        <v>6</v>
      </c>
      <c r="D316">
        <v>616000</v>
      </c>
    </row>
    <row r="317" spans="1:4" x14ac:dyDescent="0.25">
      <c r="A317">
        <v>2022</v>
      </c>
      <c r="B317" t="s">
        <v>10</v>
      </c>
      <c r="C317" t="s">
        <v>6</v>
      </c>
      <c r="D317">
        <v>947000</v>
      </c>
    </row>
    <row r="318" spans="1:4" x14ac:dyDescent="0.25">
      <c r="A318">
        <v>2022</v>
      </c>
      <c r="B318" t="s">
        <v>10</v>
      </c>
      <c r="C318" t="s">
        <v>6</v>
      </c>
      <c r="D318">
        <v>458500</v>
      </c>
    </row>
    <row r="319" spans="1:4" x14ac:dyDescent="0.25">
      <c r="A319">
        <v>2022</v>
      </c>
      <c r="B319" t="s">
        <v>10</v>
      </c>
      <c r="C319" t="s">
        <v>6</v>
      </c>
      <c r="D319">
        <v>969000</v>
      </c>
    </row>
    <row r="320" spans="1:4" x14ac:dyDescent="0.25">
      <c r="A320">
        <v>2022</v>
      </c>
      <c r="B320" t="s">
        <v>10</v>
      </c>
      <c r="C320" t="s">
        <v>6</v>
      </c>
      <c r="D320">
        <v>1254000</v>
      </c>
    </row>
    <row r="321" spans="1:4" x14ac:dyDescent="0.25">
      <c r="A321">
        <v>2022</v>
      </c>
      <c r="B321" t="s">
        <v>10</v>
      </c>
      <c r="C321" t="s">
        <v>6</v>
      </c>
      <c r="D321">
        <v>1147000</v>
      </c>
    </row>
    <row r="322" spans="1:4" x14ac:dyDescent="0.25">
      <c r="A322">
        <v>2022</v>
      </c>
      <c r="B322" t="s">
        <v>10</v>
      </c>
      <c r="C322" t="s">
        <v>6</v>
      </c>
      <c r="D322">
        <v>1034000</v>
      </c>
    </row>
    <row r="323" spans="1:4" x14ac:dyDescent="0.25">
      <c r="A323">
        <v>2022</v>
      </c>
      <c r="B323" t="s">
        <v>10</v>
      </c>
      <c r="C323" t="s">
        <v>6</v>
      </c>
      <c r="D323">
        <v>2675000</v>
      </c>
    </row>
    <row r="324" spans="1:4" x14ac:dyDescent="0.25">
      <c r="A324">
        <v>2022</v>
      </c>
      <c r="B324" t="s">
        <v>10</v>
      </c>
      <c r="C324" t="s">
        <v>6</v>
      </c>
      <c r="D324">
        <v>2860000</v>
      </c>
    </row>
    <row r="325" spans="1:4" x14ac:dyDescent="0.25">
      <c r="A325">
        <v>2022</v>
      </c>
      <c r="B325" t="s">
        <v>10</v>
      </c>
      <c r="C325" t="s">
        <v>8</v>
      </c>
      <c r="D325">
        <v>146812000</v>
      </c>
    </row>
    <row r="326" spans="1:4" x14ac:dyDescent="0.25">
      <c r="A326">
        <v>2022</v>
      </c>
      <c r="B326" t="s">
        <v>10</v>
      </c>
      <c r="C326" t="s">
        <v>8</v>
      </c>
      <c r="D326">
        <v>1950000</v>
      </c>
    </row>
    <row r="327" spans="1:4" x14ac:dyDescent="0.25">
      <c r="A327">
        <v>2022</v>
      </c>
      <c r="B327" t="s">
        <v>10</v>
      </c>
      <c r="C327" t="s">
        <v>8</v>
      </c>
      <c r="D327">
        <v>500000</v>
      </c>
    </row>
    <row r="328" spans="1:4" x14ac:dyDescent="0.25">
      <c r="A328">
        <v>2022</v>
      </c>
      <c r="B328" t="s">
        <v>11</v>
      </c>
      <c r="C328" t="s">
        <v>5</v>
      </c>
      <c r="D328">
        <v>2628406348</v>
      </c>
    </row>
    <row r="329" spans="1:4" x14ac:dyDescent="0.25">
      <c r="A329">
        <v>2022</v>
      </c>
      <c r="B329" t="s">
        <v>11</v>
      </c>
      <c r="C329" t="s">
        <v>5</v>
      </c>
      <c r="D329">
        <v>37137096</v>
      </c>
    </row>
    <row r="330" spans="1:4" x14ac:dyDescent="0.25">
      <c r="A330">
        <v>2022</v>
      </c>
      <c r="B330" t="s">
        <v>11</v>
      </c>
      <c r="C330" t="s">
        <v>5</v>
      </c>
      <c r="D330">
        <v>1217977152</v>
      </c>
    </row>
    <row r="331" spans="1:4" x14ac:dyDescent="0.25">
      <c r="A331">
        <v>2022</v>
      </c>
      <c r="B331" t="s">
        <v>11</v>
      </c>
      <c r="C331" t="s">
        <v>5</v>
      </c>
      <c r="D331">
        <v>403692312</v>
      </c>
    </row>
    <row r="332" spans="1:4" x14ac:dyDescent="0.25">
      <c r="A332">
        <v>2022</v>
      </c>
      <c r="B332" t="s">
        <v>11</v>
      </c>
      <c r="C332" t="s">
        <v>5</v>
      </c>
      <c r="D332">
        <v>757744728</v>
      </c>
    </row>
    <row r="333" spans="1:4" x14ac:dyDescent="0.25">
      <c r="A333">
        <v>2022</v>
      </c>
      <c r="B333" t="s">
        <v>11</v>
      </c>
      <c r="C333" t="s">
        <v>5</v>
      </c>
      <c r="D333">
        <v>673138104</v>
      </c>
    </row>
    <row r="334" spans="1:4" x14ac:dyDescent="0.25">
      <c r="A334">
        <v>2022</v>
      </c>
      <c r="B334" t="s">
        <v>11</v>
      </c>
      <c r="C334" t="s">
        <v>5</v>
      </c>
      <c r="D334">
        <v>342913860</v>
      </c>
    </row>
    <row r="335" spans="1:4" x14ac:dyDescent="0.25">
      <c r="A335">
        <v>2022</v>
      </c>
      <c r="B335" t="s">
        <v>11</v>
      </c>
      <c r="C335" t="s">
        <v>5</v>
      </c>
      <c r="D335">
        <v>2282400</v>
      </c>
    </row>
    <row r="336" spans="1:4" x14ac:dyDescent="0.25">
      <c r="A336">
        <v>2022</v>
      </c>
      <c r="B336" t="s">
        <v>11</v>
      </c>
      <c r="C336" t="s">
        <v>6</v>
      </c>
      <c r="D336">
        <v>605135800</v>
      </c>
    </row>
    <row r="337" spans="1:4" x14ac:dyDescent="0.25">
      <c r="A337">
        <v>2022</v>
      </c>
      <c r="B337" t="s">
        <v>11</v>
      </c>
      <c r="C337" t="s">
        <v>6</v>
      </c>
      <c r="D337">
        <v>37757000</v>
      </c>
    </row>
    <row r="338" spans="1:4" x14ac:dyDescent="0.25">
      <c r="A338">
        <v>2022</v>
      </c>
      <c r="B338" t="s">
        <v>11</v>
      </c>
      <c r="C338" t="s">
        <v>6</v>
      </c>
      <c r="D338">
        <v>356400</v>
      </c>
    </row>
    <row r="339" spans="1:4" x14ac:dyDescent="0.25">
      <c r="A339">
        <v>2022</v>
      </c>
      <c r="B339" t="s">
        <v>11</v>
      </c>
      <c r="C339" t="s">
        <v>6</v>
      </c>
      <c r="D339">
        <v>800000</v>
      </c>
    </row>
    <row r="340" spans="1:4" x14ac:dyDescent="0.25">
      <c r="A340">
        <v>2022</v>
      </c>
      <c r="B340" t="s">
        <v>11</v>
      </c>
      <c r="C340" t="s">
        <v>6</v>
      </c>
      <c r="D340">
        <v>888900</v>
      </c>
    </row>
    <row r="341" spans="1:4" x14ac:dyDescent="0.25">
      <c r="A341">
        <v>2022</v>
      </c>
      <c r="B341" t="s">
        <v>11</v>
      </c>
      <c r="C341" t="s">
        <v>6</v>
      </c>
      <c r="D341">
        <v>2115000</v>
      </c>
    </row>
    <row r="342" spans="1:4" x14ac:dyDescent="0.25">
      <c r="A342">
        <v>2022</v>
      </c>
      <c r="B342" t="s">
        <v>11</v>
      </c>
      <c r="C342" t="s">
        <v>6</v>
      </c>
      <c r="D342">
        <v>2293900</v>
      </c>
    </row>
    <row r="343" spans="1:4" x14ac:dyDescent="0.25">
      <c r="A343">
        <v>2022</v>
      </c>
      <c r="B343" t="s">
        <v>11</v>
      </c>
      <c r="C343" t="s">
        <v>8</v>
      </c>
      <c r="D343">
        <v>119904800</v>
      </c>
    </row>
    <row r="344" spans="1:4" x14ac:dyDescent="0.25">
      <c r="A344">
        <v>2022</v>
      </c>
      <c r="B344" t="s">
        <v>11</v>
      </c>
      <c r="C344" t="s">
        <v>8</v>
      </c>
      <c r="D344">
        <v>1265500</v>
      </c>
    </row>
    <row r="345" spans="1:4" x14ac:dyDescent="0.25">
      <c r="A345">
        <v>2022</v>
      </c>
      <c r="B345" t="s">
        <v>11</v>
      </c>
      <c r="C345" t="s">
        <v>8</v>
      </c>
      <c r="D345">
        <v>5503500</v>
      </c>
    </row>
    <row r="346" spans="1:4" x14ac:dyDescent="0.25">
      <c r="A346">
        <v>2022</v>
      </c>
      <c r="B346" t="s">
        <v>11</v>
      </c>
      <c r="C346" t="s">
        <v>8</v>
      </c>
      <c r="D346">
        <v>4001000</v>
      </c>
    </row>
    <row r="347" spans="1:4" x14ac:dyDescent="0.25">
      <c r="A347">
        <v>2022</v>
      </c>
      <c r="B347" t="s">
        <v>11</v>
      </c>
      <c r="C347" t="s">
        <v>8</v>
      </c>
      <c r="D347">
        <v>12002000</v>
      </c>
    </row>
    <row r="348" spans="1:4" x14ac:dyDescent="0.25">
      <c r="A348">
        <v>2022</v>
      </c>
      <c r="B348" t="s">
        <v>11</v>
      </c>
      <c r="C348" t="s">
        <v>8</v>
      </c>
      <c r="D348">
        <v>24226000</v>
      </c>
    </row>
    <row r="349" spans="1:4" x14ac:dyDescent="0.25">
      <c r="A349">
        <v>2022</v>
      </c>
      <c r="B349" t="s">
        <v>11</v>
      </c>
      <c r="C349" t="s">
        <v>8</v>
      </c>
      <c r="D349">
        <v>32501000</v>
      </c>
    </row>
    <row r="350" spans="1:4" x14ac:dyDescent="0.25">
      <c r="A350">
        <v>2022</v>
      </c>
      <c r="B350" t="s">
        <v>11</v>
      </c>
      <c r="C350" t="s">
        <v>8</v>
      </c>
      <c r="D350">
        <v>30000</v>
      </c>
    </row>
    <row r="351" spans="1:4" x14ac:dyDescent="0.25">
      <c r="A351">
        <v>2022</v>
      </c>
      <c r="B351" t="s">
        <v>11</v>
      </c>
      <c r="C351" t="s">
        <v>8</v>
      </c>
      <c r="D351">
        <v>43200</v>
      </c>
    </row>
    <row r="352" spans="1:4" x14ac:dyDescent="0.25">
      <c r="A352">
        <v>2022</v>
      </c>
      <c r="B352" t="s">
        <v>11</v>
      </c>
      <c r="C352" t="s">
        <v>8</v>
      </c>
      <c r="D352">
        <v>22000</v>
      </c>
    </row>
    <row r="353" spans="1:4" x14ac:dyDescent="0.25">
      <c r="A353">
        <v>2022</v>
      </c>
      <c r="B353" t="s">
        <v>12</v>
      </c>
      <c r="C353" t="s">
        <v>6</v>
      </c>
      <c r="D353">
        <v>6495704000</v>
      </c>
    </row>
    <row r="354" spans="1:4" x14ac:dyDescent="0.25">
      <c r="A354">
        <v>2022</v>
      </c>
      <c r="B354" t="s">
        <v>13</v>
      </c>
      <c r="C354" t="s">
        <v>6</v>
      </c>
      <c r="D354">
        <v>1329816000</v>
      </c>
    </row>
    <row r="355" spans="1:4" x14ac:dyDescent="0.25">
      <c r="A355">
        <v>2022</v>
      </c>
      <c r="B355" t="s">
        <v>14</v>
      </c>
      <c r="C355" t="s">
        <v>5</v>
      </c>
      <c r="D355">
        <v>11396180</v>
      </c>
    </row>
    <row r="356" spans="1:4" x14ac:dyDescent="0.25">
      <c r="A356">
        <v>2022</v>
      </c>
      <c r="B356" t="s">
        <v>14</v>
      </c>
      <c r="C356" t="s">
        <v>5</v>
      </c>
      <c r="D356">
        <v>44619072</v>
      </c>
    </row>
    <row r="357" spans="1:4" x14ac:dyDescent="0.25">
      <c r="A357">
        <v>2022</v>
      </c>
      <c r="B357" t="s">
        <v>14</v>
      </c>
      <c r="C357" t="s">
        <v>5</v>
      </c>
      <c r="D357">
        <v>249618552</v>
      </c>
    </row>
    <row r="358" spans="1:4" x14ac:dyDescent="0.25">
      <c r="A358">
        <v>2022</v>
      </c>
      <c r="B358" t="s">
        <v>14</v>
      </c>
      <c r="C358" t="s">
        <v>5</v>
      </c>
      <c r="D358">
        <v>41318100</v>
      </c>
    </row>
    <row r="359" spans="1:4" x14ac:dyDescent="0.25">
      <c r="A359">
        <v>2022</v>
      </c>
      <c r="B359" t="s">
        <v>14</v>
      </c>
      <c r="C359" t="s">
        <v>5</v>
      </c>
      <c r="D359">
        <v>19957036</v>
      </c>
    </row>
    <row r="360" spans="1:4" x14ac:dyDescent="0.25">
      <c r="A360">
        <v>2022</v>
      </c>
      <c r="B360" t="s">
        <v>14</v>
      </c>
      <c r="C360" t="s">
        <v>5</v>
      </c>
      <c r="D360">
        <v>19873144</v>
      </c>
    </row>
    <row r="361" spans="1:4" x14ac:dyDescent="0.25">
      <c r="A361">
        <v>2022</v>
      </c>
      <c r="B361" t="s">
        <v>14</v>
      </c>
      <c r="C361" t="s">
        <v>5</v>
      </c>
      <c r="D361">
        <v>32453984</v>
      </c>
    </row>
    <row r="362" spans="1:4" x14ac:dyDescent="0.25">
      <c r="A362">
        <v>2022</v>
      </c>
      <c r="B362" t="s">
        <v>14</v>
      </c>
      <c r="C362" t="s">
        <v>5</v>
      </c>
      <c r="D362">
        <v>9675096</v>
      </c>
    </row>
    <row r="363" spans="1:4" x14ac:dyDescent="0.25">
      <c r="A363">
        <v>2022</v>
      </c>
      <c r="B363" t="s">
        <v>14</v>
      </c>
      <c r="C363" t="s">
        <v>5</v>
      </c>
      <c r="D363">
        <v>5463436</v>
      </c>
    </row>
    <row r="364" spans="1:4" x14ac:dyDescent="0.25">
      <c r="A364">
        <v>2022</v>
      </c>
      <c r="B364" t="s">
        <v>14</v>
      </c>
      <c r="C364" t="s">
        <v>5</v>
      </c>
      <c r="D364">
        <v>578600</v>
      </c>
    </row>
    <row r="365" spans="1:4" x14ac:dyDescent="0.25">
      <c r="A365">
        <v>2022</v>
      </c>
      <c r="B365" t="s">
        <v>14</v>
      </c>
      <c r="C365" t="s">
        <v>5</v>
      </c>
      <c r="D365">
        <v>1585200</v>
      </c>
    </row>
    <row r="366" spans="1:4" x14ac:dyDescent="0.25">
      <c r="A366">
        <v>2022</v>
      </c>
      <c r="B366" t="s">
        <v>14</v>
      </c>
      <c r="C366" t="s">
        <v>5</v>
      </c>
      <c r="D366">
        <v>405600</v>
      </c>
    </row>
    <row r="367" spans="1:4" x14ac:dyDescent="0.25">
      <c r="A367">
        <v>2022</v>
      </c>
      <c r="B367" t="s">
        <v>14</v>
      </c>
      <c r="C367" t="s">
        <v>5</v>
      </c>
      <c r="D367">
        <v>141600</v>
      </c>
    </row>
    <row r="368" spans="1:4" x14ac:dyDescent="0.25">
      <c r="A368">
        <v>2022</v>
      </c>
      <c r="B368" t="s">
        <v>14</v>
      </c>
      <c r="C368" t="s">
        <v>5</v>
      </c>
      <c r="D368">
        <v>175000</v>
      </c>
    </row>
    <row r="369" spans="1:4" x14ac:dyDescent="0.25">
      <c r="A369">
        <v>2022</v>
      </c>
      <c r="B369" t="s">
        <v>14</v>
      </c>
      <c r="C369" t="s">
        <v>5</v>
      </c>
      <c r="D369">
        <v>231600</v>
      </c>
    </row>
    <row r="370" spans="1:4" x14ac:dyDescent="0.25">
      <c r="A370">
        <v>2022</v>
      </c>
      <c r="B370" t="s">
        <v>14</v>
      </c>
      <c r="C370" t="s">
        <v>5</v>
      </c>
      <c r="D370">
        <v>2704200</v>
      </c>
    </row>
    <row r="371" spans="1:4" x14ac:dyDescent="0.25">
      <c r="A371">
        <v>2022</v>
      </c>
      <c r="B371" t="s">
        <v>14</v>
      </c>
      <c r="C371" t="s">
        <v>5</v>
      </c>
      <c r="D371">
        <v>581600</v>
      </c>
    </row>
    <row r="372" spans="1:4" x14ac:dyDescent="0.25">
      <c r="A372">
        <v>2022</v>
      </c>
      <c r="B372" t="s">
        <v>14</v>
      </c>
      <c r="C372" t="s">
        <v>5</v>
      </c>
      <c r="D372">
        <v>349600</v>
      </c>
    </row>
    <row r="373" spans="1:4" x14ac:dyDescent="0.25">
      <c r="A373">
        <v>2022</v>
      </c>
      <c r="B373" t="s">
        <v>14</v>
      </c>
      <c r="C373" t="s">
        <v>5</v>
      </c>
      <c r="D373">
        <v>153000</v>
      </c>
    </row>
    <row r="374" spans="1:4" x14ac:dyDescent="0.25">
      <c r="A374">
        <v>2022</v>
      </c>
      <c r="B374" t="s">
        <v>14</v>
      </c>
      <c r="C374" t="s">
        <v>5</v>
      </c>
      <c r="D374">
        <v>81600</v>
      </c>
    </row>
    <row r="375" spans="1:4" x14ac:dyDescent="0.25">
      <c r="A375">
        <v>2022</v>
      </c>
      <c r="B375" t="s">
        <v>14</v>
      </c>
      <c r="C375" t="s">
        <v>5</v>
      </c>
      <c r="D375">
        <v>11306800</v>
      </c>
    </row>
    <row r="376" spans="1:4" x14ac:dyDescent="0.25">
      <c r="A376">
        <v>2022</v>
      </c>
      <c r="B376" t="s">
        <v>14</v>
      </c>
      <c r="C376" t="s">
        <v>5</v>
      </c>
      <c r="D376">
        <v>1051600</v>
      </c>
    </row>
    <row r="377" spans="1:4" x14ac:dyDescent="0.25">
      <c r="A377">
        <v>2022</v>
      </c>
      <c r="B377" t="s">
        <v>14</v>
      </c>
      <c r="C377" t="s">
        <v>5</v>
      </c>
      <c r="D377">
        <v>10246400</v>
      </c>
    </row>
    <row r="378" spans="1:4" x14ac:dyDescent="0.25">
      <c r="A378">
        <v>2022</v>
      </c>
      <c r="B378" t="s">
        <v>14</v>
      </c>
      <c r="C378" t="s">
        <v>6</v>
      </c>
      <c r="D378">
        <v>351090000</v>
      </c>
    </row>
    <row r="379" spans="1:4" x14ac:dyDescent="0.25">
      <c r="A379">
        <v>2022</v>
      </c>
      <c r="B379" t="s">
        <v>14</v>
      </c>
      <c r="C379" t="s">
        <v>6</v>
      </c>
      <c r="D379">
        <v>216587300</v>
      </c>
    </row>
    <row r="380" spans="1:4" x14ac:dyDescent="0.25">
      <c r="A380">
        <v>2022</v>
      </c>
      <c r="B380" t="s">
        <v>14</v>
      </c>
      <c r="C380" t="s">
        <v>6</v>
      </c>
      <c r="D380">
        <v>1349100</v>
      </c>
    </row>
    <row r="381" spans="1:4" x14ac:dyDescent="0.25">
      <c r="A381">
        <v>2022</v>
      </c>
      <c r="B381" t="s">
        <v>14</v>
      </c>
      <c r="C381" t="s">
        <v>6</v>
      </c>
      <c r="D381">
        <v>54400</v>
      </c>
    </row>
    <row r="382" spans="1:4" x14ac:dyDescent="0.25">
      <c r="A382">
        <v>2022</v>
      </c>
      <c r="B382" t="s">
        <v>14</v>
      </c>
      <c r="C382" t="s">
        <v>6</v>
      </c>
      <c r="D382">
        <v>349800</v>
      </c>
    </row>
    <row r="383" spans="1:4" x14ac:dyDescent="0.25">
      <c r="A383">
        <v>2022</v>
      </c>
      <c r="B383" t="s">
        <v>14</v>
      </c>
      <c r="C383" t="s">
        <v>6</v>
      </c>
      <c r="D383">
        <v>24400</v>
      </c>
    </row>
    <row r="384" spans="1:4" x14ac:dyDescent="0.25">
      <c r="A384">
        <v>2022</v>
      </c>
      <c r="B384" t="s">
        <v>14</v>
      </c>
      <c r="C384" t="s">
        <v>6</v>
      </c>
      <c r="D384">
        <v>3400</v>
      </c>
    </row>
    <row r="385" spans="1:4" x14ac:dyDescent="0.25">
      <c r="A385">
        <v>2022</v>
      </c>
      <c r="B385" t="s">
        <v>14</v>
      </c>
      <c r="C385" t="s">
        <v>6</v>
      </c>
      <c r="D385">
        <v>30000</v>
      </c>
    </row>
    <row r="386" spans="1:4" x14ac:dyDescent="0.25">
      <c r="A386">
        <v>2022</v>
      </c>
      <c r="B386" t="s">
        <v>14</v>
      </c>
      <c r="C386" t="s">
        <v>6</v>
      </c>
      <c r="D386">
        <v>44400</v>
      </c>
    </row>
    <row r="387" spans="1:4" x14ac:dyDescent="0.25">
      <c r="A387">
        <v>2022</v>
      </c>
      <c r="B387" t="s">
        <v>14</v>
      </c>
      <c r="C387" t="s">
        <v>6</v>
      </c>
      <c r="D387">
        <v>582800</v>
      </c>
    </row>
    <row r="388" spans="1:4" x14ac:dyDescent="0.25">
      <c r="A388">
        <v>2022</v>
      </c>
      <c r="B388" t="s">
        <v>14</v>
      </c>
      <c r="C388" t="s">
        <v>6</v>
      </c>
      <c r="D388">
        <v>21400</v>
      </c>
    </row>
    <row r="389" spans="1:4" x14ac:dyDescent="0.25">
      <c r="A389">
        <v>2022</v>
      </c>
      <c r="B389" t="s">
        <v>14</v>
      </c>
      <c r="C389" t="s">
        <v>6</v>
      </c>
      <c r="D389">
        <v>22400</v>
      </c>
    </row>
    <row r="390" spans="1:4" x14ac:dyDescent="0.25">
      <c r="A390">
        <v>2022</v>
      </c>
      <c r="B390" t="s">
        <v>14</v>
      </c>
      <c r="C390" t="s">
        <v>6</v>
      </c>
      <c r="D390">
        <v>1400</v>
      </c>
    </row>
    <row r="391" spans="1:4" x14ac:dyDescent="0.25">
      <c r="A391">
        <v>2022</v>
      </c>
      <c r="B391" t="s">
        <v>14</v>
      </c>
      <c r="C391" t="s">
        <v>6</v>
      </c>
      <c r="D391">
        <v>5827200</v>
      </c>
    </row>
    <row r="392" spans="1:4" x14ac:dyDescent="0.25">
      <c r="A392">
        <v>2022</v>
      </c>
      <c r="B392" t="s">
        <v>14</v>
      </c>
      <c r="C392" t="s">
        <v>6</v>
      </c>
      <c r="D392">
        <v>297400</v>
      </c>
    </row>
    <row r="393" spans="1:4" x14ac:dyDescent="0.25">
      <c r="A393">
        <v>2022</v>
      </c>
      <c r="B393" t="s">
        <v>14</v>
      </c>
      <c r="C393" t="s">
        <v>6</v>
      </c>
      <c r="D393">
        <v>2595600</v>
      </c>
    </row>
    <row r="394" spans="1:4" x14ac:dyDescent="0.25">
      <c r="A394">
        <v>2022</v>
      </c>
      <c r="B394" t="s">
        <v>14</v>
      </c>
      <c r="C394" t="s">
        <v>7</v>
      </c>
      <c r="D394">
        <v>1000000</v>
      </c>
    </row>
    <row r="395" spans="1:4" x14ac:dyDescent="0.25">
      <c r="A395">
        <v>2022</v>
      </c>
      <c r="B395" t="s">
        <v>14</v>
      </c>
      <c r="C395" t="s">
        <v>8</v>
      </c>
      <c r="D395">
        <v>8512000</v>
      </c>
    </row>
    <row r="396" spans="1:4" x14ac:dyDescent="0.25">
      <c r="A396">
        <v>2022</v>
      </c>
      <c r="B396" t="s">
        <v>14</v>
      </c>
      <c r="C396" t="s">
        <v>8</v>
      </c>
      <c r="D396">
        <v>98000</v>
      </c>
    </row>
    <row r="397" spans="1:4" x14ac:dyDescent="0.25">
      <c r="A397">
        <v>2022</v>
      </c>
      <c r="B397" t="s">
        <v>14</v>
      </c>
      <c r="C397" t="s">
        <v>8</v>
      </c>
      <c r="D397">
        <v>200000</v>
      </c>
    </row>
    <row r="398" spans="1:4" x14ac:dyDescent="0.25">
      <c r="A398">
        <v>2022</v>
      </c>
      <c r="B398" t="s">
        <v>14</v>
      </c>
      <c r="C398" t="s">
        <v>8</v>
      </c>
      <c r="D398">
        <v>12000</v>
      </c>
    </row>
    <row r="399" spans="1:4" x14ac:dyDescent="0.25">
      <c r="A399">
        <v>2022</v>
      </c>
      <c r="B399" t="s">
        <v>14</v>
      </c>
      <c r="C399" t="s">
        <v>8</v>
      </c>
      <c r="D399">
        <v>610000</v>
      </c>
    </row>
    <row r="400" spans="1:4" x14ac:dyDescent="0.25">
      <c r="A400">
        <v>2022</v>
      </c>
      <c r="B400" t="s">
        <v>14</v>
      </c>
      <c r="C400" t="s">
        <v>8</v>
      </c>
      <c r="D400">
        <v>30000</v>
      </c>
    </row>
    <row r="401" spans="1:4" x14ac:dyDescent="0.25">
      <c r="A401">
        <v>2022</v>
      </c>
      <c r="B401" t="s">
        <v>15</v>
      </c>
      <c r="C401" t="s">
        <v>5</v>
      </c>
      <c r="D401">
        <v>360693</v>
      </c>
    </row>
    <row r="402" spans="1:4" x14ac:dyDescent="0.25">
      <c r="A402">
        <v>2022</v>
      </c>
      <c r="B402" t="s">
        <v>15</v>
      </c>
      <c r="C402" t="s">
        <v>5</v>
      </c>
      <c r="D402">
        <v>15776568</v>
      </c>
    </row>
    <row r="403" spans="1:4" x14ac:dyDescent="0.25">
      <c r="A403">
        <v>2022</v>
      </c>
      <c r="B403" t="s">
        <v>15</v>
      </c>
      <c r="C403" t="s">
        <v>5</v>
      </c>
      <c r="D403">
        <v>148047282</v>
      </c>
    </row>
    <row r="404" spans="1:4" x14ac:dyDescent="0.25">
      <c r="A404">
        <v>2022</v>
      </c>
      <c r="B404" t="s">
        <v>15</v>
      </c>
      <c r="C404" t="s">
        <v>5</v>
      </c>
      <c r="D404">
        <v>21760816</v>
      </c>
    </row>
    <row r="405" spans="1:4" x14ac:dyDescent="0.25">
      <c r="A405">
        <v>2022</v>
      </c>
      <c r="B405" t="s">
        <v>15</v>
      </c>
      <c r="C405" t="s">
        <v>5</v>
      </c>
      <c r="D405">
        <v>9921732</v>
      </c>
    </row>
    <row r="406" spans="1:4" x14ac:dyDescent="0.25">
      <c r="A406">
        <v>2022</v>
      </c>
      <c r="B406" t="s">
        <v>15</v>
      </c>
      <c r="C406" t="s">
        <v>5</v>
      </c>
      <c r="D406">
        <v>14406900</v>
      </c>
    </row>
    <row r="407" spans="1:4" x14ac:dyDescent="0.25">
      <c r="A407">
        <v>2022</v>
      </c>
      <c r="B407" t="s">
        <v>15</v>
      </c>
      <c r="C407" t="s">
        <v>5</v>
      </c>
      <c r="D407">
        <v>15236332</v>
      </c>
    </row>
    <row r="408" spans="1:4" x14ac:dyDescent="0.25">
      <c r="A408">
        <v>2022</v>
      </c>
      <c r="B408" t="s">
        <v>15</v>
      </c>
      <c r="C408" t="s">
        <v>5</v>
      </c>
      <c r="D408">
        <v>6108417</v>
      </c>
    </row>
    <row r="409" spans="1:4" x14ac:dyDescent="0.25">
      <c r="A409">
        <v>2022</v>
      </c>
      <c r="B409" t="s">
        <v>15</v>
      </c>
      <c r="C409" t="s">
        <v>5</v>
      </c>
      <c r="D409">
        <v>1369273</v>
      </c>
    </row>
    <row r="410" spans="1:4" x14ac:dyDescent="0.25">
      <c r="A410">
        <v>2022</v>
      </c>
      <c r="B410" t="s">
        <v>15</v>
      </c>
      <c r="C410" t="s">
        <v>5</v>
      </c>
      <c r="D410">
        <v>921987</v>
      </c>
    </row>
    <row r="411" spans="1:4" x14ac:dyDescent="0.25">
      <c r="A411">
        <v>2022</v>
      </c>
      <c r="B411" t="s">
        <v>15</v>
      </c>
      <c r="C411" t="s">
        <v>5</v>
      </c>
      <c r="D411">
        <v>8825000</v>
      </c>
    </row>
    <row r="412" spans="1:4" x14ac:dyDescent="0.25">
      <c r="A412">
        <v>2022</v>
      </c>
      <c r="B412" t="s">
        <v>15</v>
      </c>
      <c r="C412" t="s">
        <v>6</v>
      </c>
      <c r="D412">
        <v>3595315</v>
      </c>
    </row>
    <row r="413" spans="1:4" x14ac:dyDescent="0.25">
      <c r="A413">
        <v>2022</v>
      </c>
      <c r="B413" t="s">
        <v>15</v>
      </c>
      <c r="C413" t="s">
        <v>6</v>
      </c>
      <c r="D413">
        <v>199001891</v>
      </c>
    </row>
    <row r="414" spans="1:4" x14ac:dyDescent="0.25">
      <c r="A414">
        <v>2022</v>
      </c>
      <c r="B414" t="s">
        <v>15</v>
      </c>
      <c r="C414" t="s">
        <v>6</v>
      </c>
      <c r="D414">
        <v>3485872</v>
      </c>
    </row>
    <row r="415" spans="1:4" x14ac:dyDescent="0.25">
      <c r="A415">
        <v>2022</v>
      </c>
      <c r="B415" t="s">
        <v>15</v>
      </c>
      <c r="C415" t="s">
        <v>6</v>
      </c>
      <c r="D415">
        <v>967200</v>
      </c>
    </row>
    <row r="416" spans="1:4" x14ac:dyDescent="0.25">
      <c r="A416">
        <v>2022</v>
      </c>
      <c r="B416" t="s">
        <v>15</v>
      </c>
      <c r="C416" t="s">
        <v>6</v>
      </c>
      <c r="D416">
        <v>1572574</v>
      </c>
    </row>
    <row r="417" spans="1:4" x14ac:dyDescent="0.25">
      <c r="A417">
        <v>2022</v>
      </c>
      <c r="B417" t="s">
        <v>15</v>
      </c>
      <c r="C417" t="s">
        <v>6</v>
      </c>
      <c r="D417">
        <v>1640494</v>
      </c>
    </row>
    <row r="418" spans="1:4" x14ac:dyDescent="0.25">
      <c r="A418">
        <v>2022</v>
      </c>
      <c r="B418" t="s">
        <v>15</v>
      </c>
      <c r="C418" t="s">
        <v>6</v>
      </c>
      <c r="D418">
        <v>2453050</v>
      </c>
    </row>
    <row r="419" spans="1:4" x14ac:dyDescent="0.25">
      <c r="A419">
        <v>2022</v>
      </c>
      <c r="B419" t="s">
        <v>15</v>
      </c>
      <c r="C419" t="s">
        <v>6</v>
      </c>
      <c r="D419">
        <v>4589880</v>
      </c>
    </row>
    <row r="420" spans="1:4" x14ac:dyDescent="0.25">
      <c r="A420">
        <v>2022</v>
      </c>
      <c r="B420" t="s">
        <v>15</v>
      </c>
      <c r="C420" t="s">
        <v>6</v>
      </c>
      <c r="D420">
        <v>2323724</v>
      </c>
    </row>
    <row r="421" spans="1:4" x14ac:dyDescent="0.25">
      <c r="A421">
        <v>2022</v>
      </c>
      <c r="B421" t="s">
        <v>15</v>
      </c>
      <c r="C421" t="s">
        <v>6</v>
      </c>
      <c r="D421">
        <v>13213000</v>
      </c>
    </row>
    <row r="422" spans="1:4" x14ac:dyDescent="0.25">
      <c r="A422">
        <v>2022</v>
      </c>
      <c r="B422" t="s">
        <v>15</v>
      </c>
      <c r="C422" t="s">
        <v>8</v>
      </c>
      <c r="D422">
        <v>31980628</v>
      </c>
    </row>
    <row r="423" spans="1:4" x14ac:dyDescent="0.25">
      <c r="A423">
        <v>2022</v>
      </c>
      <c r="B423" t="s">
        <v>15</v>
      </c>
      <c r="C423" t="s">
        <v>8</v>
      </c>
      <c r="D423">
        <v>320000</v>
      </c>
    </row>
    <row r="424" spans="1:4" x14ac:dyDescent="0.25">
      <c r="A424">
        <v>2022</v>
      </c>
      <c r="B424" t="s">
        <v>15</v>
      </c>
      <c r="C424" t="s">
        <v>8</v>
      </c>
      <c r="D424">
        <v>150000</v>
      </c>
    </row>
    <row r="425" spans="1:4" x14ac:dyDescent="0.25">
      <c r="A425">
        <v>2022</v>
      </c>
      <c r="B425" t="s">
        <v>15</v>
      </c>
      <c r="C425" t="s">
        <v>8</v>
      </c>
      <c r="D425">
        <v>100000</v>
      </c>
    </row>
    <row r="426" spans="1:4" x14ac:dyDescent="0.25">
      <c r="A426">
        <v>2022</v>
      </c>
      <c r="B426" t="s">
        <v>15</v>
      </c>
      <c r="C426" t="s">
        <v>8</v>
      </c>
      <c r="D426">
        <v>25000</v>
      </c>
    </row>
    <row r="427" spans="1:4" x14ac:dyDescent="0.25">
      <c r="A427">
        <v>2022</v>
      </c>
      <c r="B427" t="s">
        <v>15</v>
      </c>
      <c r="C427" t="s">
        <v>8</v>
      </c>
      <c r="D427">
        <v>451950</v>
      </c>
    </row>
    <row r="428" spans="1:4" x14ac:dyDescent="0.25">
      <c r="A428">
        <v>2022</v>
      </c>
      <c r="B428" t="s">
        <v>15</v>
      </c>
      <c r="C428" t="s">
        <v>8</v>
      </c>
      <c r="D428">
        <v>23422</v>
      </c>
    </row>
    <row r="429" spans="1:4" x14ac:dyDescent="0.25">
      <c r="A429">
        <v>2022</v>
      </c>
      <c r="B429" t="s">
        <v>16</v>
      </c>
      <c r="C429" t="s">
        <v>5</v>
      </c>
      <c r="D429">
        <v>54893</v>
      </c>
    </row>
    <row r="430" spans="1:4" x14ac:dyDescent="0.25">
      <c r="A430">
        <v>2022</v>
      </c>
      <c r="B430" t="s">
        <v>16</v>
      </c>
      <c r="C430" t="s">
        <v>5</v>
      </c>
      <c r="D430">
        <v>34533435</v>
      </c>
    </row>
    <row r="431" spans="1:4" x14ac:dyDescent="0.25">
      <c r="A431">
        <v>2022</v>
      </c>
      <c r="B431" t="s">
        <v>16</v>
      </c>
      <c r="C431" t="s">
        <v>5</v>
      </c>
      <c r="D431">
        <v>42300672</v>
      </c>
    </row>
    <row r="432" spans="1:4" x14ac:dyDescent="0.25">
      <c r="A432">
        <v>2022</v>
      </c>
      <c r="B432" t="s">
        <v>16</v>
      </c>
      <c r="C432" t="s">
        <v>6</v>
      </c>
      <c r="D432">
        <v>1147320</v>
      </c>
    </row>
    <row r="433" spans="1:4" x14ac:dyDescent="0.25">
      <c r="A433">
        <v>2022</v>
      </c>
      <c r="B433" t="s">
        <v>16</v>
      </c>
      <c r="C433" t="s">
        <v>6</v>
      </c>
      <c r="D433">
        <v>33795680</v>
      </c>
    </row>
    <row r="434" spans="1:4" x14ac:dyDescent="0.25">
      <c r="A434">
        <v>2022</v>
      </c>
      <c r="B434" t="s">
        <v>16</v>
      </c>
      <c r="C434" t="s">
        <v>8</v>
      </c>
      <c r="D434">
        <v>3373000</v>
      </c>
    </row>
    <row r="435" spans="1:4" x14ac:dyDescent="0.25">
      <c r="A435">
        <v>2022</v>
      </c>
      <c r="B435" t="s">
        <v>17</v>
      </c>
      <c r="C435" t="s">
        <v>5</v>
      </c>
      <c r="D435">
        <v>72138424</v>
      </c>
    </row>
    <row r="436" spans="1:4" x14ac:dyDescent="0.25">
      <c r="A436">
        <v>2022</v>
      </c>
      <c r="B436" t="s">
        <v>17</v>
      </c>
      <c r="C436" t="s">
        <v>5</v>
      </c>
      <c r="D436">
        <v>26923576</v>
      </c>
    </row>
    <row r="437" spans="1:4" x14ac:dyDescent="0.25">
      <c r="A437">
        <v>2022</v>
      </c>
      <c r="B437" t="s">
        <v>17</v>
      </c>
      <c r="C437" t="s">
        <v>6</v>
      </c>
      <c r="D437">
        <v>108000000</v>
      </c>
    </row>
    <row r="438" spans="1:4" x14ac:dyDescent="0.25">
      <c r="A438">
        <v>2022</v>
      </c>
      <c r="B438" t="s">
        <v>17</v>
      </c>
      <c r="C438" t="s">
        <v>8</v>
      </c>
      <c r="D438">
        <v>4800000</v>
      </c>
    </row>
    <row r="439" spans="1:4" x14ac:dyDescent="0.25">
      <c r="A439">
        <v>2022</v>
      </c>
      <c r="B439" t="s">
        <v>18</v>
      </c>
      <c r="C439" t="s">
        <v>5</v>
      </c>
      <c r="D439">
        <v>881785</v>
      </c>
    </row>
    <row r="440" spans="1:4" x14ac:dyDescent="0.25">
      <c r="A440">
        <v>2022</v>
      </c>
      <c r="B440" t="s">
        <v>18</v>
      </c>
      <c r="C440" t="s">
        <v>5</v>
      </c>
      <c r="D440">
        <v>76439271</v>
      </c>
    </row>
    <row r="441" spans="1:4" x14ac:dyDescent="0.25">
      <c r="A441">
        <v>2022</v>
      </c>
      <c r="B441" t="s">
        <v>18</v>
      </c>
      <c r="C441" t="s">
        <v>5</v>
      </c>
      <c r="D441">
        <v>37066899</v>
      </c>
    </row>
    <row r="442" spans="1:4" x14ac:dyDescent="0.25">
      <c r="A442">
        <v>2022</v>
      </c>
      <c r="B442" t="s">
        <v>18</v>
      </c>
      <c r="C442" t="s">
        <v>5</v>
      </c>
      <c r="D442">
        <v>4079803</v>
      </c>
    </row>
    <row r="443" spans="1:4" x14ac:dyDescent="0.25">
      <c r="A443">
        <v>2022</v>
      </c>
      <c r="B443" t="s">
        <v>18</v>
      </c>
      <c r="C443" t="s">
        <v>5</v>
      </c>
      <c r="D443">
        <v>3069827</v>
      </c>
    </row>
    <row r="444" spans="1:4" x14ac:dyDescent="0.25">
      <c r="A444">
        <v>2022</v>
      </c>
      <c r="B444" t="s">
        <v>18</v>
      </c>
      <c r="C444" t="s">
        <v>5</v>
      </c>
      <c r="D444">
        <v>2004797</v>
      </c>
    </row>
    <row r="445" spans="1:4" x14ac:dyDescent="0.25">
      <c r="A445">
        <v>2022</v>
      </c>
      <c r="B445" t="s">
        <v>18</v>
      </c>
      <c r="C445" t="s">
        <v>5</v>
      </c>
      <c r="D445">
        <v>5304727</v>
      </c>
    </row>
    <row r="446" spans="1:4" x14ac:dyDescent="0.25">
      <c r="A446">
        <v>2022</v>
      </c>
      <c r="B446" t="s">
        <v>18</v>
      </c>
      <c r="C446" t="s">
        <v>5</v>
      </c>
      <c r="D446">
        <v>1878162</v>
      </c>
    </row>
    <row r="447" spans="1:4" x14ac:dyDescent="0.25">
      <c r="A447">
        <v>2022</v>
      </c>
      <c r="B447" t="s">
        <v>18</v>
      </c>
      <c r="C447" t="s">
        <v>5</v>
      </c>
      <c r="D447">
        <v>936123</v>
      </c>
    </row>
    <row r="448" spans="1:4" x14ac:dyDescent="0.25">
      <c r="A448">
        <v>2022</v>
      </c>
      <c r="B448" t="s">
        <v>18</v>
      </c>
      <c r="C448" t="s">
        <v>5</v>
      </c>
      <c r="D448">
        <v>2173168</v>
      </c>
    </row>
    <row r="449" spans="1:4" x14ac:dyDescent="0.25">
      <c r="A449">
        <v>2022</v>
      </c>
      <c r="B449" t="s">
        <v>18</v>
      </c>
      <c r="C449" t="s">
        <v>5</v>
      </c>
      <c r="D449">
        <v>2956436</v>
      </c>
    </row>
    <row r="450" spans="1:4" x14ac:dyDescent="0.25">
      <c r="A450">
        <v>2022</v>
      </c>
      <c r="B450" t="s">
        <v>18</v>
      </c>
      <c r="C450" t="s">
        <v>5</v>
      </c>
      <c r="D450">
        <v>2361000</v>
      </c>
    </row>
    <row r="451" spans="1:4" x14ac:dyDescent="0.25">
      <c r="A451">
        <v>2022</v>
      </c>
      <c r="B451" t="s">
        <v>18</v>
      </c>
      <c r="C451" t="s">
        <v>5</v>
      </c>
      <c r="D451">
        <v>4294452</v>
      </c>
    </row>
    <row r="452" spans="1:4" x14ac:dyDescent="0.25">
      <c r="A452">
        <v>2022</v>
      </c>
      <c r="B452" t="s">
        <v>18</v>
      </c>
      <c r="C452" t="s">
        <v>5</v>
      </c>
      <c r="D452">
        <v>713550</v>
      </c>
    </row>
    <row r="453" spans="1:4" x14ac:dyDescent="0.25">
      <c r="A453">
        <v>2022</v>
      </c>
      <c r="B453" t="s">
        <v>18</v>
      </c>
      <c r="C453" t="s">
        <v>6</v>
      </c>
      <c r="D453">
        <v>78582396</v>
      </c>
    </row>
    <row r="454" spans="1:4" x14ac:dyDescent="0.25">
      <c r="A454">
        <v>2022</v>
      </c>
      <c r="B454" t="s">
        <v>18</v>
      </c>
      <c r="C454" t="s">
        <v>6</v>
      </c>
      <c r="D454">
        <v>14914104</v>
      </c>
    </row>
    <row r="455" spans="1:4" x14ac:dyDescent="0.25">
      <c r="A455">
        <v>2022</v>
      </c>
      <c r="B455" t="s">
        <v>18</v>
      </c>
      <c r="C455" t="s">
        <v>6</v>
      </c>
      <c r="D455">
        <v>168000</v>
      </c>
    </row>
    <row r="456" spans="1:4" x14ac:dyDescent="0.25">
      <c r="A456">
        <v>2022</v>
      </c>
      <c r="B456" t="s">
        <v>18</v>
      </c>
      <c r="C456" t="s">
        <v>6</v>
      </c>
      <c r="D456">
        <v>189000</v>
      </c>
    </row>
    <row r="457" spans="1:4" x14ac:dyDescent="0.25">
      <c r="A457">
        <v>2022</v>
      </c>
      <c r="B457" t="s">
        <v>18</v>
      </c>
      <c r="C457" t="s">
        <v>6</v>
      </c>
      <c r="D457">
        <v>239000</v>
      </c>
    </row>
    <row r="458" spans="1:4" x14ac:dyDescent="0.25">
      <c r="A458">
        <v>2022</v>
      </c>
      <c r="B458" t="s">
        <v>18</v>
      </c>
      <c r="C458" t="s">
        <v>6</v>
      </c>
      <c r="D458">
        <v>913000</v>
      </c>
    </row>
    <row r="459" spans="1:4" x14ac:dyDescent="0.25">
      <c r="A459">
        <v>2022</v>
      </c>
      <c r="B459" t="s">
        <v>18</v>
      </c>
      <c r="C459" t="s">
        <v>6</v>
      </c>
      <c r="D459">
        <v>798500</v>
      </c>
    </row>
    <row r="460" spans="1:4" x14ac:dyDescent="0.25">
      <c r="A460">
        <v>2022</v>
      </c>
      <c r="B460" t="s">
        <v>18</v>
      </c>
      <c r="C460" t="s">
        <v>19</v>
      </c>
      <c r="D460">
        <v>50000</v>
      </c>
    </row>
    <row r="461" spans="1:4" x14ac:dyDescent="0.25">
      <c r="A461">
        <v>2022</v>
      </c>
      <c r="B461" t="s">
        <v>18</v>
      </c>
      <c r="C461" t="s">
        <v>8</v>
      </c>
      <c r="D461">
        <v>1820000</v>
      </c>
    </row>
    <row r="462" spans="1:4" x14ac:dyDescent="0.25">
      <c r="A462">
        <v>2022</v>
      </c>
      <c r="B462" t="s">
        <v>18</v>
      </c>
      <c r="C462" t="s">
        <v>8</v>
      </c>
      <c r="D462">
        <v>1005000</v>
      </c>
    </row>
    <row r="463" spans="1:4" x14ac:dyDescent="0.25">
      <c r="A463">
        <v>2022</v>
      </c>
      <c r="B463" t="s">
        <v>18</v>
      </c>
      <c r="C463" t="s">
        <v>8</v>
      </c>
      <c r="D463">
        <v>300000</v>
      </c>
    </row>
    <row r="464" spans="1:4" x14ac:dyDescent="0.25">
      <c r="A464">
        <v>2022</v>
      </c>
      <c r="B464" t="s">
        <v>20</v>
      </c>
      <c r="C464" t="s">
        <v>5</v>
      </c>
      <c r="D464">
        <v>119214000</v>
      </c>
    </row>
    <row r="465" spans="1:4" x14ac:dyDescent="0.25">
      <c r="A465">
        <v>2022</v>
      </c>
      <c r="B465" t="s">
        <v>20</v>
      </c>
      <c r="C465" t="s">
        <v>6</v>
      </c>
      <c r="D465">
        <v>12000000</v>
      </c>
    </row>
    <row r="466" spans="1:4" x14ac:dyDescent="0.25">
      <c r="A466">
        <v>2022</v>
      </c>
      <c r="B466" t="s">
        <v>20</v>
      </c>
      <c r="C466" t="s">
        <v>8</v>
      </c>
      <c r="D466">
        <v>2500000</v>
      </c>
    </row>
    <row r="467" spans="1:4" x14ac:dyDescent="0.25">
      <c r="A467">
        <v>2022</v>
      </c>
      <c r="B467" t="s">
        <v>21</v>
      </c>
      <c r="C467" t="s">
        <v>5</v>
      </c>
      <c r="D467">
        <v>1471108</v>
      </c>
    </row>
    <row r="468" spans="1:4" x14ac:dyDescent="0.25">
      <c r="A468">
        <v>2022</v>
      </c>
      <c r="B468" t="s">
        <v>21</v>
      </c>
      <c r="C468" t="s">
        <v>5</v>
      </c>
      <c r="D468">
        <v>73583928</v>
      </c>
    </row>
    <row r="469" spans="1:4" x14ac:dyDescent="0.25">
      <c r="A469">
        <v>2022</v>
      </c>
      <c r="B469" t="s">
        <v>21</v>
      </c>
      <c r="C469" t="s">
        <v>5</v>
      </c>
      <c r="D469">
        <v>226556364</v>
      </c>
    </row>
    <row r="470" spans="1:4" x14ac:dyDescent="0.25">
      <c r="A470">
        <v>2022</v>
      </c>
      <c r="B470" t="s">
        <v>21</v>
      </c>
      <c r="C470" t="s">
        <v>5</v>
      </c>
      <c r="D470">
        <v>39757704</v>
      </c>
    </row>
    <row r="471" spans="1:4" x14ac:dyDescent="0.25">
      <c r="A471">
        <v>2022</v>
      </c>
      <c r="B471" t="s">
        <v>21</v>
      </c>
      <c r="C471" t="s">
        <v>5</v>
      </c>
      <c r="D471">
        <v>25953372</v>
      </c>
    </row>
    <row r="472" spans="1:4" x14ac:dyDescent="0.25">
      <c r="A472">
        <v>2022</v>
      </c>
      <c r="B472" t="s">
        <v>21</v>
      </c>
      <c r="C472" t="s">
        <v>5</v>
      </c>
      <c r="D472">
        <v>21664452</v>
      </c>
    </row>
    <row r="473" spans="1:4" x14ac:dyDescent="0.25">
      <c r="A473">
        <v>2022</v>
      </c>
      <c r="B473" t="s">
        <v>21</v>
      </c>
      <c r="C473" t="s">
        <v>5</v>
      </c>
      <c r="D473">
        <v>30899172</v>
      </c>
    </row>
    <row r="474" spans="1:4" x14ac:dyDescent="0.25">
      <c r="A474">
        <v>2022</v>
      </c>
      <c r="B474" t="s">
        <v>21</v>
      </c>
      <c r="C474" t="s">
        <v>5</v>
      </c>
      <c r="D474">
        <v>11397480</v>
      </c>
    </row>
    <row r="475" spans="1:4" x14ac:dyDescent="0.25">
      <c r="A475">
        <v>2022</v>
      </c>
      <c r="B475" t="s">
        <v>21</v>
      </c>
      <c r="C475" t="s">
        <v>5</v>
      </c>
      <c r="D475">
        <v>26107404</v>
      </c>
    </row>
    <row r="476" spans="1:4" x14ac:dyDescent="0.25">
      <c r="A476">
        <v>2022</v>
      </c>
      <c r="B476" t="s">
        <v>21</v>
      </c>
      <c r="C476" t="s">
        <v>5</v>
      </c>
      <c r="D476">
        <v>3233016</v>
      </c>
    </row>
    <row r="477" spans="1:4" x14ac:dyDescent="0.25">
      <c r="A477">
        <v>2022</v>
      </c>
      <c r="B477" t="s">
        <v>21</v>
      </c>
      <c r="C477" t="s">
        <v>6</v>
      </c>
      <c r="D477">
        <v>18809090</v>
      </c>
    </row>
    <row r="478" spans="1:4" x14ac:dyDescent="0.25">
      <c r="A478">
        <v>2022</v>
      </c>
      <c r="B478" t="s">
        <v>21</v>
      </c>
      <c r="C478" t="s">
        <v>6</v>
      </c>
      <c r="D478">
        <v>92180998</v>
      </c>
    </row>
    <row r="479" spans="1:4" x14ac:dyDescent="0.25">
      <c r="A479">
        <v>2022</v>
      </c>
      <c r="B479" t="s">
        <v>21</v>
      </c>
      <c r="C479" t="s">
        <v>6</v>
      </c>
      <c r="D479">
        <v>4565555</v>
      </c>
    </row>
    <row r="480" spans="1:4" x14ac:dyDescent="0.25">
      <c r="A480">
        <v>2022</v>
      </c>
      <c r="B480" t="s">
        <v>21</v>
      </c>
      <c r="C480" t="s">
        <v>6</v>
      </c>
      <c r="D480">
        <v>1148670</v>
      </c>
    </row>
    <row r="481" spans="1:4" x14ac:dyDescent="0.25">
      <c r="A481">
        <v>2022</v>
      </c>
      <c r="B481" t="s">
        <v>21</v>
      </c>
      <c r="C481" t="s">
        <v>6</v>
      </c>
      <c r="D481">
        <v>801670</v>
      </c>
    </row>
    <row r="482" spans="1:4" x14ac:dyDescent="0.25">
      <c r="A482">
        <v>2022</v>
      </c>
      <c r="B482" t="s">
        <v>21</v>
      </c>
      <c r="C482" t="s">
        <v>6</v>
      </c>
      <c r="D482">
        <v>806670</v>
      </c>
    </row>
    <row r="483" spans="1:4" x14ac:dyDescent="0.25">
      <c r="A483">
        <v>2022</v>
      </c>
      <c r="B483" t="s">
        <v>21</v>
      </c>
      <c r="C483" t="s">
        <v>6</v>
      </c>
      <c r="D483">
        <v>767347</v>
      </c>
    </row>
    <row r="484" spans="1:4" x14ac:dyDescent="0.25">
      <c r="A484">
        <v>2022</v>
      </c>
      <c r="B484" t="s">
        <v>21</v>
      </c>
      <c r="C484" t="s">
        <v>8</v>
      </c>
      <c r="D484">
        <v>55005000</v>
      </c>
    </row>
    <row r="485" spans="1:4" x14ac:dyDescent="0.25">
      <c r="A485">
        <v>2022</v>
      </c>
      <c r="B485" t="s">
        <v>21</v>
      </c>
      <c r="C485" t="s">
        <v>8</v>
      </c>
      <c r="D485">
        <v>1000</v>
      </c>
    </row>
    <row r="486" spans="1:4" x14ac:dyDescent="0.25">
      <c r="A486">
        <v>2022</v>
      </c>
      <c r="B486" t="s">
        <v>22</v>
      </c>
      <c r="C486" t="s">
        <v>5</v>
      </c>
      <c r="D486">
        <v>880360</v>
      </c>
    </row>
    <row r="487" spans="1:4" x14ac:dyDescent="0.25">
      <c r="A487">
        <v>2022</v>
      </c>
      <c r="B487" t="s">
        <v>22</v>
      </c>
      <c r="C487" t="s">
        <v>5</v>
      </c>
      <c r="D487">
        <v>302405118</v>
      </c>
    </row>
    <row r="488" spans="1:4" x14ac:dyDescent="0.25">
      <c r="A488">
        <v>2022</v>
      </c>
      <c r="B488" t="s">
        <v>22</v>
      </c>
      <c r="C488" t="s">
        <v>5</v>
      </c>
      <c r="D488">
        <v>3873444</v>
      </c>
    </row>
    <row r="489" spans="1:4" x14ac:dyDescent="0.25">
      <c r="A489">
        <v>2022</v>
      </c>
      <c r="B489" t="s">
        <v>22</v>
      </c>
      <c r="C489" t="s">
        <v>5</v>
      </c>
      <c r="D489">
        <v>229322344</v>
      </c>
    </row>
    <row r="490" spans="1:4" x14ac:dyDescent="0.25">
      <c r="A490">
        <v>2022</v>
      </c>
      <c r="B490" t="s">
        <v>22</v>
      </c>
      <c r="C490" t="s">
        <v>5</v>
      </c>
      <c r="D490">
        <v>89920494</v>
      </c>
    </row>
    <row r="491" spans="1:4" x14ac:dyDescent="0.25">
      <c r="A491">
        <v>2022</v>
      </c>
      <c r="B491" t="s">
        <v>22</v>
      </c>
      <c r="C491" t="s">
        <v>5</v>
      </c>
      <c r="D491">
        <v>83598432</v>
      </c>
    </row>
    <row r="492" spans="1:4" x14ac:dyDescent="0.25">
      <c r="A492">
        <v>2022</v>
      </c>
      <c r="B492" t="s">
        <v>22</v>
      </c>
      <c r="C492" t="s">
        <v>5</v>
      </c>
      <c r="D492">
        <v>1106100</v>
      </c>
    </row>
    <row r="493" spans="1:4" x14ac:dyDescent="0.25">
      <c r="A493">
        <v>2022</v>
      </c>
      <c r="B493" t="s">
        <v>22</v>
      </c>
      <c r="C493" t="s">
        <v>5</v>
      </c>
      <c r="D493">
        <v>30441708</v>
      </c>
    </row>
    <row r="494" spans="1:4" x14ac:dyDescent="0.25">
      <c r="A494">
        <v>2022</v>
      </c>
      <c r="B494" t="s">
        <v>22</v>
      </c>
      <c r="C494" t="s">
        <v>6</v>
      </c>
      <c r="D494">
        <v>128856400</v>
      </c>
    </row>
    <row r="495" spans="1:4" x14ac:dyDescent="0.25">
      <c r="A495">
        <v>2022</v>
      </c>
      <c r="B495" t="s">
        <v>22</v>
      </c>
      <c r="C495" t="s">
        <v>6</v>
      </c>
      <c r="D495">
        <v>5071600</v>
      </c>
    </row>
    <row r="496" spans="1:4" x14ac:dyDescent="0.25">
      <c r="A496">
        <v>2022</v>
      </c>
      <c r="B496" t="s">
        <v>22</v>
      </c>
      <c r="C496" t="s">
        <v>6</v>
      </c>
      <c r="D496">
        <v>1780000</v>
      </c>
    </row>
    <row r="497" spans="1:4" x14ac:dyDescent="0.25">
      <c r="A497">
        <v>2022</v>
      </c>
      <c r="B497" t="s">
        <v>22</v>
      </c>
      <c r="C497" t="s">
        <v>19</v>
      </c>
      <c r="D497">
        <v>159000</v>
      </c>
    </row>
    <row r="498" spans="1:4" x14ac:dyDescent="0.25">
      <c r="A498">
        <v>2022</v>
      </c>
      <c r="B498" t="s">
        <v>22</v>
      </c>
      <c r="C498" t="s">
        <v>8</v>
      </c>
      <c r="D498">
        <v>650000</v>
      </c>
    </row>
    <row r="499" spans="1:4" x14ac:dyDescent="0.25">
      <c r="A499">
        <v>2022</v>
      </c>
      <c r="B499" t="s">
        <v>22</v>
      </c>
      <c r="C499" t="s">
        <v>8</v>
      </c>
      <c r="D499">
        <v>7215000</v>
      </c>
    </row>
    <row r="500" spans="1:4" x14ac:dyDescent="0.25">
      <c r="A500">
        <v>2022</v>
      </c>
      <c r="B500" t="s">
        <v>22</v>
      </c>
      <c r="C500" t="s">
        <v>8</v>
      </c>
      <c r="D500">
        <v>60000</v>
      </c>
    </row>
    <row r="501" spans="1:4" x14ac:dyDescent="0.25">
      <c r="A501">
        <v>2022</v>
      </c>
      <c r="B501" t="s">
        <v>22</v>
      </c>
      <c r="C501" t="s">
        <v>8</v>
      </c>
      <c r="D501">
        <v>16500000</v>
      </c>
    </row>
    <row r="502" spans="1:4" x14ac:dyDescent="0.25">
      <c r="A502">
        <v>2022</v>
      </c>
      <c r="B502" t="s">
        <v>23</v>
      </c>
      <c r="C502" t="s">
        <v>5</v>
      </c>
      <c r="D502">
        <v>274797</v>
      </c>
    </row>
    <row r="503" spans="1:4" x14ac:dyDescent="0.25">
      <c r="A503">
        <v>2022</v>
      </c>
      <c r="B503" t="s">
        <v>23</v>
      </c>
      <c r="C503" t="s">
        <v>5</v>
      </c>
      <c r="D503">
        <v>17002140</v>
      </c>
    </row>
    <row r="504" spans="1:4" x14ac:dyDescent="0.25">
      <c r="A504">
        <v>2022</v>
      </c>
      <c r="B504" t="s">
        <v>23</v>
      </c>
      <c r="C504" t="s">
        <v>5</v>
      </c>
      <c r="D504">
        <v>116081459</v>
      </c>
    </row>
    <row r="505" spans="1:4" x14ac:dyDescent="0.25">
      <c r="A505">
        <v>2022</v>
      </c>
      <c r="B505" t="s">
        <v>23</v>
      </c>
      <c r="C505" t="s">
        <v>5</v>
      </c>
      <c r="D505">
        <v>13930956</v>
      </c>
    </row>
    <row r="506" spans="1:4" x14ac:dyDescent="0.25">
      <c r="A506">
        <v>2022</v>
      </c>
      <c r="B506" t="s">
        <v>23</v>
      </c>
      <c r="C506" t="s">
        <v>5</v>
      </c>
      <c r="D506">
        <v>2788356</v>
      </c>
    </row>
    <row r="507" spans="1:4" x14ac:dyDescent="0.25">
      <c r="A507">
        <v>2022</v>
      </c>
      <c r="B507" t="s">
        <v>23</v>
      </c>
      <c r="C507" t="s">
        <v>5</v>
      </c>
      <c r="D507">
        <v>14478192</v>
      </c>
    </row>
    <row r="508" spans="1:4" x14ac:dyDescent="0.25">
      <c r="A508">
        <v>2022</v>
      </c>
      <c r="B508" t="s">
        <v>23</v>
      </c>
      <c r="C508" t="s">
        <v>5</v>
      </c>
      <c r="D508">
        <v>11416932</v>
      </c>
    </row>
    <row r="509" spans="1:4" x14ac:dyDescent="0.25">
      <c r="A509">
        <v>2022</v>
      </c>
      <c r="B509" t="s">
        <v>23</v>
      </c>
      <c r="C509" t="s">
        <v>5</v>
      </c>
      <c r="D509">
        <v>6510168</v>
      </c>
    </row>
    <row r="510" spans="1:4" x14ac:dyDescent="0.25">
      <c r="A510">
        <v>2022</v>
      </c>
      <c r="B510" t="s">
        <v>23</v>
      </c>
      <c r="C510" t="s">
        <v>6</v>
      </c>
      <c r="D510">
        <v>62100000</v>
      </c>
    </row>
    <row r="511" spans="1:4" x14ac:dyDescent="0.25">
      <c r="A511">
        <v>2022</v>
      </c>
      <c r="B511" t="s">
        <v>23</v>
      </c>
      <c r="C511" t="s">
        <v>6</v>
      </c>
      <c r="D511">
        <v>4405000</v>
      </c>
    </row>
    <row r="512" spans="1:4" x14ac:dyDescent="0.25">
      <c r="A512">
        <v>2022</v>
      </c>
      <c r="B512" t="s">
        <v>23</v>
      </c>
      <c r="C512" t="s">
        <v>6</v>
      </c>
      <c r="D512">
        <v>5000</v>
      </c>
    </row>
    <row r="513" spans="1:4" x14ac:dyDescent="0.25">
      <c r="A513">
        <v>2022</v>
      </c>
      <c r="B513" t="s">
        <v>23</v>
      </c>
      <c r="C513" t="s">
        <v>6</v>
      </c>
      <c r="D513">
        <v>5000</v>
      </c>
    </row>
    <row r="514" spans="1:4" x14ac:dyDescent="0.25">
      <c r="A514">
        <v>2022</v>
      </c>
      <c r="B514" t="s">
        <v>23</v>
      </c>
      <c r="C514" t="s">
        <v>6</v>
      </c>
      <c r="D514">
        <v>391000</v>
      </c>
    </row>
    <row r="515" spans="1:4" x14ac:dyDescent="0.25">
      <c r="A515">
        <v>2022</v>
      </c>
      <c r="B515" t="s">
        <v>23</v>
      </c>
      <c r="C515" t="s">
        <v>7</v>
      </c>
      <c r="D515">
        <v>11780000</v>
      </c>
    </row>
    <row r="516" spans="1:4" x14ac:dyDescent="0.25">
      <c r="A516">
        <v>2022</v>
      </c>
      <c r="B516" t="s">
        <v>23</v>
      </c>
      <c r="C516" t="s">
        <v>8</v>
      </c>
      <c r="D516">
        <v>3890000</v>
      </c>
    </row>
    <row r="517" spans="1:4" x14ac:dyDescent="0.25">
      <c r="A517">
        <v>2022</v>
      </c>
      <c r="B517" t="s">
        <v>23</v>
      </c>
      <c r="C517" t="s">
        <v>8</v>
      </c>
      <c r="D517">
        <v>400000</v>
      </c>
    </row>
    <row r="518" spans="1:4" x14ac:dyDescent="0.25">
      <c r="A518">
        <v>2022</v>
      </c>
      <c r="B518" t="s">
        <v>24</v>
      </c>
      <c r="C518" t="s">
        <v>5</v>
      </c>
      <c r="D518">
        <v>336504</v>
      </c>
    </row>
    <row r="519" spans="1:4" x14ac:dyDescent="0.25">
      <c r="A519">
        <v>2022</v>
      </c>
      <c r="B519" t="s">
        <v>24</v>
      </c>
      <c r="C519" t="s">
        <v>5</v>
      </c>
      <c r="D519">
        <v>30796145</v>
      </c>
    </row>
    <row r="520" spans="1:4" x14ac:dyDescent="0.25">
      <c r="A520">
        <v>2022</v>
      </c>
      <c r="B520" t="s">
        <v>24</v>
      </c>
      <c r="C520" t="s">
        <v>5</v>
      </c>
      <c r="D520">
        <v>106334191</v>
      </c>
    </row>
    <row r="521" spans="1:4" x14ac:dyDescent="0.25">
      <c r="A521">
        <v>2022</v>
      </c>
      <c r="B521" t="s">
        <v>24</v>
      </c>
      <c r="C521" t="s">
        <v>5</v>
      </c>
      <c r="D521">
        <v>9996824</v>
      </c>
    </row>
    <row r="522" spans="1:4" x14ac:dyDescent="0.25">
      <c r="A522">
        <v>2022</v>
      </c>
      <c r="B522" t="s">
        <v>24</v>
      </c>
      <c r="C522" t="s">
        <v>5</v>
      </c>
      <c r="D522">
        <v>17696580</v>
      </c>
    </row>
    <row r="523" spans="1:4" x14ac:dyDescent="0.25">
      <c r="A523">
        <v>2022</v>
      </c>
      <c r="B523" t="s">
        <v>24</v>
      </c>
      <c r="C523" t="s">
        <v>5</v>
      </c>
      <c r="D523">
        <v>28881256</v>
      </c>
    </row>
    <row r="524" spans="1:4" x14ac:dyDescent="0.25">
      <c r="A524">
        <v>2022</v>
      </c>
      <c r="B524" t="s">
        <v>24</v>
      </c>
      <c r="C524" t="s">
        <v>5</v>
      </c>
      <c r="D524">
        <v>30080492</v>
      </c>
    </row>
    <row r="525" spans="1:4" x14ac:dyDescent="0.25">
      <c r="A525">
        <v>2022</v>
      </c>
      <c r="B525" t="s">
        <v>24</v>
      </c>
      <c r="C525" t="s">
        <v>5</v>
      </c>
      <c r="D525">
        <v>8774008</v>
      </c>
    </row>
    <row r="526" spans="1:4" x14ac:dyDescent="0.25">
      <c r="A526">
        <v>2022</v>
      </c>
      <c r="B526" t="s">
        <v>24</v>
      </c>
      <c r="C526" t="s">
        <v>6</v>
      </c>
      <c r="D526">
        <v>1355000</v>
      </c>
    </row>
    <row r="527" spans="1:4" x14ac:dyDescent="0.25">
      <c r="A527">
        <v>2022</v>
      </c>
      <c r="B527" t="s">
        <v>24</v>
      </c>
      <c r="C527" t="s">
        <v>6</v>
      </c>
      <c r="D527">
        <v>48418000</v>
      </c>
    </row>
    <row r="528" spans="1:4" x14ac:dyDescent="0.25">
      <c r="A528">
        <v>2022</v>
      </c>
      <c r="B528" t="s">
        <v>24</v>
      </c>
      <c r="C528" t="s">
        <v>6</v>
      </c>
      <c r="D528">
        <v>1044000</v>
      </c>
    </row>
    <row r="529" spans="1:4" x14ac:dyDescent="0.25">
      <c r="A529">
        <v>2022</v>
      </c>
      <c r="B529" t="s">
        <v>24</v>
      </c>
      <c r="C529" t="s">
        <v>6</v>
      </c>
      <c r="D529">
        <v>3499000</v>
      </c>
    </row>
    <row r="530" spans="1:4" x14ac:dyDescent="0.25">
      <c r="A530">
        <v>2022</v>
      </c>
      <c r="B530" t="s">
        <v>24</v>
      </c>
      <c r="C530" t="s">
        <v>6</v>
      </c>
      <c r="D530">
        <v>865000</v>
      </c>
    </row>
    <row r="531" spans="1:4" x14ac:dyDescent="0.25">
      <c r="A531">
        <v>2022</v>
      </c>
      <c r="B531" t="s">
        <v>24</v>
      </c>
      <c r="C531" t="s">
        <v>6</v>
      </c>
      <c r="D531">
        <v>610000</v>
      </c>
    </row>
    <row r="532" spans="1:4" x14ac:dyDescent="0.25">
      <c r="A532">
        <v>2022</v>
      </c>
      <c r="B532" t="s">
        <v>24</v>
      </c>
      <c r="C532" t="s">
        <v>6</v>
      </c>
      <c r="D532">
        <v>81000</v>
      </c>
    </row>
    <row r="533" spans="1:4" x14ac:dyDescent="0.25">
      <c r="A533">
        <v>2022</v>
      </c>
      <c r="B533" t="s">
        <v>24</v>
      </c>
      <c r="C533" t="s">
        <v>7</v>
      </c>
      <c r="D533">
        <v>980685000</v>
      </c>
    </row>
    <row r="534" spans="1:4" x14ac:dyDescent="0.25">
      <c r="A534">
        <v>2022</v>
      </c>
      <c r="B534" t="s">
        <v>24</v>
      </c>
      <c r="C534" t="s">
        <v>7</v>
      </c>
      <c r="D534">
        <v>521140000</v>
      </c>
    </row>
    <row r="535" spans="1:4" x14ac:dyDescent="0.25">
      <c r="A535">
        <v>2022</v>
      </c>
      <c r="B535" t="s">
        <v>24</v>
      </c>
      <c r="C535" t="s">
        <v>7</v>
      </c>
      <c r="D535">
        <v>529400000</v>
      </c>
    </row>
    <row r="536" spans="1:4" x14ac:dyDescent="0.25">
      <c r="A536">
        <v>2022</v>
      </c>
      <c r="B536" t="s">
        <v>24</v>
      </c>
      <c r="C536" t="s">
        <v>7</v>
      </c>
      <c r="D536">
        <v>151300000</v>
      </c>
    </row>
    <row r="537" spans="1:4" x14ac:dyDescent="0.25">
      <c r="A537">
        <v>2022</v>
      </c>
      <c r="B537" t="s">
        <v>24</v>
      </c>
      <c r="C537" t="s">
        <v>7</v>
      </c>
      <c r="D537">
        <v>318500000</v>
      </c>
    </row>
    <row r="538" spans="1:4" x14ac:dyDescent="0.25">
      <c r="A538">
        <v>2022</v>
      </c>
      <c r="B538" t="s">
        <v>24</v>
      </c>
      <c r="C538" t="s">
        <v>7</v>
      </c>
      <c r="D538">
        <v>352533000</v>
      </c>
    </row>
    <row r="539" spans="1:4" x14ac:dyDescent="0.25">
      <c r="A539">
        <v>2022</v>
      </c>
      <c r="B539" t="s">
        <v>24</v>
      </c>
      <c r="C539" t="s">
        <v>7</v>
      </c>
      <c r="D539">
        <v>68350000</v>
      </c>
    </row>
    <row r="540" spans="1:4" x14ac:dyDescent="0.25">
      <c r="A540">
        <v>2022</v>
      </c>
      <c r="B540" t="s">
        <v>24</v>
      </c>
      <c r="C540" t="s">
        <v>8</v>
      </c>
      <c r="D540">
        <v>2867000</v>
      </c>
    </row>
    <row r="541" spans="1:4" x14ac:dyDescent="0.25">
      <c r="A541">
        <v>2022</v>
      </c>
      <c r="B541" t="s">
        <v>24</v>
      </c>
      <c r="C541" t="s">
        <v>8</v>
      </c>
      <c r="D541">
        <v>9000000</v>
      </c>
    </row>
    <row r="542" spans="1:4" x14ac:dyDescent="0.25">
      <c r="A542">
        <v>2022</v>
      </c>
      <c r="B542" t="s">
        <v>24</v>
      </c>
      <c r="C542" t="s">
        <v>8</v>
      </c>
      <c r="D542">
        <v>50000</v>
      </c>
    </row>
    <row r="543" spans="1:4" x14ac:dyDescent="0.25">
      <c r="A543">
        <v>2022</v>
      </c>
      <c r="B543" t="s">
        <v>24</v>
      </c>
      <c r="C543" t="s">
        <v>8</v>
      </c>
      <c r="D543">
        <v>0</v>
      </c>
    </row>
    <row r="544" spans="1:4" x14ac:dyDescent="0.25">
      <c r="A544">
        <v>2022</v>
      </c>
      <c r="B544" t="s">
        <v>24</v>
      </c>
      <c r="C544" t="s">
        <v>8</v>
      </c>
      <c r="D544">
        <v>0</v>
      </c>
    </row>
    <row r="545" spans="1:4" x14ac:dyDescent="0.25">
      <c r="A545">
        <v>2022</v>
      </c>
      <c r="B545" t="s">
        <v>25</v>
      </c>
      <c r="C545" t="s">
        <v>5</v>
      </c>
      <c r="D545">
        <v>2350982</v>
      </c>
    </row>
    <row r="546" spans="1:4" x14ac:dyDescent="0.25">
      <c r="A546">
        <v>2022</v>
      </c>
      <c r="B546" t="s">
        <v>25</v>
      </c>
      <c r="C546" t="s">
        <v>5</v>
      </c>
      <c r="D546">
        <v>17684714</v>
      </c>
    </row>
    <row r="547" spans="1:4" x14ac:dyDescent="0.25">
      <c r="A547">
        <v>2022</v>
      </c>
      <c r="B547" t="s">
        <v>25</v>
      </c>
      <c r="C547" t="s">
        <v>5</v>
      </c>
      <c r="D547">
        <v>5984304</v>
      </c>
    </row>
    <row r="548" spans="1:4" x14ac:dyDescent="0.25">
      <c r="A548">
        <v>2022</v>
      </c>
      <c r="B548" t="s">
        <v>25</v>
      </c>
      <c r="C548" t="s">
        <v>6</v>
      </c>
      <c r="D548">
        <v>7979000</v>
      </c>
    </row>
    <row r="549" spans="1:4" x14ac:dyDescent="0.25">
      <c r="A549">
        <v>2022</v>
      </c>
      <c r="B549" t="s">
        <v>25</v>
      </c>
      <c r="C549" t="s">
        <v>6</v>
      </c>
      <c r="D549">
        <v>1807000</v>
      </c>
    </row>
    <row r="550" spans="1:4" x14ac:dyDescent="0.25">
      <c r="A550">
        <v>2022</v>
      </c>
      <c r="B550" t="s">
        <v>25</v>
      </c>
      <c r="C550" t="s">
        <v>8</v>
      </c>
      <c r="D550">
        <v>705000</v>
      </c>
    </row>
    <row r="551" spans="1:4" x14ac:dyDescent="0.25">
      <c r="A551">
        <v>2022</v>
      </c>
      <c r="B551" t="s">
        <v>26</v>
      </c>
      <c r="C551" t="s">
        <v>5</v>
      </c>
      <c r="D551">
        <v>5081000</v>
      </c>
    </row>
    <row r="552" spans="1:4" x14ac:dyDescent="0.25">
      <c r="A552">
        <v>2022</v>
      </c>
      <c r="B552" t="s">
        <v>26</v>
      </c>
      <c r="C552" t="s">
        <v>6</v>
      </c>
      <c r="D552">
        <v>594000</v>
      </c>
    </row>
    <row r="553" spans="1:4" x14ac:dyDescent="0.25">
      <c r="A553">
        <v>2022</v>
      </c>
      <c r="B553" t="s">
        <v>26</v>
      </c>
      <c r="C553" t="s">
        <v>8</v>
      </c>
      <c r="D553">
        <v>20000</v>
      </c>
    </row>
    <row r="554" spans="1:4" x14ac:dyDescent="0.25">
      <c r="A554">
        <v>2022</v>
      </c>
      <c r="B554" t="s">
        <v>27</v>
      </c>
      <c r="C554" t="s">
        <v>5</v>
      </c>
      <c r="D554">
        <v>5145000</v>
      </c>
    </row>
    <row r="555" spans="1:4" x14ac:dyDescent="0.25">
      <c r="A555">
        <v>2022</v>
      </c>
      <c r="B555" t="s">
        <v>27</v>
      </c>
      <c r="C555" t="s">
        <v>6</v>
      </c>
      <c r="D555">
        <v>261000</v>
      </c>
    </row>
    <row r="556" spans="1:4" x14ac:dyDescent="0.25">
      <c r="A556">
        <v>2022</v>
      </c>
      <c r="B556" t="s">
        <v>28</v>
      </c>
      <c r="C556" t="s">
        <v>29</v>
      </c>
      <c r="D556">
        <v>559300000</v>
      </c>
    </row>
    <row r="557" spans="1:4" x14ac:dyDescent="0.25">
      <c r="A557">
        <v>2022</v>
      </c>
      <c r="B557" t="s">
        <v>28</v>
      </c>
      <c r="C557" t="s">
        <v>30</v>
      </c>
      <c r="D557">
        <v>1706482000</v>
      </c>
    </row>
    <row r="558" spans="1:4" x14ac:dyDescent="0.25">
      <c r="A558">
        <v>2022</v>
      </c>
      <c r="B558" t="s">
        <v>28</v>
      </c>
      <c r="C558" t="s">
        <v>31</v>
      </c>
      <c r="D558">
        <v>4839000000</v>
      </c>
    </row>
    <row r="559" spans="1:4" x14ac:dyDescent="0.25">
      <c r="A559">
        <v>2022</v>
      </c>
      <c r="B559" t="s">
        <v>28</v>
      </c>
      <c r="C559" t="s">
        <v>19</v>
      </c>
      <c r="D559">
        <v>7404274000</v>
      </c>
    </row>
    <row r="560" spans="1:4" x14ac:dyDescent="0.25">
      <c r="A560">
        <v>2022</v>
      </c>
      <c r="B560" t="s">
        <v>28</v>
      </c>
      <c r="C560" t="s">
        <v>8</v>
      </c>
      <c r="D560">
        <v>2379575000</v>
      </c>
    </row>
    <row r="561" spans="1:4" x14ac:dyDescent="0.25">
      <c r="A561">
        <v>2022</v>
      </c>
      <c r="B561" t="s">
        <v>32</v>
      </c>
      <c r="C561" t="s">
        <v>5</v>
      </c>
      <c r="D561">
        <v>19043000</v>
      </c>
    </row>
    <row r="562" spans="1:4" x14ac:dyDescent="0.25">
      <c r="A562">
        <v>2022</v>
      </c>
      <c r="B562" t="s">
        <v>32</v>
      </c>
      <c r="C562" t="s">
        <v>6</v>
      </c>
      <c r="D562">
        <v>6178000</v>
      </c>
    </row>
    <row r="563" spans="1:4" x14ac:dyDescent="0.25">
      <c r="A563">
        <v>2022</v>
      </c>
      <c r="B563" t="s">
        <v>32</v>
      </c>
      <c r="C563" t="s">
        <v>8</v>
      </c>
      <c r="D563">
        <v>920000</v>
      </c>
    </row>
    <row r="564" spans="1:4" x14ac:dyDescent="0.25">
      <c r="A564">
        <v>2022</v>
      </c>
      <c r="B564" t="s">
        <v>33</v>
      </c>
      <c r="C564" t="s">
        <v>5</v>
      </c>
      <c r="D564">
        <v>3200000</v>
      </c>
    </row>
    <row r="565" spans="1:4" x14ac:dyDescent="0.25">
      <c r="A565">
        <v>2022</v>
      </c>
      <c r="B565" t="s">
        <v>33</v>
      </c>
      <c r="C565" t="s">
        <v>5</v>
      </c>
      <c r="D565">
        <v>3753672</v>
      </c>
    </row>
    <row r="566" spans="1:4" x14ac:dyDescent="0.25">
      <c r="A566">
        <v>2022</v>
      </c>
      <c r="B566" t="s">
        <v>33</v>
      </c>
      <c r="C566" t="s">
        <v>5</v>
      </c>
      <c r="D566">
        <v>1144065084</v>
      </c>
    </row>
    <row r="567" spans="1:4" x14ac:dyDescent="0.25">
      <c r="A567">
        <v>2022</v>
      </c>
      <c r="B567" t="s">
        <v>33</v>
      </c>
      <c r="C567" t="s">
        <v>5</v>
      </c>
      <c r="D567">
        <v>1065408552</v>
      </c>
    </row>
    <row r="568" spans="1:4" x14ac:dyDescent="0.25">
      <c r="A568">
        <v>2022</v>
      </c>
      <c r="B568" t="s">
        <v>33</v>
      </c>
      <c r="C568" t="s">
        <v>5</v>
      </c>
      <c r="D568">
        <v>356485860</v>
      </c>
    </row>
    <row r="569" spans="1:4" x14ac:dyDescent="0.25">
      <c r="A569">
        <v>2022</v>
      </c>
      <c r="B569" t="s">
        <v>33</v>
      </c>
      <c r="C569" t="s">
        <v>5</v>
      </c>
      <c r="D569">
        <v>646154892</v>
      </c>
    </row>
    <row r="570" spans="1:4" x14ac:dyDescent="0.25">
      <c r="A570">
        <v>2022</v>
      </c>
      <c r="B570" t="s">
        <v>33</v>
      </c>
      <c r="C570" t="s">
        <v>5</v>
      </c>
      <c r="D570">
        <v>872104380</v>
      </c>
    </row>
    <row r="571" spans="1:4" x14ac:dyDescent="0.25">
      <c r="A571">
        <v>2022</v>
      </c>
      <c r="B571" t="s">
        <v>33</v>
      </c>
      <c r="C571" t="s">
        <v>5</v>
      </c>
      <c r="D571">
        <v>190819560</v>
      </c>
    </row>
    <row r="572" spans="1:4" x14ac:dyDescent="0.25">
      <c r="A572">
        <v>2022</v>
      </c>
      <c r="B572" t="s">
        <v>33</v>
      </c>
      <c r="C572" t="s">
        <v>6</v>
      </c>
      <c r="D572">
        <v>763613000</v>
      </c>
    </row>
    <row r="573" spans="1:4" x14ac:dyDescent="0.25">
      <c r="A573">
        <v>2022</v>
      </c>
      <c r="B573" t="s">
        <v>33</v>
      </c>
      <c r="C573" t="s">
        <v>7</v>
      </c>
      <c r="D573">
        <v>500000</v>
      </c>
    </row>
    <row r="574" spans="1:4" x14ac:dyDescent="0.25">
      <c r="A574">
        <v>2022</v>
      </c>
      <c r="B574" t="s">
        <v>33</v>
      </c>
      <c r="C574" t="s">
        <v>8</v>
      </c>
      <c r="D574">
        <v>24334000</v>
      </c>
    </row>
    <row r="575" spans="1:4" x14ac:dyDescent="0.25">
      <c r="A575">
        <v>2022</v>
      </c>
      <c r="B575" t="s">
        <v>34</v>
      </c>
      <c r="C575" t="s">
        <v>5</v>
      </c>
      <c r="D575">
        <v>1954000</v>
      </c>
    </row>
    <row r="576" spans="1:4" x14ac:dyDescent="0.25">
      <c r="A576">
        <v>2022</v>
      </c>
      <c r="B576" t="s">
        <v>34</v>
      </c>
      <c r="C576" t="s">
        <v>5</v>
      </c>
      <c r="D576">
        <v>3856596</v>
      </c>
    </row>
    <row r="577" spans="1:4" x14ac:dyDescent="0.25">
      <c r="A577">
        <v>2022</v>
      </c>
      <c r="B577" t="s">
        <v>34</v>
      </c>
      <c r="C577" t="s">
        <v>5</v>
      </c>
      <c r="D577">
        <v>361099165</v>
      </c>
    </row>
    <row r="578" spans="1:4" x14ac:dyDescent="0.25">
      <c r="A578">
        <v>2022</v>
      </c>
      <c r="B578" t="s">
        <v>34</v>
      </c>
      <c r="C578" t="s">
        <v>5</v>
      </c>
      <c r="D578">
        <v>845768754</v>
      </c>
    </row>
    <row r="579" spans="1:4" x14ac:dyDescent="0.25">
      <c r="A579">
        <v>2022</v>
      </c>
      <c r="B579" t="s">
        <v>34</v>
      </c>
      <c r="C579" t="s">
        <v>5</v>
      </c>
      <c r="D579">
        <v>81929996</v>
      </c>
    </row>
    <row r="580" spans="1:4" x14ac:dyDescent="0.25">
      <c r="A580">
        <v>2022</v>
      </c>
      <c r="B580" t="s">
        <v>34</v>
      </c>
      <c r="C580" t="s">
        <v>5</v>
      </c>
      <c r="D580">
        <v>359949568</v>
      </c>
    </row>
    <row r="581" spans="1:4" x14ac:dyDescent="0.25">
      <c r="A581">
        <v>2022</v>
      </c>
      <c r="B581" t="s">
        <v>34</v>
      </c>
      <c r="C581" t="s">
        <v>5</v>
      </c>
      <c r="D581">
        <v>449405657</v>
      </c>
    </row>
    <row r="582" spans="1:4" x14ac:dyDescent="0.25">
      <c r="A582">
        <v>2022</v>
      </c>
      <c r="B582" t="s">
        <v>34</v>
      </c>
      <c r="C582" t="s">
        <v>5</v>
      </c>
      <c r="D582">
        <v>120398264</v>
      </c>
    </row>
    <row r="583" spans="1:4" x14ac:dyDescent="0.25">
      <c r="A583">
        <v>2022</v>
      </c>
      <c r="B583" t="s">
        <v>34</v>
      </c>
      <c r="C583" t="s">
        <v>6</v>
      </c>
      <c r="D583">
        <v>454350509</v>
      </c>
    </row>
    <row r="584" spans="1:4" x14ac:dyDescent="0.25">
      <c r="A584">
        <v>2022</v>
      </c>
      <c r="B584" t="s">
        <v>34</v>
      </c>
      <c r="C584" t="s">
        <v>6</v>
      </c>
      <c r="D584">
        <v>654593364</v>
      </c>
    </row>
    <row r="585" spans="1:4" x14ac:dyDescent="0.25">
      <c r="A585">
        <v>2022</v>
      </c>
      <c r="B585" t="s">
        <v>34</v>
      </c>
      <c r="C585" t="s">
        <v>6</v>
      </c>
      <c r="D585">
        <v>39350920</v>
      </c>
    </row>
    <row r="586" spans="1:4" x14ac:dyDescent="0.25">
      <c r="A586">
        <v>2022</v>
      </c>
      <c r="B586" t="s">
        <v>34</v>
      </c>
      <c r="C586" t="s">
        <v>6</v>
      </c>
      <c r="D586">
        <v>211605276</v>
      </c>
    </row>
    <row r="587" spans="1:4" x14ac:dyDescent="0.25">
      <c r="A587">
        <v>2022</v>
      </c>
      <c r="B587" t="s">
        <v>34</v>
      </c>
      <c r="C587" t="s">
        <v>6</v>
      </c>
      <c r="D587">
        <v>281298411</v>
      </c>
    </row>
    <row r="588" spans="1:4" x14ac:dyDescent="0.25">
      <c r="A588">
        <v>2022</v>
      </c>
      <c r="B588" t="s">
        <v>34</v>
      </c>
      <c r="C588" t="s">
        <v>6</v>
      </c>
      <c r="D588">
        <v>77801520</v>
      </c>
    </row>
    <row r="589" spans="1:4" x14ac:dyDescent="0.25">
      <c r="A589">
        <v>2022</v>
      </c>
      <c r="B589" t="s">
        <v>34</v>
      </c>
      <c r="C589" t="s">
        <v>8</v>
      </c>
      <c r="D589">
        <v>161750420</v>
      </c>
    </row>
    <row r="590" spans="1:4" x14ac:dyDescent="0.25">
      <c r="A590">
        <v>2022</v>
      </c>
      <c r="B590" t="s">
        <v>34</v>
      </c>
      <c r="C590" t="s">
        <v>8</v>
      </c>
      <c r="D590">
        <v>79396500</v>
      </c>
    </row>
    <row r="591" spans="1:4" x14ac:dyDescent="0.25">
      <c r="A591">
        <v>2022</v>
      </c>
      <c r="B591" t="s">
        <v>34</v>
      </c>
      <c r="C591" t="s">
        <v>8</v>
      </c>
      <c r="D591">
        <v>11401500</v>
      </c>
    </row>
    <row r="592" spans="1:4" x14ac:dyDescent="0.25">
      <c r="A592">
        <v>2022</v>
      </c>
      <c r="B592" t="s">
        <v>34</v>
      </c>
      <c r="C592" t="s">
        <v>8</v>
      </c>
      <c r="D592">
        <v>16476500</v>
      </c>
    </row>
    <row r="593" spans="1:4" x14ac:dyDescent="0.25">
      <c r="A593">
        <v>2022</v>
      </c>
      <c r="B593" t="s">
        <v>34</v>
      </c>
      <c r="C593" t="s">
        <v>8</v>
      </c>
      <c r="D593">
        <v>37390580</v>
      </c>
    </row>
    <row r="594" spans="1:4" x14ac:dyDescent="0.25">
      <c r="A594">
        <v>2022</v>
      </c>
      <c r="B594" t="s">
        <v>34</v>
      </c>
      <c r="C594" t="s">
        <v>8</v>
      </c>
      <c r="D594">
        <v>7827500</v>
      </c>
    </row>
    <row r="595" spans="1:4" x14ac:dyDescent="0.25">
      <c r="A595">
        <v>2022</v>
      </c>
      <c r="B595" t="s">
        <v>35</v>
      </c>
      <c r="C595" t="s">
        <v>5</v>
      </c>
      <c r="D595">
        <v>1107683</v>
      </c>
    </row>
    <row r="596" spans="1:4" x14ac:dyDescent="0.25">
      <c r="A596">
        <v>2022</v>
      </c>
      <c r="B596" t="s">
        <v>35</v>
      </c>
      <c r="C596" t="s">
        <v>5</v>
      </c>
      <c r="D596">
        <v>51565273</v>
      </c>
    </row>
    <row r="597" spans="1:4" x14ac:dyDescent="0.25">
      <c r="A597">
        <v>2022</v>
      </c>
      <c r="B597" t="s">
        <v>35</v>
      </c>
      <c r="C597" t="s">
        <v>5</v>
      </c>
      <c r="D597">
        <v>6000444</v>
      </c>
    </row>
    <row r="598" spans="1:4" x14ac:dyDescent="0.25">
      <c r="A598">
        <v>2022</v>
      </c>
      <c r="B598" t="s">
        <v>35</v>
      </c>
      <c r="C598" t="s">
        <v>5</v>
      </c>
      <c r="D598">
        <v>778992</v>
      </c>
    </row>
    <row r="599" spans="1:4" x14ac:dyDescent="0.25">
      <c r="A599">
        <v>2022</v>
      </c>
      <c r="B599" t="s">
        <v>35</v>
      </c>
      <c r="C599" t="s">
        <v>5</v>
      </c>
      <c r="D599">
        <v>1044900</v>
      </c>
    </row>
    <row r="600" spans="1:4" x14ac:dyDescent="0.25">
      <c r="A600">
        <v>2022</v>
      </c>
      <c r="B600" t="s">
        <v>35</v>
      </c>
      <c r="C600" t="s">
        <v>5</v>
      </c>
      <c r="D600">
        <v>939396</v>
      </c>
    </row>
    <row r="601" spans="1:4" x14ac:dyDescent="0.25">
      <c r="A601">
        <v>2022</v>
      </c>
      <c r="B601" t="s">
        <v>35</v>
      </c>
      <c r="C601" t="s">
        <v>5</v>
      </c>
      <c r="D601">
        <v>779868</v>
      </c>
    </row>
    <row r="602" spans="1:4" x14ac:dyDescent="0.25">
      <c r="A602">
        <v>2022</v>
      </c>
      <c r="B602" t="s">
        <v>35</v>
      </c>
      <c r="C602" t="s">
        <v>5</v>
      </c>
      <c r="D602">
        <v>2142624</v>
      </c>
    </row>
    <row r="603" spans="1:4" x14ac:dyDescent="0.25">
      <c r="A603">
        <v>2022</v>
      </c>
      <c r="B603" t="s">
        <v>35</v>
      </c>
      <c r="C603" t="s">
        <v>5</v>
      </c>
      <c r="D603">
        <v>1402200</v>
      </c>
    </row>
    <row r="604" spans="1:4" x14ac:dyDescent="0.25">
      <c r="A604">
        <v>2022</v>
      </c>
      <c r="B604" t="s">
        <v>35</v>
      </c>
      <c r="C604" t="s">
        <v>5</v>
      </c>
      <c r="D604">
        <v>214620</v>
      </c>
    </row>
    <row r="605" spans="1:4" x14ac:dyDescent="0.25">
      <c r="A605">
        <v>2022</v>
      </c>
      <c r="B605" t="s">
        <v>35</v>
      </c>
      <c r="C605" t="s">
        <v>6</v>
      </c>
      <c r="D605">
        <v>28215000</v>
      </c>
    </row>
    <row r="606" spans="1:4" x14ac:dyDescent="0.25">
      <c r="A606">
        <v>2022</v>
      </c>
      <c r="B606" t="s">
        <v>35</v>
      </c>
      <c r="C606" t="s">
        <v>8</v>
      </c>
      <c r="D606">
        <v>5350000</v>
      </c>
    </row>
    <row r="607" spans="1:4" x14ac:dyDescent="0.25">
      <c r="A607">
        <v>2022</v>
      </c>
      <c r="B607" t="s">
        <v>36</v>
      </c>
      <c r="C607" t="s">
        <v>5</v>
      </c>
      <c r="D607">
        <v>174701000</v>
      </c>
    </row>
    <row r="608" spans="1:4" x14ac:dyDescent="0.25">
      <c r="A608">
        <v>2022</v>
      </c>
      <c r="B608" t="s">
        <v>36</v>
      </c>
      <c r="C608" t="s">
        <v>6</v>
      </c>
      <c r="D608">
        <v>16573000</v>
      </c>
    </row>
    <row r="609" spans="1:4" x14ac:dyDescent="0.25">
      <c r="A609">
        <v>2022</v>
      </c>
      <c r="B609" t="s">
        <v>36</v>
      </c>
      <c r="C609" t="s">
        <v>8</v>
      </c>
      <c r="D609">
        <v>1530000</v>
      </c>
    </row>
    <row r="610" spans="1:4" x14ac:dyDescent="0.25">
      <c r="A610">
        <v>2022</v>
      </c>
      <c r="B610" t="s">
        <v>37</v>
      </c>
      <c r="C610" t="s">
        <v>5</v>
      </c>
      <c r="D610">
        <v>11002000</v>
      </c>
    </row>
    <row r="611" spans="1:4" x14ac:dyDescent="0.25">
      <c r="A611">
        <v>2022</v>
      </c>
      <c r="B611" t="s">
        <v>37</v>
      </c>
      <c r="C611" t="s">
        <v>6</v>
      </c>
      <c r="D611">
        <v>5608000</v>
      </c>
    </row>
    <row r="612" spans="1:4" x14ac:dyDescent="0.25">
      <c r="A612">
        <v>2022</v>
      </c>
      <c r="B612" t="s">
        <v>37</v>
      </c>
      <c r="C612" t="s">
        <v>8</v>
      </c>
      <c r="D612">
        <v>7690000</v>
      </c>
    </row>
    <row r="613" spans="1:4" x14ac:dyDescent="0.25">
      <c r="A613">
        <v>2022</v>
      </c>
      <c r="B613" t="s">
        <v>38</v>
      </c>
      <c r="C613" t="s">
        <v>5</v>
      </c>
      <c r="D613">
        <v>2398002</v>
      </c>
    </row>
    <row r="614" spans="1:4" x14ac:dyDescent="0.25">
      <c r="A614">
        <v>2022</v>
      </c>
      <c r="B614" t="s">
        <v>38</v>
      </c>
      <c r="C614" t="s">
        <v>5</v>
      </c>
      <c r="D614">
        <v>31741786</v>
      </c>
    </row>
    <row r="615" spans="1:4" x14ac:dyDescent="0.25">
      <c r="A615">
        <v>2022</v>
      </c>
      <c r="B615" t="s">
        <v>38</v>
      </c>
      <c r="C615" t="s">
        <v>5</v>
      </c>
      <c r="D615">
        <v>4094212</v>
      </c>
    </row>
    <row r="616" spans="1:4" x14ac:dyDescent="0.25">
      <c r="A616">
        <v>2022</v>
      </c>
      <c r="B616" t="s">
        <v>38</v>
      </c>
      <c r="C616" t="s">
        <v>6</v>
      </c>
      <c r="D616">
        <v>34733000</v>
      </c>
    </row>
    <row r="617" spans="1:4" x14ac:dyDescent="0.25">
      <c r="A617">
        <v>2022</v>
      </c>
      <c r="B617" t="s">
        <v>38</v>
      </c>
      <c r="C617" t="s">
        <v>7</v>
      </c>
      <c r="D617">
        <v>113250000</v>
      </c>
    </row>
    <row r="618" spans="1:4" x14ac:dyDescent="0.25">
      <c r="A618">
        <v>2022</v>
      </c>
      <c r="B618" t="s">
        <v>38</v>
      </c>
      <c r="C618" t="s">
        <v>8</v>
      </c>
      <c r="D618">
        <v>382000</v>
      </c>
    </row>
    <row r="619" spans="1:4" x14ac:dyDescent="0.25">
      <c r="A619">
        <v>2022</v>
      </c>
      <c r="B619" t="s">
        <v>39</v>
      </c>
      <c r="C619" t="s">
        <v>5</v>
      </c>
      <c r="D619">
        <v>2844000</v>
      </c>
    </row>
    <row r="620" spans="1:4" x14ac:dyDescent="0.25">
      <c r="A620">
        <v>2022</v>
      </c>
      <c r="B620" t="s">
        <v>39</v>
      </c>
      <c r="C620" t="s">
        <v>6</v>
      </c>
      <c r="D620">
        <v>2076000</v>
      </c>
    </row>
    <row r="621" spans="1:4" x14ac:dyDescent="0.25">
      <c r="A621">
        <v>2022</v>
      </c>
      <c r="B621" t="s">
        <v>39</v>
      </c>
      <c r="C621" t="s">
        <v>8</v>
      </c>
      <c r="D621">
        <v>33000</v>
      </c>
    </row>
    <row r="622" spans="1:4" x14ac:dyDescent="0.25">
      <c r="A622">
        <v>2022</v>
      </c>
      <c r="B622" t="s">
        <v>40</v>
      </c>
      <c r="C622" t="s">
        <v>5</v>
      </c>
      <c r="D622">
        <v>15791000</v>
      </c>
    </row>
    <row r="623" spans="1:4" x14ac:dyDescent="0.25">
      <c r="A623">
        <v>2022</v>
      </c>
      <c r="B623" t="s">
        <v>40</v>
      </c>
      <c r="C623" t="s">
        <v>6</v>
      </c>
      <c r="D623">
        <v>20496000</v>
      </c>
    </row>
    <row r="624" spans="1:4" x14ac:dyDescent="0.25">
      <c r="A624">
        <v>2022</v>
      </c>
      <c r="B624" t="s">
        <v>40</v>
      </c>
      <c r="C624" t="s">
        <v>8</v>
      </c>
      <c r="D624">
        <v>400000</v>
      </c>
    </row>
    <row r="625" spans="1:4" x14ac:dyDescent="0.25">
      <c r="A625">
        <v>2022</v>
      </c>
      <c r="B625" t="s">
        <v>41</v>
      </c>
      <c r="C625" t="s">
        <v>5</v>
      </c>
      <c r="D625">
        <v>4052684</v>
      </c>
    </row>
    <row r="626" spans="1:4" x14ac:dyDescent="0.25">
      <c r="A626">
        <v>2022</v>
      </c>
      <c r="B626" t="s">
        <v>41</v>
      </c>
      <c r="C626" t="s">
        <v>5</v>
      </c>
      <c r="D626">
        <v>1038590104</v>
      </c>
    </row>
    <row r="627" spans="1:4" x14ac:dyDescent="0.25">
      <c r="A627">
        <v>2022</v>
      </c>
      <c r="B627" t="s">
        <v>41</v>
      </c>
      <c r="C627" t="s">
        <v>5</v>
      </c>
      <c r="D627">
        <v>64085312</v>
      </c>
    </row>
    <row r="628" spans="1:4" x14ac:dyDescent="0.25">
      <c r="A628">
        <v>2022</v>
      </c>
      <c r="B628" t="s">
        <v>41</v>
      </c>
      <c r="C628" t="s">
        <v>5</v>
      </c>
      <c r="D628">
        <v>143060928</v>
      </c>
    </row>
    <row r="629" spans="1:4" x14ac:dyDescent="0.25">
      <c r="A629">
        <v>2022</v>
      </c>
      <c r="B629" t="s">
        <v>41</v>
      </c>
      <c r="C629" t="s">
        <v>5</v>
      </c>
      <c r="D629">
        <v>43954680</v>
      </c>
    </row>
    <row r="630" spans="1:4" x14ac:dyDescent="0.25">
      <c r="A630">
        <v>2022</v>
      </c>
      <c r="B630" t="s">
        <v>41</v>
      </c>
      <c r="C630" t="s">
        <v>5</v>
      </c>
      <c r="D630">
        <v>71746176</v>
      </c>
    </row>
    <row r="631" spans="1:4" x14ac:dyDescent="0.25">
      <c r="A631">
        <v>2022</v>
      </c>
      <c r="B631" t="s">
        <v>41</v>
      </c>
      <c r="C631" t="s">
        <v>5</v>
      </c>
      <c r="D631">
        <v>105256932</v>
      </c>
    </row>
    <row r="632" spans="1:4" x14ac:dyDescent="0.25">
      <c r="A632">
        <v>2022</v>
      </c>
      <c r="B632" t="s">
        <v>41</v>
      </c>
      <c r="C632" t="s">
        <v>5</v>
      </c>
      <c r="D632">
        <v>42914708</v>
      </c>
    </row>
    <row r="633" spans="1:4" x14ac:dyDescent="0.25">
      <c r="A633">
        <v>2022</v>
      </c>
      <c r="B633" t="s">
        <v>41</v>
      </c>
      <c r="C633" t="s">
        <v>5</v>
      </c>
      <c r="D633">
        <v>9219476</v>
      </c>
    </row>
    <row r="634" spans="1:4" x14ac:dyDescent="0.25">
      <c r="A634">
        <v>2022</v>
      </c>
      <c r="B634" t="s">
        <v>41</v>
      </c>
      <c r="C634" t="s">
        <v>6</v>
      </c>
      <c r="D634">
        <v>433325000</v>
      </c>
    </row>
    <row r="635" spans="1:4" x14ac:dyDescent="0.25">
      <c r="A635">
        <v>2022</v>
      </c>
      <c r="B635" t="s">
        <v>41</v>
      </c>
      <c r="C635" t="s">
        <v>6</v>
      </c>
      <c r="D635">
        <v>4736000</v>
      </c>
    </row>
    <row r="636" spans="1:4" x14ac:dyDescent="0.25">
      <c r="A636">
        <v>2022</v>
      </c>
      <c r="B636" t="s">
        <v>41</v>
      </c>
      <c r="C636" t="s">
        <v>8</v>
      </c>
      <c r="D636">
        <v>42597000</v>
      </c>
    </row>
    <row r="637" spans="1:4" x14ac:dyDescent="0.25">
      <c r="A637">
        <v>2022</v>
      </c>
      <c r="B637" t="s">
        <v>41</v>
      </c>
      <c r="C637" t="s">
        <v>8</v>
      </c>
      <c r="D637">
        <v>1300000</v>
      </c>
    </row>
    <row r="638" spans="1:4" x14ac:dyDescent="0.25">
      <c r="A638">
        <v>2022</v>
      </c>
      <c r="B638" t="s">
        <v>42</v>
      </c>
      <c r="C638" t="s">
        <v>5</v>
      </c>
      <c r="D638">
        <v>8146000</v>
      </c>
    </row>
    <row r="639" spans="1:4" x14ac:dyDescent="0.25">
      <c r="A639">
        <v>2022</v>
      </c>
      <c r="B639" t="s">
        <v>42</v>
      </c>
      <c r="C639" t="s">
        <v>6</v>
      </c>
      <c r="D639">
        <v>6256000</v>
      </c>
    </row>
    <row r="640" spans="1:4" x14ac:dyDescent="0.25">
      <c r="A640">
        <v>2022</v>
      </c>
      <c r="B640" t="s">
        <v>42</v>
      </c>
      <c r="C640" t="s">
        <v>8</v>
      </c>
      <c r="D640">
        <v>598000</v>
      </c>
    </row>
    <row r="641" spans="1:4" x14ac:dyDescent="0.25">
      <c r="A641">
        <v>2022</v>
      </c>
      <c r="B641" t="s">
        <v>43</v>
      </c>
      <c r="C641" t="s">
        <v>5</v>
      </c>
      <c r="D641">
        <v>36300000</v>
      </c>
    </row>
    <row r="642" spans="1:4" x14ac:dyDescent="0.25">
      <c r="A642">
        <v>2022</v>
      </c>
      <c r="B642" t="s">
        <v>43</v>
      </c>
      <c r="C642" t="s">
        <v>6</v>
      </c>
      <c r="D642">
        <v>14064000</v>
      </c>
    </row>
    <row r="643" spans="1:4" x14ac:dyDescent="0.25">
      <c r="A643">
        <v>2022</v>
      </c>
      <c r="B643" t="s">
        <v>43</v>
      </c>
      <c r="C643" t="s">
        <v>8</v>
      </c>
      <c r="D643">
        <v>1636000</v>
      </c>
    </row>
    <row r="644" spans="1:4" x14ac:dyDescent="0.25">
      <c r="A644">
        <v>2022</v>
      </c>
      <c r="B644" t="s">
        <v>44</v>
      </c>
      <c r="C644" t="s">
        <v>5</v>
      </c>
      <c r="D644">
        <v>57294000</v>
      </c>
    </row>
    <row r="645" spans="1:4" x14ac:dyDescent="0.25">
      <c r="A645">
        <v>2022</v>
      </c>
      <c r="B645" t="s">
        <v>44</v>
      </c>
      <c r="C645" t="s">
        <v>6</v>
      </c>
      <c r="D645">
        <v>14343000</v>
      </c>
    </row>
    <row r="646" spans="1:4" x14ac:dyDescent="0.25">
      <c r="A646">
        <v>2022</v>
      </c>
      <c r="B646" t="s">
        <v>44</v>
      </c>
      <c r="C646" t="s">
        <v>7</v>
      </c>
      <c r="D646">
        <v>2564000</v>
      </c>
    </row>
    <row r="647" spans="1:4" x14ac:dyDescent="0.25">
      <c r="A647">
        <v>2022</v>
      </c>
      <c r="B647" t="s">
        <v>44</v>
      </c>
      <c r="C647" t="s">
        <v>8</v>
      </c>
      <c r="D647">
        <v>500000</v>
      </c>
    </row>
    <row r="648" spans="1:4" x14ac:dyDescent="0.25">
      <c r="A648">
        <v>2022</v>
      </c>
      <c r="B648" t="s">
        <v>45</v>
      </c>
      <c r="C648" t="s">
        <v>5</v>
      </c>
      <c r="D648">
        <v>15000</v>
      </c>
    </row>
    <row r="649" spans="1:4" x14ac:dyDescent="0.25">
      <c r="A649">
        <v>2022</v>
      </c>
      <c r="B649" t="s">
        <v>45</v>
      </c>
      <c r="C649" t="s">
        <v>5</v>
      </c>
      <c r="D649">
        <v>58501000</v>
      </c>
    </row>
    <row r="650" spans="1:4" x14ac:dyDescent="0.25">
      <c r="A650">
        <v>2022</v>
      </c>
      <c r="B650" t="s">
        <v>45</v>
      </c>
      <c r="C650" t="s">
        <v>6</v>
      </c>
      <c r="D650">
        <v>53654000</v>
      </c>
    </row>
    <row r="651" spans="1:4" x14ac:dyDescent="0.25">
      <c r="A651">
        <v>2022</v>
      </c>
      <c r="B651" t="s">
        <v>45</v>
      </c>
      <c r="C651" t="s">
        <v>8</v>
      </c>
      <c r="D651">
        <v>176744000</v>
      </c>
    </row>
    <row r="652" spans="1:4" x14ac:dyDescent="0.25">
      <c r="A652">
        <v>2022</v>
      </c>
      <c r="B652" t="s">
        <v>46</v>
      </c>
      <c r="C652" t="s">
        <v>5</v>
      </c>
      <c r="D652">
        <v>502000</v>
      </c>
    </row>
    <row r="653" spans="1:4" x14ac:dyDescent="0.25">
      <c r="A653">
        <v>2022</v>
      </c>
      <c r="B653" t="s">
        <v>46</v>
      </c>
      <c r="C653" t="s">
        <v>5</v>
      </c>
      <c r="D653">
        <v>140418742</v>
      </c>
    </row>
    <row r="654" spans="1:4" x14ac:dyDescent="0.25">
      <c r="A654">
        <v>2022</v>
      </c>
      <c r="B654" t="s">
        <v>46</v>
      </c>
      <c r="C654" t="s">
        <v>5</v>
      </c>
      <c r="D654">
        <v>50000</v>
      </c>
    </row>
    <row r="655" spans="1:4" x14ac:dyDescent="0.25">
      <c r="A655">
        <v>2022</v>
      </c>
      <c r="B655" t="s">
        <v>46</v>
      </c>
      <c r="C655" t="s">
        <v>5</v>
      </c>
      <c r="D655">
        <v>24469452</v>
      </c>
    </row>
    <row r="656" spans="1:4" x14ac:dyDescent="0.25">
      <c r="A656">
        <v>2022</v>
      </c>
      <c r="B656" t="s">
        <v>46</v>
      </c>
      <c r="C656" t="s">
        <v>5</v>
      </c>
      <c r="D656">
        <v>24583216</v>
      </c>
    </row>
    <row r="657" spans="1:4" x14ac:dyDescent="0.25">
      <c r="A657">
        <v>2022</v>
      </c>
      <c r="B657" t="s">
        <v>46</v>
      </c>
      <c r="C657" t="s">
        <v>5</v>
      </c>
      <c r="D657">
        <v>19566092</v>
      </c>
    </row>
    <row r="658" spans="1:4" x14ac:dyDescent="0.25">
      <c r="A658">
        <v>2022</v>
      </c>
      <c r="B658" t="s">
        <v>46</v>
      </c>
      <c r="C658" t="s">
        <v>5</v>
      </c>
      <c r="D658">
        <v>47037886</v>
      </c>
    </row>
    <row r="659" spans="1:4" x14ac:dyDescent="0.25">
      <c r="A659">
        <v>2022</v>
      </c>
      <c r="B659" t="s">
        <v>46</v>
      </c>
      <c r="C659" t="s">
        <v>5</v>
      </c>
      <c r="D659">
        <v>14192220</v>
      </c>
    </row>
    <row r="660" spans="1:4" x14ac:dyDescent="0.25">
      <c r="A660">
        <v>2022</v>
      </c>
      <c r="B660" t="s">
        <v>46</v>
      </c>
      <c r="C660" t="s">
        <v>5</v>
      </c>
      <c r="D660">
        <v>69516516</v>
      </c>
    </row>
    <row r="661" spans="1:4" x14ac:dyDescent="0.25">
      <c r="A661">
        <v>2022</v>
      </c>
      <c r="B661" t="s">
        <v>46</v>
      </c>
      <c r="C661" t="s">
        <v>5</v>
      </c>
      <c r="D661">
        <v>16572876</v>
      </c>
    </row>
    <row r="662" spans="1:4" x14ac:dyDescent="0.25">
      <c r="A662">
        <v>2022</v>
      </c>
      <c r="B662" t="s">
        <v>46</v>
      </c>
      <c r="C662" t="s">
        <v>6</v>
      </c>
      <c r="D662">
        <v>24563388</v>
      </c>
    </row>
    <row r="663" spans="1:4" x14ac:dyDescent="0.25">
      <c r="A663">
        <v>2022</v>
      </c>
      <c r="B663" t="s">
        <v>46</v>
      </c>
      <c r="C663" t="s">
        <v>6</v>
      </c>
      <c r="D663">
        <v>228000</v>
      </c>
    </row>
    <row r="664" spans="1:4" x14ac:dyDescent="0.25">
      <c r="A664">
        <v>2022</v>
      </c>
      <c r="B664" t="s">
        <v>46</v>
      </c>
      <c r="C664" t="s">
        <v>6</v>
      </c>
      <c r="D664">
        <v>8501619</v>
      </c>
    </row>
    <row r="665" spans="1:4" x14ac:dyDescent="0.25">
      <c r="A665">
        <v>2022</v>
      </c>
      <c r="B665" t="s">
        <v>46</v>
      </c>
      <c r="C665" t="s">
        <v>6</v>
      </c>
      <c r="D665">
        <v>11856247</v>
      </c>
    </row>
    <row r="666" spans="1:4" x14ac:dyDescent="0.25">
      <c r="A666">
        <v>2022</v>
      </c>
      <c r="B666" t="s">
        <v>46</v>
      </c>
      <c r="C666" t="s">
        <v>6</v>
      </c>
      <c r="D666">
        <v>14093460</v>
      </c>
    </row>
    <row r="667" spans="1:4" x14ac:dyDescent="0.25">
      <c r="A667">
        <v>2022</v>
      </c>
      <c r="B667" t="s">
        <v>46</v>
      </c>
      <c r="C667" t="s">
        <v>6</v>
      </c>
      <c r="D667">
        <v>33869045</v>
      </c>
    </row>
    <row r="668" spans="1:4" x14ac:dyDescent="0.25">
      <c r="A668">
        <v>2022</v>
      </c>
      <c r="B668" t="s">
        <v>46</v>
      </c>
      <c r="C668" t="s">
        <v>6</v>
      </c>
      <c r="D668">
        <v>9918803</v>
      </c>
    </row>
    <row r="669" spans="1:4" x14ac:dyDescent="0.25">
      <c r="A669">
        <v>2022</v>
      </c>
      <c r="B669" t="s">
        <v>46</v>
      </c>
      <c r="C669" t="s">
        <v>6</v>
      </c>
      <c r="D669">
        <v>1167062</v>
      </c>
    </row>
    <row r="670" spans="1:4" x14ac:dyDescent="0.25">
      <c r="A670">
        <v>2022</v>
      </c>
      <c r="B670" t="s">
        <v>46</v>
      </c>
      <c r="C670" t="s">
        <v>6</v>
      </c>
      <c r="D670">
        <v>688376</v>
      </c>
    </row>
    <row r="671" spans="1:4" x14ac:dyDescent="0.25">
      <c r="A671">
        <v>2022</v>
      </c>
      <c r="B671" t="s">
        <v>46</v>
      </c>
      <c r="C671" t="s">
        <v>8</v>
      </c>
      <c r="D671">
        <v>1818000</v>
      </c>
    </row>
    <row r="672" spans="1:4" x14ac:dyDescent="0.25">
      <c r="A672">
        <v>2022</v>
      </c>
      <c r="B672" t="s">
        <v>46</v>
      </c>
      <c r="C672" t="s">
        <v>8</v>
      </c>
      <c r="D672">
        <v>200000</v>
      </c>
    </row>
    <row r="673" spans="1:4" x14ac:dyDescent="0.25">
      <c r="A673">
        <v>2022</v>
      </c>
      <c r="B673" t="s">
        <v>47</v>
      </c>
      <c r="C673" t="s">
        <v>5</v>
      </c>
      <c r="D673">
        <v>55000</v>
      </c>
    </row>
    <row r="674" spans="1:4" x14ac:dyDescent="0.25">
      <c r="A674">
        <v>2022</v>
      </c>
      <c r="B674" t="s">
        <v>47</v>
      </c>
      <c r="C674" t="s">
        <v>5</v>
      </c>
      <c r="D674">
        <v>4848661</v>
      </c>
    </row>
    <row r="675" spans="1:4" x14ac:dyDescent="0.25">
      <c r="A675">
        <v>2022</v>
      </c>
      <c r="B675" t="s">
        <v>47</v>
      </c>
      <c r="C675" t="s">
        <v>5</v>
      </c>
      <c r="D675">
        <v>51304339</v>
      </c>
    </row>
    <row r="676" spans="1:4" x14ac:dyDescent="0.25">
      <c r="A676">
        <v>2022</v>
      </c>
      <c r="B676" t="s">
        <v>47</v>
      </c>
      <c r="C676" t="s">
        <v>6</v>
      </c>
      <c r="D676">
        <v>16437000</v>
      </c>
    </row>
    <row r="677" spans="1:4" x14ac:dyDescent="0.25">
      <c r="A677">
        <v>2022</v>
      </c>
      <c r="B677" t="s">
        <v>47</v>
      </c>
      <c r="C677" t="s">
        <v>8</v>
      </c>
      <c r="D677">
        <v>600000</v>
      </c>
    </row>
    <row r="678" spans="1:4" x14ac:dyDescent="0.25">
      <c r="A678">
        <v>2022</v>
      </c>
      <c r="B678" t="s">
        <v>48</v>
      </c>
      <c r="C678" t="s">
        <v>5</v>
      </c>
      <c r="D678">
        <v>916830000</v>
      </c>
    </row>
    <row r="679" spans="1:4" x14ac:dyDescent="0.25">
      <c r="A679">
        <v>2022</v>
      </c>
      <c r="B679" t="s">
        <v>48</v>
      </c>
      <c r="C679" t="s">
        <v>6</v>
      </c>
      <c r="D679">
        <v>405730000</v>
      </c>
    </row>
    <row r="680" spans="1:4" x14ac:dyDescent="0.25">
      <c r="A680">
        <v>2022</v>
      </c>
      <c r="B680" t="s">
        <v>48</v>
      </c>
      <c r="C680" t="s">
        <v>19</v>
      </c>
      <c r="D680">
        <v>60000</v>
      </c>
    </row>
    <row r="681" spans="1:4" x14ac:dyDescent="0.25">
      <c r="A681">
        <v>2022</v>
      </c>
      <c r="B681" t="s">
        <v>48</v>
      </c>
      <c r="C681" t="s">
        <v>8</v>
      </c>
      <c r="D681">
        <v>57949000</v>
      </c>
    </row>
    <row r="682" spans="1:4" x14ac:dyDescent="0.25">
      <c r="A682">
        <v>2022</v>
      </c>
      <c r="B682" t="s">
        <v>49</v>
      </c>
      <c r="C682" t="s">
        <v>5</v>
      </c>
      <c r="D682">
        <v>10000</v>
      </c>
    </row>
    <row r="683" spans="1:4" x14ac:dyDescent="0.25">
      <c r="A683">
        <v>2022</v>
      </c>
      <c r="B683" t="s">
        <v>49</v>
      </c>
      <c r="C683" t="s">
        <v>5</v>
      </c>
      <c r="D683">
        <v>332152876</v>
      </c>
    </row>
    <row r="684" spans="1:4" x14ac:dyDescent="0.25">
      <c r="A684">
        <v>2022</v>
      </c>
      <c r="B684" t="s">
        <v>49</v>
      </c>
      <c r="C684" t="s">
        <v>5</v>
      </c>
      <c r="D684">
        <v>131502564</v>
      </c>
    </row>
    <row r="685" spans="1:4" x14ac:dyDescent="0.25">
      <c r="A685">
        <v>2022</v>
      </c>
      <c r="B685" t="s">
        <v>49</v>
      </c>
      <c r="C685" t="s">
        <v>5</v>
      </c>
      <c r="D685">
        <v>123765264</v>
      </c>
    </row>
    <row r="686" spans="1:4" x14ac:dyDescent="0.25">
      <c r="A686">
        <v>2022</v>
      </c>
      <c r="B686" t="s">
        <v>49</v>
      </c>
      <c r="C686" t="s">
        <v>5</v>
      </c>
      <c r="D686">
        <v>68501748</v>
      </c>
    </row>
    <row r="687" spans="1:4" x14ac:dyDescent="0.25">
      <c r="A687">
        <v>2022</v>
      </c>
      <c r="B687" t="s">
        <v>49</v>
      </c>
      <c r="C687" t="s">
        <v>5</v>
      </c>
      <c r="D687">
        <v>74647248</v>
      </c>
    </row>
    <row r="688" spans="1:4" x14ac:dyDescent="0.25">
      <c r="A688">
        <v>2022</v>
      </c>
      <c r="B688" t="s">
        <v>49</v>
      </c>
      <c r="C688" t="s">
        <v>5</v>
      </c>
      <c r="D688">
        <v>60797604</v>
      </c>
    </row>
    <row r="689" spans="1:4" x14ac:dyDescent="0.25">
      <c r="A689">
        <v>2022</v>
      </c>
      <c r="B689" t="s">
        <v>49</v>
      </c>
      <c r="C689" t="s">
        <v>5</v>
      </c>
      <c r="D689">
        <v>26670696</v>
      </c>
    </row>
    <row r="690" spans="1:4" x14ac:dyDescent="0.25">
      <c r="A690">
        <v>2022</v>
      </c>
      <c r="B690" t="s">
        <v>49</v>
      </c>
      <c r="C690" t="s">
        <v>6</v>
      </c>
      <c r="D690">
        <v>129974000</v>
      </c>
    </row>
    <row r="691" spans="1:4" x14ac:dyDescent="0.25">
      <c r="A691">
        <v>2022</v>
      </c>
      <c r="B691" t="s">
        <v>49</v>
      </c>
      <c r="C691" t="s">
        <v>8</v>
      </c>
      <c r="D691">
        <v>16875000</v>
      </c>
    </row>
    <row r="692" spans="1:4" x14ac:dyDescent="0.25">
      <c r="A692">
        <v>2022</v>
      </c>
      <c r="B692" t="s">
        <v>50</v>
      </c>
      <c r="C692" t="s">
        <v>5</v>
      </c>
      <c r="D692">
        <v>237024611</v>
      </c>
    </row>
    <row r="693" spans="1:4" x14ac:dyDescent="0.25">
      <c r="A693">
        <v>2022</v>
      </c>
      <c r="B693" t="s">
        <v>50</v>
      </c>
      <c r="C693" t="s">
        <v>5</v>
      </c>
      <c r="D693">
        <v>224575389</v>
      </c>
    </row>
    <row r="694" spans="1:4" x14ac:dyDescent="0.25">
      <c r="A694">
        <v>2022</v>
      </c>
      <c r="B694" t="s">
        <v>50</v>
      </c>
      <c r="C694" t="s">
        <v>6</v>
      </c>
      <c r="D694">
        <v>3221355</v>
      </c>
    </row>
    <row r="695" spans="1:4" x14ac:dyDescent="0.25">
      <c r="A695">
        <v>2022</v>
      </c>
      <c r="B695" t="s">
        <v>50</v>
      </c>
      <c r="C695" t="s">
        <v>6</v>
      </c>
      <c r="D695">
        <v>3656645</v>
      </c>
    </row>
    <row r="696" spans="1:4" x14ac:dyDescent="0.25">
      <c r="A696">
        <v>2022</v>
      </c>
      <c r="B696" t="s">
        <v>50</v>
      </c>
      <c r="C696" t="s">
        <v>8</v>
      </c>
      <c r="D696">
        <v>310943</v>
      </c>
    </row>
    <row r="697" spans="1:4" x14ac:dyDescent="0.25">
      <c r="A697">
        <v>2022</v>
      </c>
      <c r="B697" t="s">
        <v>50</v>
      </c>
      <c r="C697" t="s">
        <v>8</v>
      </c>
      <c r="D697">
        <v>311057</v>
      </c>
    </row>
    <row r="698" spans="1:4" x14ac:dyDescent="0.25">
      <c r="A698">
        <v>2022</v>
      </c>
      <c r="B698" t="s">
        <v>51</v>
      </c>
      <c r="C698" t="s">
        <v>5</v>
      </c>
      <c r="D698">
        <v>19359000</v>
      </c>
    </row>
    <row r="699" spans="1:4" x14ac:dyDescent="0.25">
      <c r="A699">
        <v>2022</v>
      </c>
      <c r="B699" t="s">
        <v>51</v>
      </c>
      <c r="C699" t="s">
        <v>6</v>
      </c>
      <c r="D699">
        <v>6802000</v>
      </c>
    </row>
    <row r="700" spans="1:4" x14ac:dyDescent="0.25">
      <c r="A700">
        <v>2022</v>
      </c>
      <c r="B700" t="s">
        <v>51</v>
      </c>
      <c r="C700" t="s">
        <v>8</v>
      </c>
      <c r="D700">
        <v>934000</v>
      </c>
    </row>
    <row r="701" spans="1:4" x14ac:dyDescent="0.25">
      <c r="A701">
        <v>2022</v>
      </c>
      <c r="B701" t="s">
        <v>52</v>
      </c>
      <c r="C701" t="s">
        <v>5</v>
      </c>
      <c r="D701">
        <v>1166899</v>
      </c>
    </row>
    <row r="702" spans="1:4" x14ac:dyDescent="0.25">
      <c r="A702">
        <v>2022</v>
      </c>
      <c r="B702" t="s">
        <v>52</v>
      </c>
      <c r="C702" t="s">
        <v>5</v>
      </c>
      <c r="D702">
        <v>81870426</v>
      </c>
    </row>
    <row r="703" spans="1:4" x14ac:dyDescent="0.25">
      <c r="A703">
        <v>2022</v>
      </c>
      <c r="B703" t="s">
        <v>52</v>
      </c>
      <c r="C703" t="s">
        <v>5</v>
      </c>
      <c r="D703">
        <v>71176675</v>
      </c>
    </row>
    <row r="704" spans="1:4" x14ac:dyDescent="0.25">
      <c r="A704">
        <v>2022</v>
      </c>
      <c r="B704" t="s">
        <v>52</v>
      </c>
      <c r="C704" t="s">
        <v>6</v>
      </c>
      <c r="D704">
        <v>7385000</v>
      </c>
    </row>
    <row r="705" spans="1:4" x14ac:dyDescent="0.25">
      <c r="A705">
        <v>2022</v>
      </c>
      <c r="B705" t="s">
        <v>52</v>
      </c>
      <c r="C705" t="s">
        <v>6</v>
      </c>
      <c r="D705">
        <v>5215000</v>
      </c>
    </row>
    <row r="706" spans="1:4" x14ac:dyDescent="0.25">
      <c r="A706">
        <v>2022</v>
      </c>
      <c r="B706" t="s">
        <v>52</v>
      </c>
      <c r="C706" t="s">
        <v>19</v>
      </c>
      <c r="D706">
        <v>386000</v>
      </c>
    </row>
    <row r="707" spans="1:4" x14ac:dyDescent="0.25">
      <c r="A707">
        <v>2022</v>
      </c>
      <c r="B707" t="s">
        <v>52</v>
      </c>
      <c r="C707" t="s">
        <v>8</v>
      </c>
      <c r="D707">
        <v>1500000</v>
      </c>
    </row>
    <row r="708" spans="1:4" x14ac:dyDescent="0.25">
      <c r="A708">
        <v>2022</v>
      </c>
      <c r="B708" t="s">
        <v>52</v>
      </c>
      <c r="C708" t="s">
        <v>8</v>
      </c>
      <c r="D708">
        <v>1300000</v>
      </c>
    </row>
    <row r="709" spans="1:4" x14ac:dyDescent="0.25">
      <c r="A709">
        <v>2022</v>
      </c>
      <c r="B709" t="s">
        <v>53</v>
      </c>
      <c r="C709" t="s">
        <v>5</v>
      </c>
      <c r="D709">
        <v>42278000</v>
      </c>
    </row>
    <row r="710" spans="1:4" x14ac:dyDescent="0.25">
      <c r="A710">
        <v>2022</v>
      </c>
      <c r="B710" t="s">
        <v>53</v>
      </c>
      <c r="C710" t="s">
        <v>6</v>
      </c>
      <c r="D710">
        <v>22611000</v>
      </c>
    </row>
    <row r="711" spans="1:4" x14ac:dyDescent="0.25">
      <c r="A711">
        <v>2022</v>
      </c>
      <c r="B711" t="s">
        <v>53</v>
      </c>
      <c r="C711" t="s">
        <v>8</v>
      </c>
      <c r="D711">
        <v>100000</v>
      </c>
    </row>
    <row r="712" spans="1:4" x14ac:dyDescent="0.25">
      <c r="A712">
        <v>2023</v>
      </c>
      <c r="B712" t="s">
        <v>4</v>
      </c>
      <c r="C712" t="s">
        <v>5</v>
      </c>
      <c r="D712">
        <v>2553151</v>
      </c>
    </row>
    <row r="713" spans="1:4" x14ac:dyDescent="0.25">
      <c r="A713">
        <v>2023</v>
      </c>
      <c r="B713" t="s">
        <v>4</v>
      </c>
      <c r="C713" t="s">
        <v>5</v>
      </c>
      <c r="D713">
        <v>56602653</v>
      </c>
    </row>
    <row r="714" spans="1:4" x14ac:dyDescent="0.25">
      <c r="A714">
        <v>2023</v>
      </c>
      <c r="B714" t="s">
        <v>4</v>
      </c>
      <c r="C714" t="s">
        <v>5</v>
      </c>
      <c r="D714">
        <v>188391000</v>
      </c>
    </row>
    <row r="715" spans="1:4" x14ac:dyDescent="0.25">
      <c r="A715">
        <v>2023</v>
      </c>
      <c r="B715" t="s">
        <v>4</v>
      </c>
      <c r="C715" t="s">
        <v>5</v>
      </c>
      <c r="D715">
        <v>20897489</v>
      </c>
    </row>
    <row r="716" spans="1:4" x14ac:dyDescent="0.25">
      <c r="A716">
        <v>2023</v>
      </c>
      <c r="B716" t="s">
        <v>4</v>
      </c>
      <c r="C716" t="s">
        <v>5</v>
      </c>
      <c r="D716">
        <v>27017727</v>
      </c>
    </row>
    <row r="717" spans="1:4" x14ac:dyDescent="0.25">
      <c r="A717">
        <v>2023</v>
      </c>
      <c r="B717" t="s">
        <v>4</v>
      </c>
      <c r="C717" t="s">
        <v>5</v>
      </c>
      <c r="D717">
        <v>26403516</v>
      </c>
    </row>
    <row r="718" spans="1:4" x14ac:dyDescent="0.25">
      <c r="A718">
        <v>2023</v>
      </c>
      <c r="B718" t="s">
        <v>4</v>
      </c>
      <c r="C718" t="s">
        <v>5</v>
      </c>
      <c r="D718">
        <v>571464</v>
      </c>
    </row>
    <row r="719" spans="1:4" x14ac:dyDescent="0.25">
      <c r="A719">
        <v>2023</v>
      </c>
      <c r="B719" t="s">
        <v>4</v>
      </c>
      <c r="C719" t="s">
        <v>6</v>
      </c>
      <c r="D719">
        <v>12800000</v>
      </c>
    </row>
    <row r="720" spans="1:4" x14ac:dyDescent="0.25">
      <c r="A720">
        <v>2023</v>
      </c>
      <c r="B720" t="s">
        <v>4</v>
      </c>
      <c r="C720" t="s">
        <v>6</v>
      </c>
      <c r="D720">
        <v>104720000</v>
      </c>
    </row>
    <row r="721" spans="1:4" x14ac:dyDescent="0.25">
      <c r="A721">
        <v>2023</v>
      </c>
      <c r="B721" t="s">
        <v>4</v>
      </c>
      <c r="C721" t="s">
        <v>6</v>
      </c>
      <c r="D721">
        <v>100000</v>
      </c>
    </row>
    <row r="722" spans="1:4" x14ac:dyDescent="0.25">
      <c r="A722">
        <v>2023</v>
      </c>
      <c r="B722" t="s">
        <v>4</v>
      </c>
      <c r="C722" t="s">
        <v>7</v>
      </c>
      <c r="D722">
        <v>200000000</v>
      </c>
    </row>
    <row r="723" spans="1:4" x14ac:dyDescent="0.25">
      <c r="A723">
        <v>2023</v>
      </c>
      <c r="B723" t="s">
        <v>4</v>
      </c>
      <c r="C723" t="s">
        <v>19</v>
      </c>
      <c r="D723">
        <v>40000</v>
      </c>
    </row>
    <row r="724" spans="1:4" x14ac:dyDescent="0.25">
      <c r="A724">
        <v>2023</v>
      </c>
      <c r="B724" t="s">
        <v>4</v>
      </c>
      <c r="C724" t="s">
        <v>8</v>
      </c>
      <c r="D724">
        <v>580964000</v>
      </c>
    </row>
    <row r="725" spans="1:4" x14ac:dyDescent="0.25">
      <c r="A725">
        <v>2023</v>
      </c>
      <c r="B725" t="s">
        <v>4</v>
      </c>
      <c r="C725" t="s">
        <v>8</v>
      </c>
      <c r="D725">
        <v>2000000</v>
      </c>
    </row>
    <row r="726" spans="1:4" x14ac:dyDescent="0.25">
      <c r="A726">
        <v>2023</v>
      </c>
      <c r="B726" t="s">
        <v>4</v>
      </c>
      <c r="C726" t="s">
        <v>8</v>
      </c>
      <c r="D726">
        <v>15758000</v>
      </c>
    </row>
    <row r="727" spans="1:4" x14ac:dyDescent="0.25">
      <c r="A727">
        <v>2023</v>
      </c>
      <c r="B727" t="s">
        <v>9</v>
      </c>
      <c r="C727" t="s">
        <v>5</v>
      </c>
      <c r="D727">
        <v>650956</v>
      </c>
    </row>
    <row r="728" spans="1:4" x14ac:dyDescent="0.25">
      <c r="A728">
        <v>2023</v>
      </c>
      <c r="B728" t="s">
        <v>9</v>
      </c>
      <c r="C728" t="s">
        <v>5</v>
      </c>
      <c r="D728">
        <v>130584844</v>
      </c>
    </row>
    <row r="729" spans="1:4" x14ac:dyDescent="0.25">
      <c r="A729">
        <v>2023</v>
      </c>
      <c r="B729" t="s">
        <v>9</v>
      </c>
      <c r="C729" t="s">
        <v>5</v>
      </c>
      <c r="D729">
        <v>25845144</v>
      </c>
    </row>
    <row r="730" spans="1:4" x14ac:dyDescent="0.25">
      <c r="A730">
        <v>2023</v>
      </c>
      <c r="B730" t="s">
        <v>9</v>
      </c>
      <c r="C730" t="s">
        <v>5</v>
      </c>
      <c r="D730">
        <v>4605324</v>
      </c>
    </row>
    <row r="731" spans="1:4" x14ac:dyDescent="0.25">
      <c r="A731">
        <v>2023</v>
      </c>
      <c r="B731" t="s">
        <v>9</v>
      </c>
      <c r="C731" t="s">
        <v>5</v>
      </c>
      <c r="D731">
        <v>1556340</v>
      </c>
    </row>
    <row r="732" spans="1:4" x14ac:dyDescent="0.25">
      <c r="A732">
        <v>2023</v>
      </c>
      <c r="B732" t="s">
        <v>9</v>
      </c>
      <c r="C732" t="s">
        <v>5</v>
      </c>
      <c r="D732">
        <v>9481704</v>
      </c>
    </row>
    <row r="733" spans="1:4" x14ac:dyDescent="0.25">
      <c r="A733">
        <v>2023</v>
      </c>
      <c r="B733" t="s">
        <v>9</v>
      </c>
      <c r="C733" t="s">
        <v>5</v>
      </c>
      <c r="D733">
        <v>7860684</v>
      </c>
    </row>
    <row r="734" spans="1:4" x14ac:dyDescent="0.25">
      <c r="A734">
        <v>2023</v>
      </c>
      <c r="B734" t="s">
        <v>9</v>
      </c>
      <c r="C734" t="s">
        <v>5</v>
      </c>
      <c r="D734">
        <v>7929024</v>
      </c>
    </row>
    <row r="735" spans="1:4" x14ac:dyDescent="0.25">
      <c r="A735">
        <v>2023</v>
      </c>
      <c r="B735" t="s">
        <v>9</v>
      </c>
      <c r="C735" t="s">
        <v>5</v>
      </c>
      <c r="D735">
        <v>2262780</v>
      </c>
    </row>
    <row r="736" spans="1:4" x14ac:dyDescent="0.25">
      <c r="A736">
        <v>2023</v>
      </c>
      <c r="B736" t="s">
        <v>9</v>
      </c>
      <c r="C736" t="s">
        <v>5</v>
      </c>
      <c r="D736">
        <v>802200</v>
      </c>
    </row>
    <row r="737" spans="1:4" x14ac:dyDescent="0.25">
      <c r="A737">
        <v>2023</v>
      </c>
      <c r="B737" t="s">
        <v>9</v>
      </c>
      <c r="C737" t="s">
        <v>6</v>
      </c>
      <c r="D737">
        <v>112288000</v>
      </c>
    </row>
    <row r="738" spans="1:4" x14ac:dyDescent="0.25">
      <c r="A738">
        <v>2023</v>
      </c>
      <c r="B738" t="s">
        <v>9</v>
      </c>
      <c r="C738" t="s">
        <v>7</v>
      </c>
      <c r="D738">
        <v>4550000</v>
      </c>
    </row>
    <row r="739" spans="1:4" x14ac:dyDescent="0.25">
      <c r="A739">
        <v>2023</v>
      </c>
      <c r="B739" t="s">
        <v>9</v>
      </c>
      <c r="C739" t="s">
        <v>19</v>
      </c>
      <c r="D739">
        <v>500000</v>
      </c>
    </row>
    <row r="740" spans="1:4" x14ac:dyDescent="0.25">
      <c r="A740">
        <v>2023</v>
      </c>
      <c r="B740" t="s">
        <v>9</v>
      </c>
      <c r="C740" t="s">
        <v>8</v>
      </c>
      <c r="D740">
        <v>5750000</v>
      </c>
    </row>
    <row r="741" spans="1:4" x14ac:dyDescent="0.25">
      <c r="A741">
        <v>2023</v>
      </c>
      <c r="B741" t="s">
        <v>10</v>
      </c>
      <c r="C741" t="s">
        <v>5</v>
      </c>
      <c r="D741">
        <v>5242000</v>
      </c>
    </row>
    <row r="742" spans="1:4" x14ac:dyDescent="0.25">
      <c r="A742">
        <v>2023</v>
      </c>
      <c r="B742" t="s">
        <v>10</v>
      </c>
      <c r="C742" t="s">
        <v>5</v>
      </c>
      <c r="D742">
        <v>1243291328</v>
      </c>
    </row>
    <row r="743" spans="1:4" x14ac:dyDescent="0.25">
      <c r="A743">
        <v>2023</v>
      </c>
      <c r="B743" t="s">
        <v>10</v>
      </c>
      <c r="C743" t="s">
        <v>5</v>
      </c>
      <c r="D743">
        <v>6816968</v>
      </c>
    </row>
    <row r="744" spans="1:4" x14ac:dyDescent="0.25">
      <c r="A744">
        <v>2023</v>
      </c>
      <c r="B744" t="s">
        <v>10</v>
      </c>
      <c r="C744" t="s">
        <v>5</v>
      </c>
      <c r="D744">
        <v>2977124</v>
      </c>
    </row>
    <row r="745" spans="1:4" x14ac:dyDescent="0.25">
      <c r="A745">
        <v>2023</v>
      </c>
      <c r="B745" t="s">
        <v>10</v>
      </c>
      <c r="C745" t="s">
        <v>5</v>
      </c>
      <c r="D745">
        <v>358752</v>
      </c>
    </row>
    <row r="746" spans="1:4" x14ac:dyDescent="0.25">
      <c r="A746">
        <v>2023</v>
      </c>
      <c r="B746" t="s">
        <v>10</v>
      </c>
      <c r="C746" t="s">
        <v>5</v>
      </c>
      <c r="D746">
        <v>756228</v>
      </c>
    </row>
    <row r="747" spans="1:4" x14ac:dyDescent="0.25">
      <c r="A747">
        <v>2023</v>
      </c>
      <c r="B747" t="s">
        <v>10</v>
      </c>
      <c r="C747" t="s">
        <v>5</v>
      </c>
      <c r="D747">
        <v>493788</v>
      </c>
    </row>
    <row r="748" spans="1:4" x14ac:dyDescent="0.25">
      <c r="A748">
        <v>2023</v>
      </c>
      <c r="B748" t="s">
        <v>10</v>
      </c>
      <c r="C748" t="s">
        <v>5</v>
      </c>
      <c r="D748">
        <v>360000</v>
      </c>
    </row>
    <row r="749" spans="1:4" x14ac:dyDescent="0.25">
      <c r="A749">
        <v>2023</v>
      </c>
      <c r="B749" t="s">
        <v>10</v>
      </c>
      <c r="C749" t="s">
        <v>5</v>
      </c>
      <c r="D749">
        <v>3929688</v>
      </c>
    </row>
    <row r="750" spans="1:4" x14ac:dyDescent="0.25">
      <c r="A750">
        <v>2023</v>
      </c>
      <c r="B750" t="s">
        <v>10</v>
      </c>
      <c r="C750" t="s">
        <v>5</v>
      </c>
      <c r="D750">
        <v>3956524</v>
      </c>
    </row>
    <row r="751" spans="1:4" x14ac:dyDescent="0.25">
      <c r="A751">
        <v>2023</v>
      </c>
      <c r="B751" t="s">
        <v>10</v>
      </c>
      <c r="C751" t="s">
        <v>5</v>
      </c>
      <c r="D751">
        <v>625000</v>
      </c>
    </row>
    <row r="752" spans="1:4" x14ac:dyDescent="0.25">
      <c r="A752">
        <v>2023</v>
      </c>
      <c r="B752" t="s">
        <v>10</v>
      </c>
      <c r="C752" t="s">
        <v>5</v>
      </c>
      <c r="D752">
        <v>2872000</v>
      </c>
    </row>
    <row r="753" spans="1:4" x14ac:dyDescent="0.25">
      <c r="A753">
        <v>2023</v>
      </c>
      <c r="B753" t="s">
        <v>10</v>
      </c>
      <c r="C753" t="s">
        <v>5</v>
      </c>
      <c r="D753">
        <v>61000</v>
      </c>
    </row>
    <row r="754" spans="1:4" x14ac:dyDescent="0.25">
      <c r="A754">
        <v>2023</v>
      </c>
      <c r="B754" t="s">
        <v>10</v>
      </c>
      <c r="C754" t="s">
        <v>5</v>
      </c>
      <c r="D754">
        <v>865672</v>
      </c>
    </row>
    <row r="755" spans="1:4" x14ac:dyDescent="0.25">
      <c r="A755">
        <v>2023</v>
      </c>
      <c r="B755" t="s">
        <v>10</v>
      </c>
      <c r="C755" t="s">
        <v>5</v>
      </c>
      <c r="D755">
        <v>3143480</v>
      </c>
    </row>
    <row r="756" spans="1:4" x14ac:dyDescent="0.25">
      <c r="A756">
        <v>2023</v>
      </c>
      <c r="B756" t="s">
        <v>10</v>
      </c>
      <c r="C756" t="s">
        <v>5</v>
      </c>
      <c r="D756">
        <v>1015620</v>
      </c>
    </row>
    <row r="757" spans="1:4" x14ac:dyDescent="0.25">
      <c r="A757">
        <v>2023</v>
      </c>
      <c r="B757" t="s">
        <v>10</v>
      </c>
      <c r="C757" t="s">
        <v>5</v>
      </c>
      <c r="D757">
        <v>917000</v>
      </c>
    </row>
    <row r="758" spans="1:4" x14ac:dyDescent="0.25">
      <c r="A758">
        <v>2023</v>
      </c>
      <c r="B758" t="s">
        <v>10</v>
      </c>
      <c r="C758" t="s">
        <v>5</v>
      </c>
      <c r="D758">
        <v>2080712</v>
      </c>
    </row>
    <row r="759" spans="1:4" x14ac:dyDescent="0.25">
      <c r="A759">
        <v>2023</v>
      </c>
      <c r="B759" t="s">
        <v>10</v>
      </c>
      <c r="C759" t="s">
        <v>5</v>
      </c>
      <c r="D759">
        <v>1113736</v>
      </c>
    </row>
    <row r="760" spans="1:4" x14ac:dyDescent="0.25">
      <c r="A760">
        <v>2023</v>
      </c>
      <c r="B760" t="s">
        <v>10</v>
      </c>
      <c r="C760" t="s">
        <v>5</v>
      </c>
      <c r="D760">
        <v>1103492</v>
      </c>
    </row>
    <row r="761" spans="1:4" x14ac:dyDescent="0.25">
      <c r="A761">
        <v>2023</v>
      </c>
      <c r="B761" t="s">
        <v>10</v>
      </c>
      <c r="C761" t="s">
        <v>5</v>
      </c>
      <c r="D761">
        <v>3913676</v>
      </c>
    </row>
    <row r="762" spans="1:4" x14ac:dyDescent="0.25">
      <c r="A762">
        <v>2023</v>
      </c>
      <c r="B762" t="s">
        <v>10</v>
      </c>
      <c r="C762" t="s">
        <v>5</v>
      </c>
      <c r="D762">
        <v>3156380</v>
      </c>
    </row>
    <row r="763" spans="1:4" x14ac:dyDescent="0.25">
      <c r="A763">
        <v>2023</v>
      </c>
      <c r="B763" t="s">
        <v>10</v>
      </c>
      <c r="C763" t="s">
        <v>5</v>
      </c>
      <c r="D763">
        <v>1335200</v>
      </c>
    </row>
    <row r="764" spans="1:4" x14ac:dyDescent="0.25">
      <c r="A764">
        <v>2023</v>
      </c>
      <c r="B764" t="s">
        <v>10</v>
      </c>
      <c r="C764" t="s">
        <v>5</v>
      </c>
      <c r="D764">
        <v>2447000</v>
      </c>
    </row>
    <row r="765" spans="1:4" x14ac:dyDescent="0.25">
      <c r="A765">
        <v>2023</v>
      </c>
      <c r="B765" t="s">
        <v>10</v>
      </c>
      <c r="C765" t="s">
        <v>5</v>
      </c>
      <c r="D765">
        <v>1957432</v>
      </c>
    </row>
    <row r="766" spans="1:4" x14ac:dyDescent="0.25">
      <c r="A766">
        <v>2023</v>
      </c>
      <c r="B766" t="s">
        <v>10</v>
      </c>
      <c r="C766" t="s">
        <v>5</v>
      </c>
      <c r="D766">
        <v>1563492</v>
      </c>
    </row>
    <row r="767" spans="1:4" x14ac:dyDescent="0.25">
      <c r="A767">
        <v>2023</v>
      </c>
      <c r="B767" t="s">
        <v>10</v>
      </c>
      <c r="C767" t="s">
        <v>5</v>
      </c>
      <c r="D767">
        <v>4034748</v>
      </c>
    </row>
    <row r="768" spans="1:4" x14ac:dyDescent="0.25">
      <c r="A768">
        <v>2023</v>
      </c>
      <c r="B768" t="s">
        <v>10</v>
      </c>
      <c r="C768" t="s">
        <v>5</v>
      </c>
      <c r="D768">
        <v>1351952</v>
      </c>
    </row>
    <row r="769" spans="1:4" x14ac:dyDescent="0.25">
      <c r="A769">
        <v>2023</v>
      </c>
      <c r="B769" t="s">
        <v>10</v>
      </c>
      <c r="C769" t="s">
        <v>5</v>
      </c>
      <c r="D769">
        <v>2868476</v>
      </c>
    </row>
    <row r="770" spans="1:4" x14ac:dyDescent="0.25">
      <c r="A770">
        <v>2023</v>
      </c>
      <c r="B770" t="s">
        <v>10</v>
      </c>
      <c r="C770" t="s">
        <v>5</v>
      </c>
      <c r="D770">
        <v>275000</v>
      </c>
    </row>
    <row r="771" spans="1:4" x14ac:dyDescent="0.25">
      <c r="A771">
        <v>2023</v>
      </c>
      <c r="B771" t="s">
        <v>10</v>
      </c>
      <c r="C771" t="s">
        <v>5</v>
      </c>
      <c r="D771">
        <v>2376792</v>
      </c>
    </row>
    <row r="772" spans="1:4" x14ac:dyDescent="0.25">
      <c r="A772">
        <v>2023</v>
      </c>
      <c r="B772" t="s">
        <v>10</v>
      </c>
      <c r="C772" t="s">
        <v>5</v>
      </c>
      <c r="D772">
        <v>692800</v>
      </c>
    </row>
    <row r="773" spans="1:4" x14ac:dyDescent="0.25">
      <c r="A773">
        <v>2023</v>
      </c>
      <c r="B773" t="s">
        <v>10</v>
      </c>
      <c r="C773" t="s">
        <v>5</v>
      </c>
      <c r="D773">
        <v>2120000</v>
      </c>
    </row>
    <row r="774" spans="1:4" x14ac:dyDescent="0.25">
      <c r="A774">
        <v>2023</v>
      </c>
      <c r="B774" t="s">
        <v>10</v>
      </c>
      <c r="C774" t="s">
        <v>5</v>
      </c>
      <c r="D774">
        <v>2830000</v>
      </c>
    </row>
    <row r="775" spans="1:4" x14ac:dyDescent="0.25">
      <c r="A775">
        <v>2023</v>
      </c>
      <c r="B775" t="s">
        <v>10</v>
      </c>
      <c r="C775" t="s">
        <v>5</v>
      </c>
      <c r="D775">
        <v>1497996</v>
      </c>
    </row>
    <row r="776" spans="1:4" x14ac:dyDescent="0.25">
      <c r="A776">
        <v>2023</v>
      </c>
      <c r="B776" t="s">
        <v>10</v>
      </c>
      <c r="C776" t="s">
        <v>5</v>
      </c>
      <c r="D776">
        <v>3706540</v>
      </c>
    </row>
    <row r="777" spans="1:4" x14ac:dyDescent="0.25">
      <c r="A777">
        <v>2023</v>
      </c>
      <c r="B777" t="s">
        <v>10</v>
      </c>
      <c r="C777" t="s">
        <v>5</v>
      </c>
      <c r="D777">
        <v>2696212</v>
      </c>
    </row>
    <row r="778" spans="1:4" x14ac:dyDescent="0.25">
      <c r="A778">
        <v>2023</v>
      </c>
      <c r="B778" t="s">
        <v>10</v>
      </c>
      <c r="C778" t="s">
        <v>5</v>
      </c>
      <c r="D778">
        <v>270000</v>
      </c>
    </row>
    <row r="779" spans="1:4" x14ac:dyDescent="0.25">
      <c r="A779">
        <v>2023</v>
      </c>
      <c r="B779" t="s">
        <v>10</v>
      </c>
      <c r="C779" t="s">
        <v>5</v>
      </c>
      <c r="D779">
        <v>3072084</v>
      </c>
    </row>
    <row r="780" spans="1:4" x14ac:dyDescent="0.25">
      <c r="A780">
        <v>2023</v>
      </c>
      <c r="B780" t="s">
        <v>10</v>
      </c>
      <c r="C780" t="s">
        <v>5</v>
      </c>
      <c r="D780">
        <v>1330000</v>
      </c>
    </row>
    <row r="781" spans="1:4" x14ac:dyDescent="0.25">
      <c r="A781">
        <v>2023</v>
      </c>
      <c r="B781" t="s">
        <v>10</v>
      </c>
      <c r="C781" t="s">
        <v>5</v>
      </c>
      <c r="D781">
        <v>410000</v>
      </c>
    </row>
    <row r="782" spans="1:4" x14ac:dyDescent="0.25">
      <c r="A782">
        <v>2023</v>
      </c>
      <c r="B782" t="s">
        <v>10</v>
      </c>
      <c r="C782" t="s">
        <v>5</v>
      </c>
      <c r="D782">
        <v>240000</v>
      </c>
    </row>
    <row r="783" spans="1:4" x14ac:dyDescent="0.25">
      <c r="A783">
        <v>2023</v>
      </c>
      <c r="B783" t="s">
        <v>10</v>
      </c>
      <c r="C783" t="s">
        <v>5</v>
      </c>
      <c r="D783">
        <v>1330052</v>
      </c>
    </row>
    <row r="784" spans="1:4" x14ac:dyDescent="0.25">
      <c r="A784">
        <v>2023</v>
      </c>
      <c r="B784" t="s">
        <v>10</v>
      </c>
      <c r="C784" t="s">
        <v>5</v>
      </c>
      <c r="D784">
        <v>492001</v>
      </c>
    </row>
    <row r="785" spans="1:4" x14ac:dyDescent="0.25">
      <c r="A785">
        <v>2023</v>
      </c>
      <c r="B785" t="s">
        <v>10</v>
      </c>
      <c r="C785" t="s">
        <v>5</v>
      </c>
      <c r="D785">
        <v>1166488</v>
      </c>
    </row>
    <row r="786" spans="1:4" x14ac:dyDescent="0.25">
      <c r="A786">
        <v>2023</v>
      </c>
      <c r="B786" t="s">
        <v>10</v>
      </c>
      <c r="C786" t="s">
        <v>5</v>
      </c>
      <c r="D786">
        <v>155000</v>
      </c>
    </row>
    <row r="787" spans="1:4" x14ac:dyDescent="0.25">
      <c r="A787">
        <v>2023</v>
      </c>
      <c r="B787" t="s">
        <v>10</v>
      </c>
      <c r="C787" t="s">
        <v>5</v>
      </c>
      <c r="D787">
        <v>497500</v>
      </c>
    </row>
    <row r="788" spans="1:4" x14ac:dyDescent="0.25">
      <c r="A788">
        <v>2023</v>
      </c>
      <c r="B788" t="s">
        <v>10</v>
      </c>
      <c r="C788" t="s">
        <v>5</v>
      </c>
      <c r="D788">
        <v>300000</v>
      </c>
    </row>
    <row r="789" spans="1:4" x14ac:dyDescent="0.25">
      <c r="A789">
        <v>2023</v>
      </c>
      <c r="B789" t="s">
        <v>10</v>
      </c>
      <c r="C789" t="s">
        <v>5</v>
      </c>
      <c r="D789">
        <v>130000</v>
      </c>
    </row>
    <row r="790" spans="1:4" x14ac:dyDescent="0.25">
      <c r="A790">
        <v>2023</v>
      </c>
      <c r="B790" t="s">
        <v>10</v>
      </c>
      <c r="C790" t="s">
        <v>5</v>
      </c>
      <c r="D790">
        <v>645000</v>
      </c>
    </row>
    <row r="791" spans="1:4" x14ac:dyDescent="0.25">
      <c r="A791">
        <v>2023</v>
      </c>
      <c r="B791" t="s">
        <v>10</v>
      </c>
      <c r="C791" t="s">
        <v>5</v>
      </c>
      <c r="D791">
        <v>222000</v>
      </c>
    </row>
    <row r="792" spans="1:4" x14ac:dyDescent="0.25">
      <c r="A792">
        <v>2023</v>
      </c>
      <c r="B792" t="s">
        <v>10</v>
      </c>
      <c r="C792" t="s">
        <v>5</v>
      </c>
      <c r="D792">
        <v>260000</v>
      </c>
    </row>
    <row r="793" spans="1:4" x14ac:dyDescent="0.25">
      <c r="A793">
        <v>2023</v>
      </c>
      <c r="B793" t="s">
        <v>10</v>
      </c>
      <c r="C793" t="s">
        <v>5</v>
      </c>
      <c r="D793">
        <v>1320000</v>
      </c>
    </row>
    <row r="794" spans="1:4" x14ac:dyDescent="0.25">
      <c r="A794">
        <v>2023</v>
      </c>
      <c r="B794" t="s">
        <v>10</v>
      </c>
      <c r="C794" t="s">
        <v>5</v>
      </c>
      <c r="D794">
        <v>403696</v>
      </c>
    </row>
    <row r="795" spans="1:4" x14ac:dyDescent="0.25">
      <c r="A795">
        <v>2023</v>
      </c>
      <c r="B795" t="s">
        <v>10</v>
      </c>
      <c r="C795" t="s">
        <v>5</v>
      </c>
      <c r="D795">
        <v>20000</v>
      </c>
    </row>
    <row r="796" spans="1:4" x14ac:dyDescent="0.25">
      <c r="A796">
        <v>2023</v>
      </c>
      <c r="B796" t="s">
        <v>10</v>
      </c>
      <c r="C796" t="s">
        <v>5</v>
      </c>
      <c r="D796">
        <v>1952460</v>
      </c>
    </row>
    <row r="797" spans="1:4" x14ac:dyDescent="0.25">
      <c r="A797">
        <v>2023</v>
      </c>
      <c r="B797" t="s">
        <v>10</v>
      </c>
      <c r="C797" t="s">
        <v>5</v>
      </c>
      <c r="D797">
        <v>470000</v>
      </c>
    </row>
    <row r="798" spans="1:4" x14ac:dyDescent="0.25">
      <c r="A798">
        <v>2023</v>
      </c>
      <c r="B798" t="s">
        <v>10</v>
      </c>
      <c r="C798" t="s">
        <v>5</v>
      </c>
      <c r="D798">
        <v>1814572</v>
      </c>
    </row>
    <row r="799" spans="1:4" x14ac:dyDescent="0.25">
      <c r="A799">
        <v>2023</v>
      </c>
      <c r="B799" t="s">
        <v>10</v>
      </c>
      <c r="C799" t="s">
        <v>5</v>
      </c>
      <c r="D799">
        <v>975352</v>
      </c>
    </row>
    <row r="800" spans="1:4" x14ac:dyDescent="0.25">
      <c r="A800">
        <v>2023</v>
      </c>
      <c r="B800" t="s">
        <v>10</v>
      </c>
      <c r="C800" t="s">
        <v>5</v>
      </c>
      <c r="D800">
        <v>3596356</v>
      </c>
    </row>
    <row r="801" spans="1:4" x14ac:dyDescent="0.25">
      <c r="A801">
        <v>2023</v>
      </c>
      <c r="B801" t="s">
        <v>10</v>
      </c>
      <c r="C801" t="s">
        <v>5</v>
      </c>
      <c r="D801">
        <v>1163776</v>
      </c>
    </row>
    <row r="802" spans="1:4" x14ac:dyDescent="0.25">
      <c r="A802">
        <v>2023</v>
      </c>
      <c r="B802" t="s">
        <v>10</v>
      </c>
      <c r="C802" t="s">
        <v>5</v>
      </c>
      <c r="D802">
        <v>2293272</v>
      </c>
    </row>
    <row r="803" spans="1:4" x14ac:dyDescent="0.25">
      <c r="A803">
        <v>2023</v>
      </c>
      <c r="B803" t="s">
        <v>10</v>
      </c>
      <c r="C803" t="s">
        <v>5</v>
      </c>
      <c r="D803">
        <v>420000</v>
      </c>
    </row>
    <row r="804" spans="1:4" x14ac:dyDescent="0.25">
      <c r="A804">
        <v>2023</v>
      </c>
      <c r="B804" t="s">
        <v>10</v>
      </c>
      <c r="C804" t="s">
        <v>5</v>
      </c>
      <c r="D804">
        <v>850000</v>
      </c>
    </row>
    <row r="805" spans="1:4" x14ac:dyDescent="0.25">
      <c r="A805">
        <v>2023</v>
      </c>
      <c r="B805" t="s">
        <v>10</v>
      </c>
      <c r="C805" t="s">
        <v>5</v>
      </c>
      <c r="D805">
        <v>2036944</v>
      </c>
    </row>
    <row r="806" spans="1:4" x14ac:dyDescent="0.25">
      <c r="A806">
        <v>2023</v>
      </c>
      <c r="B806" t="s">
        <v>10</v>
      </c>
      <c r="C806" t="s">
        <v>5</v>
      </c>
      <c r="D806">
        <v>1017208</v>
      </c>
    </row>
    <row r="807" spans="1:4" x14ac:dyDescent="0.25">
      <c r="A807">
        <v>2023</v>
      </c>
      <c r="B807" t="s">
        <v>10</v>
      </c>
      <c r="C807" t="s">
        <v>5</v>
      </c>
      <c r="D807">
        <v>1080212</v>
      </c>
    </row>
    <row r="808" spans="1:4" x14ac:dyDescent="0.25">
      <c r="A808">
        <v>2023</v>
      </c>
      <c r="B808" t="s">
        <v>10</v>
      </c>
      <c r="C808" t="s">
        <v>5</v>
      </c>
      <c r="D808">
        <v>253000</v>
      </c>
    </row>
    <row r="809" spans="1:4" x14ac:dyDescent="0.25">
      <c r="A809">
        <v>2023</v>
      </c>
      <c r="B809" t="s">
        <v>10</v>
      </c>
      <c r="C809" t="s">
        <v>5</v>
      </c>
      <c r="D809">
        <v>1324744</v>
      </c>
    </row>
    <row r="810" spans="1:4" x14ac:dyDescent="0.25">
      <c r="A810">
        <v>2023</v>
      </c>
      <c r="B810" t="s">
        <v>10</v>
      </c>
      <c r="C810" t="s">
        <v>5</v>
      </c>
      <c r="D810">
        <v>1531669</v>
      </c>
    </row>
    <row r="811" spans="1:4" x14ac:dyDescent="0.25">
      <c r="A811">
        <v>2023</v>
      </c>
      <c r="B811" t="s">
        <v>10</v>
      </c>
      <c r="C811" t="s">
        <v>5</v>
      </c>
      <c r="D811">
        <v>4073360</v>
      </c>
    </row>
    <row r="812" spans="1:4" x14ac:dyDescent="0.25">
      <c r="A812">
        <v>2023</v>
      </c>
      <c r="B812" t="s">
        <v>10</v>
      </c>
      <c r="C812" t="s">
        <v>5</v>
      </c>
      <c r="D812">
        <v>2000</v>
      </c>
    </row>
    <row r="813" spans="1:4" x14ac:dyDescent="0.25">
      <c r="A813">
        <v>2023</v>
      </c>
      <c r="B813" t="s">
        <v>10</v>
      </c>
      <c r="C813" t="s">
        <v>5</v>
      </c>
      <c r="D813">
        <v>12000</v>
      </c>
    </row>
    <row r="814" spans="1:4" x14ac:dyDescent="0.25">
      <c r="A814">
        <v>2023</v>
      </c>
      <c r="B814" t="s">
        <v>10</v>
      </c>
      <c r="C814" t="s">
        <v>5</v>
      </c>
      <c r="D814">
        <v>15000</v>
      </c>
    </row>
    <row r="815" spans="1:4" x14ac:dyDescent="0.25">
      <c r="A815">
        <v>2023</v>
      </c>
      <c r="B815" t="s">
        <v>10</v>
      </c>
      <c r="C815" t="s">
        <v>5</v>
      </c>
      <c r="D815">
        <v>187000</v>
      </c>
    </row>
    <row r="816" spans="1:4" x14ac:dyDescent="0.25">
      <c r="A816">
        <v>2023</v>
      </c>
      <c r="B816" t="s">
        <v>10</v>
      </c>
      <c r="C816" t="s">
        <v>5</v>
      </c>
      <c r="D816">
        <v>12000</v>
      </c>
    </row>
    <row r="817" spans="1:4" x14ac:dyDescent="0.25">
      <c r="A817">
        <v>2023</v>
      </c>
      <c r="B817" t="s">
        <v>10</v>
      </c>
      <c r="C817" t="s">
        <v>5</v>
      </c>
      <c r="D817">
        <v>165000</v>
      </c>
    </row>
    <row r="818" spans="1:4" x14ac:dyDescent="0.25">
      <c r="A818">
        <v>2023</v>
      </c>
      <c r="B818" t="s">
        <v>10</v>
      </c>
      <c r="C818" t="s">
        <v>5</v>
      </c>
      <c r="D818">
        <v>406000</v>
      </c>
    </row>
    <row r="819" spans="1:4" x14ac:dyDescent="0.25">
      <c r="A819">
        <v>2023</v>
      </c>
      <c r="B819" t="s">
        <v>10</v>
      </c>
      <c r="C819" t="s">
        <v>5</v>
      </c>
      <c r="D819">
        <v>462000</v>
      </c>
    </row>
    <row r="820" spans="1:4" x14ac:dyDescent="0.25">
      <c r="A820">
        <v>2023</v>
      </c>
      <c r="B820" t="s">
        <v>10</v>
      </c>
      <c r="C820" t="s">
        <v>5</v>
      </c>
      <c r="D820">
        <v>416000</v>
      </c>
    </row>
    <row r="821" spans="1:4" x14ac:dyDescent="0.25">
      <c r="A821">
        <v>2023</v>
      </c>
      <c r="B821" t="s">
        <v>10</v>
      </c>
      <c r="C821" t="s">
        <v>5</v>
      </c>
      <c r="D821">
        <v>362000</v>
      </c>
    </row>
    <row r="822" spans="1:4" x14ac:dyDescent="0.25">
      <c r="A822">
        <v>2023</v>
      </c>
      <c r="B822" t="s">
        <v>10</v>
      </c>
      <c r="C822" t="s">
        <v>5</v>
      </c>
      <c r="D822">
        <v>120000</v>
      </c>
    </row>
    <row r="823" spans="1:4" x14ac:dyDescent="0.25">
      <c r="A823">
        <v>2023</v>
      </c>
      <c r="B823" t="s">
        <v>10</v>
      </c>
      <c r="C823" t="s">
        <v>5</v>
      </c>
      <c r="D823">
        <v>1770000</v>
      </c>
    </row>
    <row r="824" spans="1:4" x14ac:dyDescent="0.25">
      <c r="A824">
        <v>2023</v>
      </c>
      <c r="B824" t="s">
        <v>10</v>
      </c>
      <c r="C824" t="s">
        <v>5</v>
      </c>
      <c r="D824">
        <v>252000</v>
      </c>
    </row>
    <row r="825" spans="1:4" x14ac:dyDescent="0.25">
      <c r="A825">
        <v>2023</v>
      </c>
      <c r="B825" t="s">
        <v>10</v>
      </c>
      <c r="C825" t="s">
        <v>5</v>
      </c>
      <c r="D825">
        <v>120000</v>
      </c>
    </row>
    <row r="826" spans="1:4" x14ac:dyDescent="0.25">
      <c r="A826">
        <v>2023</v>
      </c>
      <c r="B826" t="s">
        <v>10</v>
      </c>
      <c r="C826" t="s">
        <v>5</v>
      </c>
      <c r="D826">
        <v>220380</v>
      </c>
    </row>
    <row r="827" spans="1:4" x14ac:dyDescent="0.25">
      <c r="A827">
        <v>2023</v>
      </c>
      <c r="B827" t="s">
        <v>10</v>
      </c>
      <c r="C827" t="s">
        <v>5</v>
      </c>
      <c r="D827">
        <v>868696</v>
      </c>
    </row>
    <row r="828" spans="1:4" x14ac:dyDescent="0.25">
      <c r="A828">
        <v>2023</v>
      </c>
      <c r="B828" t="s">
        <v>10</v>
      </c>
      <c r="C828" t="s">
        <v>5</v>
      </c>
      <c r="D828">
        <v>1847580</v>
      </c>
    </row>
    <row r="829" spans="1:4" x14ac:dyDescent="0.25">
      <c r="A829">
        <v>2023</v>
      </c>
      <c r="B829" t="s">
        <v>10</v>
      </c>
      <c r="C829" t="s">
        <v>5</v>
      </c>
      <c r="D829">
        <v>2394628</v>
      </c>
    </row>
    <row r="830" spans="1:4" x14ac:dyDescent="0.25">
      <c r="A830">
        <v>2023</v>
      </c>
      <c r="B830" t="s">
        <v>10</v>
      </c>
      <c r="C830" t="s">
        <v>5</v>
      </c>
      <c r="D830">
        <v>1487360</v>
      </c>
    </row>
    <row r="831" spans="1:4" x14ac:dyDescent="0.25">
      <c r="A831">
        <v>2023</v>
      </c>
      <c r="B831" t="s">
        <v>10</v>
      </c>
      <c r="C831" t="s">
        <v>5</v>
      </c>
      <c r="D831">
        <v>205000</v>
      </c>
    </row>
    <row r="832" spans="1:4" x14ac:dyDescent="0.25">
      <c r="A832">
        <v>2023</v>
      </c>
      <c r="B832" t="s">
        <v>10</v>
      </c>
      <c r="C832" t="s">
        <v>5</v>
      </c>
      <c r="D832">
        <v>5461452</v>
      </c>
    </row>
    <row r="833" spans="1:4" x14ac:dyDescent="0.25">
      <c r="A833">
        <v>2023</v>
      </c>
      <c r="B833" t="s">
        <v>10</v>
      </c>
      <c r="C833" t="s">
        <v>5</v>
      </c>
      <c r="D833">
        <v>4516264</v>
      </c>
    </row>
    <row r="834" spans="1:4" x14ac:dyDescent="0.25">
      <c r="A834">
        <v>2023</v>
      </c>
      <c r="B834" t="s">
        <v>10</v>
      </c>
      <c r="C834" t="s">
        <v>5</v>
      </c>
      <c r="D834">
        <v>3557564</v>
      </c>
    </row>
    <row r="835" spans="1:4" x14ac:dyDescent="0.25">
      <c r="A835">
        <v>2023</v>
      </c>
      <c r="B835" t="s">
        <v>10</v>
      </c>
      <c r="C835" t="s">
        <v>5</v>
      </c>
      <c r="D835">
        <v>1006512</v>
      </c>
    </row>
    <row r="836" spans="1:4" x14ac:dyDescent="0.25">
      <c r="A836">
        <v>2023</v>
      </c>
      <c r="B836" t="s">
        <v>10</v>
      </c>
      <c r="C836" t="s">
        <v>5</v>
      </c>
      <c r="D836">
        <v>957000</v>
      </c>
    </row>
    <row r="837" spans="1:4" x14ac:dyDescent="0.25">
      <c r="A837">
        <v>2023</v>
      </c>
      <c r="B837" t="s">
        <v>10</v>
      </c>
      <c r="C837" t="s">
        <v>5</v>
      </c>
      <c r="D837">
        <v>985628</v>
      </c>
    </row>
    <row r="838" spans="1:4" x14ac:dyDescent="0.25">
      <c r="A838">
        <v>2023</v>
      </c>
      <c r="B838" t="s">
        <v>10</v>
      </c>
      <c r="C838" t="s">
        <v>5</v>
      </c>
      <c r="D838">
        <v>3219692</v>
      </c>
    </row>
    <row r="839" spans="1:4" x14ac:dyDescent="0.25">
      <c r="A839">
        <v>2023</v>
      </c>
      <c r="B839" t="s">
        <v>10</v>
      </c>
      <c r="C839" t="s">
        <v>5</v>
      </c>
      <c r="D839">
        <v>240000</v>
      </c>
    </row>
    <row r="840" spans="1:4" x14ac:dyDescent="0.25">
      <c r="A840">
        <v>2023</v>
      </c>
      <c r="B840" t="s">
        <v>10</v>
      </c>
      <c r="C840" t="s">
        <v>5</v>
      </c>
      <c r="D840">
        <v>4437516</v>
      </c>
    </row>
    <row r="841" spans="1:4" x14ac:dyDescent="0.25">
      <c r="A841">
        <v>2023</v>
      </c>
      <c r="B841" t="s">
        <v>10</v>
      </c>
      <c r="C841" t="s">
        <v>5</v>
      </c>
      <c r="D841">
        <v>796000</v>
      </c>
    </row>
    <row r="842" spans="1:4" x14ac:dyDescent="0.25">
      <c r="A842">
        <v>2023</v>
      </c>
      <c r="B842" t="s">
        <v>10</v>
      </c>
      <c r="C842" t="s">
        <v>5</v>
      </c>
      <c r="D842">
        <v>775000</v>
      </c>
    </row>
    <row r="843" spans="1:4" x14ac:dyDescent="0.25">
      <c r="A843">
        <v>2023</v>
      </c>
      <c r="B843" t="s">
        <v>10</v>
      </c>
      <c r="C843" t="s">
        <v>5</v>
      </c>
      <c r="D843">
        <v>805368</v>
      </c>
    </row>
    <row r="844" spans="1:4" x14ac:dyDescent="0.25">
      <c r="A844">
        <v>2023</v>
      </c>
      <c r="B844" t="s">
        <v>10</v>
      </c>
      <c r="C844" t="s">
        <v>5</v>
      </c>
      <c r="D844">
        <v>1603548</v>
      </c>
    </row>
    <row r="845" spans="1:4" x14ac:dyDescent="0.25">
      <c r="A845">
        <v>2023</v>
      </c>
      <c r="B845" t="s">
        <v>10</v>
      </c>
      <c r="C845" t="s">
        <v>5</v>
      </c>
      <c r="D845">
        <v>600000</v>
      </c>
    </row>
    <row r="846" spans="1:4" x14ac:dyDescent="0.25">
      <c r="A846">
        <v>2023</v>
      </c>
      <c r="B846" t="s">
        <v>10</v>
      </c>
      <c r="C846" t="s">
        <v>5</v>
      </c>
      <c r="D846">
        <v>1820212</v>
      </c>
    </row>
    <row r="847" spans="1:4" x14ac:dyDescent="0.25">
      <c r="A847">
        <v>2023</v>
      </c>
      <c r="B847" t="s">
        <v>10</v>
      </c>
      <c r="C847" t="s">
        <v>5</v>
      </c>
      <c r="D847">
        <v>787272</v>
      </c>
    </row>
    <row r="848" spans="1:4" x14ac:dyDescent="0.25">
      <c r="A848">
        <v>2023</v>
      </c>
      <c r="B848" t="s">
        <v>10</v>
      </c>
      <c r="C848" t="s">
        <v>5</v>
      </c>
      <c r="D848">
        <v>420000</v>
      </c>
    </row>
    <row r="849" spans="1:4" x14ac:dyDescent="0.25">
      <c r="A849">
        <v>2023</v>
      </c>
      <c r="B849" t="s">
        <v>10</v>
      </c>
      <c r="C849" t="s">
        <v>5</v>
      </c>
      <c r="D849">
        <v>4599376</v>
      </c>
    </row>
    <row r="850" spans="1:4" x14ac:dyDescent="0.25">
      <c r="A850">
        <v>2023</v>
      </c>
      <c r="B850" t="s">
        <v>10</v>
      </c>
      <c r="C850" t="s">
        <v>5</v>
      </c>
      <c r="D850">
        <v>330000</v>
      </c>
    </row>
    <row r="851" spans="1:4" x14ac:dyDescent="0.25">
      <c r="A851">
        <v>2023</v>
      </c>
      <c r="B851" t="s">
        <v>10</v>
      </c>
      <c r="C851" t="s">
        <v>5</v>
      </c>
      <c r="D851">
        <v>2617432</v>
      </c>
    </row>
    <row r="852" spans="1:4" x14ac:dyDescent="0.25">
      <c r="A852">
        <v>2023</v>
      </c>
      <c r="B852" t="s">
        <v>10</v>
      </c>
      <c r="C852" t="s">
        <v>5</v>
      </c>
      <c r="D852">
        <v>1585000</v>
      </c>
    </row>
    <row r="853" spans="1:4" x14ac:dyDescent="0.25">
      <c r="A853">
        <v>2023</v>
      </c>
      <c r="B853" t="s">
        <v>10</v>
      </c>
      <c r="C853" t="s">
        <v>5</v>
      </c>
      <c r="D853">
        <v>827480</v>
      </c>
    </row>
    <row r="854" spans="1:4" x14ac:dyDescent="0.25">
      <c r="A854">
        <v>2023</v>
      </c>
      <c r="B854" t="s">
        <v>10</v>
      </c>
      <c r="C854" t="s">
        <v>5</v>
      </c>
      <c r="D854">
        <v>500000</v>
      </c>
    </row>
    <row r="855" spans="1:4" x14ac:dyDescent="0.25">
      <c r="A855">
        <v>2023</v>
      </c>
      <c r="B855" t="s">
        <v>10</v>
      </c>
      <c r="C855" t="s">
        <v>5</v>
      </c>
      <c r="D855">
        <v>497000</v>
      </c>
    </row>
    <row r="856" spans="1:4" x14ac:dyDescent="0.25">
      <c r="A856">
        <v>2023</v>
      </c>
      <c r="B856" t="s">
        <v>10</v>
      </c>
      <c r="C856" t="s">
        <v>5</v>
      </c>
      <c r="D856">
        <v>620000</v>
      </c>
    </row>
    <row r="857" spans="1:4" x14ac:dyDescent="0.25">
      <c r="A857">
        <v>2023</v>
      </c>
      <c r="B857" t="s">
        <v>10</v>
      </c>
      <c r="C857" t="s">
        <v>5</v>
      </c>
      <c r="D857">
        <v>840000</v>
      </c>
    </row>
    <row r="858" spans="1:4" x14ac:dyDescent="0.25">
      <c r="A858">
        <v>2023</v>
      </c>
      <c r="B858" t="s">
        <v>10</v>
      </c>
      <c r="C858" t="s">
        <v>5</v>
      </c>
      <c r="D858">
        <v>300000</v>
      </c>
    </row>
    <row r="859" spans="1:4" x14ac:dyDescent="0.25">
      <c r="A859">
        <v>2023</v>
      </c>
      <c r="B859" t="s">
        <v>10</v>
      </c>
      <c r="C859" t="s">
        <v>5</v>
      </c>
      <c r="D859">
        <v>180000</v>
      </c>
    </row>
    <row r="860" spans="1:4" x14ac:dyDescent="0.25">
      <c r="A860">
        <v>2023</v>
      </c>
      <c r="B860" t="s">
        <v>10</v>
      </c>
      <c r="C860" t="s">
        <v>5</v>
      </c>
      <c r="D860">
        <v>3600000</v>
      </c>
    </row>
    <row r="861" spans="1:4" x14ac:dyDescent="0.25">
      <c r="A861">
        <v>2023</v>
      </c>
      <c r="B861" t="s">
        <v>10</v>
      </c>
      <c r="C861" t="s">
        <v>5</v>
      </c>
      <c r="D861">
        <v>1514852</v>
      </c>
    </row>
    <row r="862" spans="1:4" x14ac:dyDescent="0.25">
      <c r="A862">
        <v>2023</v>
      </c>
      <c r="B862" t="s">
        <v>10</v>
      </c>
      <c r="C862" t="s">
        <v>5</v>
      </c>
      <c r="D862">
        <v>1051884</v>
      </c>
    </row>
    <row r="863" spans="1:4" x14ac:dyDescent="0.25">
      <c r="A863">
        <v>2023</v>
      </c>
      <c r="B863" t="s">
        <v>10</v>
      </c>
      <c r="C863" t="s">
        <v>5</v>
      </c>
      <c r="D863">
        <v>20806712</v>
      </c>
    </row>
    <row r="864" spans="1:4" x14ac:dyDescent="0.25">
      <c r="A864">
        <v>2023</v>
      </c>
      <c r="B864" t="s">
        <v>10</v>
      </c>
      <c r="C864" t="s">
        <v>5</v>
      </c>
      <c r="D864">
        <v>22346696</v>
      </c>
    </row>
    <row r="865" spans="1:4" x14ac:dyDescent="0.25">
      <c r="A865">
        <v>2023</v>
      </c>
      <c r="B865" t="s">
        <v>10</v>
      </c>
      <c r="C865" t="s">
        <v>5</v>
      </c>
      <c r="D865">
        <v>300000</v>
      </c>
    </row>
    <row r="866" spans="1:4" x14ac:dyDescent="0.25">
      <c r="A866">
        <v>2023</v>
      </c>
      <c r="B866" t="s">
        <v>10</v>
      </c>
      <c r="C866" t="s">
        <v>5</v>
      </c>
      <c r="D866">
        <v>355000</v>
      </c>
    </row>
    <row r="867" spans="1:4" x14ac:dyDescent="0.25">
      <c r="A867">
        <v>2023</v>
      </c>
      <c r="B867" t="s">
        <v>10</v>
      </c>
      <c r="C867" t="s">
        <v>5</v>
      </c>
      <c r="D867">
        <v>2380052</v>
      </c>
    </row>
    <row r="868" spans="1:4" x14ac:dyDescent="0.25">
      <c r="A868">
        <v>2023</v>
      </c>
      <c r="B868" t="s">
        <v>10</v>
      </c>
      <c r="C868" t="s">
        <v>5</v>
      </c>
      <c r="D868">
        <v>270000</v>
      </c>
    </row>
    <row r="869" spans="1:4" x14ac:dyDescent="0.25">
      <c r="A869">
        <v>2023</v>
      </c>
      <c r="B869" t="s">
        <v>10</v>
      </c>
      <c r="C869" t="s">
        <v>5</v>
      </c>
      <c r="D869">
        <v>1150000</v>
      </c>
    </row>
    <row r="870" spans="1:4" x14ac:dyDescent="0.25">
      <c r="A870">
        <v>2023</v>
      </c>
      <c r="B870" t="s">
        <v>10</v>
      </c>
      <c r="C870" t="s">
        <v>5</v>
      </c>
      <c r="D870">
        <v>4426236</v>
      </c>
    </row>
    <row r="871" spans="1:4" x14ac:dyDescent="0.25">
      <c r="A871">
        <v>2023</v>
      </c>
      <c r="B871" t="s">
        <v>10</v>
      </c>
      <c r="C871" t="s">
        <v>5</v>
      </c>
      <c r="D871">
        <v>430000</v>
      </c>
    </row>
    <row r="872" spans="1:4" x14ac:dyDescent="0.25">
      <c r="A872">
        <v>2023</v>
      </c>
      <c r="B872" t="s">
        <v>10</v>
      </c>
      <c r="C872" t="s">
        <v>5</v>
      </c>
      <c r="D872">
        <v>100000</v>
      </c>
    </row>
    <row r="873" spans="1:4" x14ac:dyDescent="0.25">
      <c r="A873">
        <v>2023</v>
      </c>
      <c r="B873" t="s">
        <v>10</v>
      </c>
      <c r="C873" t="s">
        <v>5</v>
      </c>
      <c r="D873">
        <v>266000</v>
      </c>
    </row>
    <row r="874" spans="1:4" x14ac:dyDescent="0.25">
      <c r="A874">
        <v>2023</v>
      </c>
      <c r="B874" t="s">
        <v>10</v>
      </c>
      <c r="C874" t="s">
        <v>5</v>
      </c>
      <c r="D874">
        <v>450000</v>
      </c>
    </row>
    <row r="875" spans="1:4" x14ac:dyDescent="0.25">
      <c r="A875">
        <v>2023</v>
      </c>
      <c r="B875" t="s">
        <v>10</v>
      </c>
      <c r="C875" t="s">
        <v>5</v>
      </c>
      <c r="D875">
        <v>415000</v>
      </c>
    </row>
    <row r="876" spans="1:4" x14ac:dyDescent="0.25">
      <c r="A876">
        <v>2023</v>
      </c>
      <c r="B876" t="s">
        <v>10</v>
      </c>
      <c r="C876" t="s">
        <v>5</v>
      </c>
      <c r="D876">
        <v>250000</v>
      </c>
    </row>
    <row r="877" spans="1:4" x14ac:dyDescent="0.25">
      <c r="A877">
        <v>2023</v>
      </c>
      <c r="B877" t="s">
        <v>10</v>
      </c>
      <c r="C877" t="s">
        <v>5</v>
      </c>
      <c r="D877">
        <v>488696</v>
      </c>
    </row>
    <row r="878" spans="1:4" x14ac:dyDescent="0.25">
      <c r="A878">
        <v>2023</v>
      </c>
      <c r="B878" t="s">
        <v>10</v>
      </c>
      <c r="C878" t="s">
        <v>5</v>
      </c>
      <c r="D878">
        <v>373696</v>
      </c>
    </row>
    <row r="879" spans="1:4" x14ac:dyDescent="0.25">
      <c r="A879">
        <v>2023</v>
      </c>
      <c r="B879" t="s">
        <v>10</v>
      </c>
      <c r="C879" t="s">
        <v>5</v>
      </c>
      <c r="D879">
        <v>1246696</v>
      </c>
    </row>
    <row r="880" spans="1:4" x14ac:dyDescent="0.25">
      <c r="A880">
        <v>2023</v>
      </c>
      <c r="B880" t="s">
        <v>10</v>
      </c>
      <c r="C880" t="s">
        <v>5</v>
      </c>
      <c r="D880">
        <v>311696</v>
      </c>
    </row>
    <row r="881" spans="1:4" x14ac:dyDescent="0.25">
      <c r="A881">
        <v>2023</v>
      </c>
      <c r="B881" t="s">
        <v>10</v>
      </c>
      <c r="C881" t="s">
        <v>5</v>
      </c>
      <c r="D881">
        <v>753696</v>
      </c>
    </row>
    <row r="882" spans="1:4" x14ac:dyDescent="0.25">
      <c r="A882">
        <v>2023</v>
      </c>
      <c r="B882" t="s">
        <v>10</v>
      </c>
      <c r="C882" t="s">
        <v>5</v>
      </c>
      <c r="D882">
        <v>676696</v>
      </c>
    </row>
    <row r="883" spans="1:4" x14ac:dyDescent="0.25">
      <c r="A883">
        <v>2023</v>
      </c>
      <c r="B883" t="s">
        <v>10</v>
      </c>
      <c r="C883" t="s">
        <v>5</v>
      </c>
      <c r="D883">
        <v>908696</v>
      </c>
    </row>
    <row r="884" spans="1:4" x14ac:dyDescent="0.25">
      <c r="A884">
        <v>2023</v>
      </c>
      <c r="B884" t="s">
        <v>10</v>
      </c>
      <c r="C884" t="s">
        <v>5</v>
      </c>
      <c r="D884">
        <v>693697</v>
      </c>
    </row>
    <row r="885" spans="1:4" x14ac:dyDescent="0.25">
      <c r="A885">
        <v>2023</v>
      </c>
      <c r="B885" t="s">
        <v>10</v>
      </c>
      <c r="C885" t="s">
        <v>5</v>
      </c>
      <c r="D885">
        <v>778697</v>
      </c>
    </row>
    <row r="886" spans="1:4" x14ac:dyDescent="0.25">
      <c r="A886">
        <v>2023</v>
      </c>
      <c r="B886" t="s">
        <v>10</v>
      </c>
      <c r="C886" t="s">
        <v>5</v>
      </c>
      <c r="D886">
        <v>843697</v>
      </c>
    </row>
    <row r="887" spans="1:4" x14ac:dyDescent="0.25">
      <c r="A887">
        <v>2023</v>
      </c>
      <c r="B887" t="s">
        <v>10</v>
      </c>
      <c r="C887" t="s">
        <v>5</v>
      </c>
      <c r="D887">
        <v>678697</v>
      </c>
    </row>
    <row r="888" spans="1:4" x14ac:dyDescent="0.25">
      <c r="A888">
        <v>2023</v>
      </c>
      <c r="B888" t="s">
        <v>10</v>
      </c>
      <c r="C888" t="s">
        <v>5</v>
      </c>
      <c r="D888">
        <v>463697</v>
      </c>
    </row>
    <row r="889" spans="1:4" x14ac:dyDescent="0.25">
      <c r="A889">
        <v>2023</v>
      </c>
      <c r="B889" t="s">
        <v>10</v>
      </c>
      <c r="C889" t="s">
        <v>5</v>
      </c>
      <c r="D889">
        <v>821697</v>
      </c>
    </row>
    <row r="890" spans="1:4" x14ac:dyDescent="0.25">
      <c r="A890">
        <v>2023</v>
      </c>
      <c r="B890" t="s">
        <v>10</v>
      </c>
      <c r="C890" t="s">
        <v>6</v>
      </c>
      <c r="D890">
        <v>485458099</v>
      </c>
    </row>
    <row r="891" spans="1:4" x14ac:dyDescent="0.25">
      <c r="A891">
        <v>2023</v>
      </c>
      <c r="B891" t="s">
        <v>10</v>
      </c>
      <c r="C891" t="s">
        <v>6</v>
      </c>
      <c r="D891">
        <v>1885000</v>
      </c>
    </row>
    <row r="892" spans="1:4" x14ac:dyDescent="0.25">
      <c r="A892">
        <v>2023</v>
      </c>
      <c r="B892" t="s">
        <v>10</v>
      </c>
      <c r="C892" t="s">
        <v>6</v>
      </c>
      <c r="D892">
        <v>3176000</v>
      </c>
    </row>
    <row r="893" spans="1:4" x14ac:dyDescent="0.25">
      <c r="A893">
        <v>2023</v>
      </c>
      <c r="B893" t="s">
        <v>10</v>
      </c>
      <c r="C893" t="s">
        <v>6</v>
      </c>
      <c r="D893">
        <v>1987800</v>
      </c>
    </row>
    <row r="894" spans="1:4" x14ac:dyDescent="0.25">
      <c r="A894">
        <v>2023</v>
      </c>
      <c r="B894" t="s">
        <v>10</v>
      </c>
      <c r="C894" t="s">
        <v>6</v>
      </c>
      <c r="D894">
        <v>3105000</v>
      </c>
    </row>
    <row r="895" spans="1:4" x14ac:dyDescent="0.25">
      <c r="A895">
        <v>2023</v>
      </c>
      <c r="B895" t="s">
        <v>10</v>
      </c>
      <c r="C895" t="s">
        <v>6</v>
      </c>
      <c r="D895">
        <v>3006200</v>
      </c>
    </row>
    <row r="896" spans="1:4" x14ac:dyDescent="0.25">
      <c r="A896">
        <v>2023</v>
      </c>
      <c r="B896" t="s">
        <v>10</v>
      </c>
      <c r="C896" t="s">
        <v>6</v>
      </c>
      <c r="D896">
        <v>2403400</v>
      </c>
    </row>
    <row r="897" spans="1:4" x14ac:dyDescent="0.25">
      <c r="A897">
        <v>2023</v>
      </c>
      <c r="B897" t="s">
        <v>10</v>
      </c>
      <c r="C897" t="s">
        <v>6</v>
      </c>
      <c r="D897">
        <v>512000</v>
      </c>
    </row>
    <row r="898" spans="1:4" x14ac:dyDescent="0.25">
      <c r="A898">
        <v>2023</v>
      </c>
      <c r="B898" t="s">
        <v>10</v>
      </c>
      <c r="C898" t="s">
        <v>6</v>
      </c>
      <c r="D898">
        <v>1722000</v>
      </c>
    </row>
    <row r="899" spans="1:4" x14ac:dyDescent="0.25">
      <c r="A899">
        <v>2023</v>
      </c>
      <c r="B899" t="s">
        <v>10</v>
      </c>
      <c r="C899" t="s">
        <v>6</v>
      </c>
      <c r="D899">
        <v>815000</v>
      </c>
    </row>
    <row r="900" spans="1:4" x14ac:dyDescent="0.25">
      <c r="A900">
        <v>2023</v>
      </c>
      <c r="B900" t="s">
        <v>10</v>
      </c>
      <c r="C900" t="s">
        <v>6</v>
      </c>
      <c r="D900">
        <v>1014301</v>
      </c>
    </row>
    <row r="901" spans="1:4" x14ac:dyDescent="0.25">
      <c r="A901">
        <v>2023</v>
      </c>
      <c r="B901" t="s">
        <v>10</v>
      </c>
      <c r="C901" t="s">
        <v>6</v>
      </c>
      <c r="D901">
        <v>551000</v>
      </c>
    </row>
    <row r="902" spans="1:4" x14ac:dyDescent="0.25">
      <c r="A902">
        <v>2023</v>
      </c>
      <c r="B902" t="s">
        <v>10</v>
      </c>
      <c r="C902" t="s">
        <v>6</v>
      </c>
      <c r="D902">
        <v>4806000</v>
      </c>
    </row>
    <row r="903" spans="1:4" x14ac:dyDescent="0.25">
      <c r="A903">
        <v>2023</v>
      </c>
      <c r="B903" t="s">
        <v>10</v>
      </c>
      <c r="C903" t="s">
        <v>6</v>
      </c>
      <c r="D903">
        <v>996000</v>
      </c>
    </row>
    <row r="904" spans="1:4" x14ac:dyDescent="0.25">
      <c r="A904">
        <v>2023</v>
      </c>
      <c r="B904" t="s">
        <v>10</v>
      </c>
      <c r="C904" t="s">
        <v>6</v>
      </c>
      <c r="D904">
        <v>2425700</v>
      </c>
    </row>
    <row r="905" spans="1:4" x14ac:dyDescent="0.25">
      <c r="A905">
        <v>2023</v>
      </c>
      <c r="B905" t="s">
        <v>10</v>
      </c>
      <c r="C905" t="s">
        <v>6</v>
      </c>
      <c r="D905">
        <v>1519000</v>
      </c>
    </row>
    <row r="906" spans="1:4" x14ac:dyDescent="0.25">
      <c r="A906">
        <v>2023</v>
      </c>
      <c r="B906" t="s">
        <v>10</v>
      </c>
      <c r="C906" t="s">
        <v>6</v>
      </c>
      <c r="D906">
        <v>1952000</v>
      </c>
    </row>
    <row r="907" spans="1:4" x14ac:dyDescent="0.25">
      <c r="A907">
        <v>2023</v>
      </c>
      <c r="B907" t="s">
        <v>10</v>
      </c>
      <c r="C907" t="s">
        <v>6</v>
      </c>
      <c r="D907">
        <v>1199500</v>
      </c>
    </row>
    <row r="908" spans="1:4" x14ac:dyDescent="0.25">
      <c r="A908">
        <v>2023</v>
      </c>
      <c r="B908" t="s">
        <v>10</v>
      </c>
      <c r="C908" t="s">
        <v>6</v>
      </c>
      <c r="D908">
        <v>1328500</v>
      </c>
    </row>
    <row r="909" spans="1:4" x14ac:dyDescent="0.25">
      <c r="A909">
        <v>2023</v>
      </c>
      <c r="B909" t="s">
        <v>10</v>
      </c>
      <c r="C909" t="s">
        <v>6</v>
      </c>
      <c r="D909">
        <v>4066300</v>
      </c>
    </row>
    <row r="910" spans="1:4" x14ac:dyDescent="0.25">
      <c r="A910">
        <v>2023</v>
      </c>
      <c r="B910" t="s">
        <v>10</v>
      </c>
      <c r="C910" t="s">
        <v>6</v>
      </c>
      <c r="D910">
        <v>1161302</v>
      </c>
    </row>
    <row r="911" spans="1:4" x14ac:dyDescent="0.25">
      <c r="A911">
        <v>2023</v>
      </c>
      <c r="B911" t="s">
        <v>10</v>
      </c>
      <c r="C911" t="s">
        <v>6</v>
      </c>
      <c r="D911">
        <v>930000</v>
      </c>
    </row>
    <row r="912" spans="1:4" x14ac:dyDescent="0.25">
      <c r="A912">
        <v>2023</v>
      </c>
      <c r="B912" t="s">
        <v>10</v>
      </c>
      <c r="C912" t="s">
        <v>6</v>
      </c>
      <c r="D912">
        <v>1354000</v>
      </c>
    </row>
    <row r="913" spans="1:4" x14ac:dyDescent="0.25">
      <c r="A913">
        <v>2023</v>
      </c>
      <c r="B913" t="s">
        <v>10</v>
      </c>
      <c r="C913" t="s">
        <v>6</v>
      </c>
      <c r="D913">
        <v>884000</v>
      </c>
    </row>
    <row r="914" spans="1:4" x14ac:dyDescent="0.25">
      <c r="A914">
        <v>2023</v>
      </c>
      <c r="B914" t="s">
        <v>10</v>
      </c>
      <c r="C914" t="s">
        <v>6</v>
      </c>
      <c r="D914">
        <v>3014600</v>
      </c>
    </row>
    <row r="915" spans="1:4" x14ac:dyDescent="0.25">
      <c r="A915">
        <v>2023</v>
      </c>
      <c r="B915" t="s">
        <v>10</v>
      </c>
      <c r="C915" t="s">
        <v>6</v>
      </c>
      <c r="D915">
        <v>871000</v>
      </c>
    </row>
    <row r="916" spans="1:4" x14ac:dyDescent="0.25">
      <c r="A916">
        <v>2023</v>
      </c>
      <c r="B916" t="s">
        <v>10</v>
      </c>
      <c r="C916" t="s">
        <v>6</v>
      </c>
      <c r="D916">
        <v>2987000</v>
      </c>
    </row>
    <row r="917" spans="1:4" x14ac:dyDescent="0.25">
      <c r="A917">
        <v>2023</v>
      </c>
      <c r="B917" t="s">
        <v>10</v>
      </c>
      <c r="C917" t="s">
        <v>6</v>
      </c>
      <c r="D917">
        <v>3507265</v>
      </c>
    </row>
    <row r="918" spans="1:4" x14ac:dyDescent="0.25">
      <c r="A918">
        <v>2023</v>
      </c>
      <c r="B918" t="s">
        <v>10</v>
      </c>
      <c r="C918" t="s">
        <v>6</v>
      </c>
      <c r="D918">
        <v>1127000</v>
      </c>
    </row>
    <row r="919" spans="1:4" x14ac:dyDescent="0.25">
      <c r="A919">
        <v>2023</v>
      </c>
      <c r="B919" t="s">
        <v>10</v>
      </c>
      <c r="C919" t="s">
        <v>6</v>
      </c>
      <c r="D919">
        <v>3138500</v>
      </c>
    </row>
    <row r="920" spans="1:4" x14ac:dyDescent="0.25">
      <c r="A920">
        <v>2023</v>
      </c>
      <c r="B920" t="s">
        <v>10</v>
      </c>
      <c r="C920" t="s">
        <v>6</v>
      </c>
      <c r="D920">
        <v>617500</v>
      </c>
    </row>
    <row r="921" spans="1:4" x14ac:dyDescent="0.25">
      <c r="A921">
        <v>2023</v>
      </c>
      <c r="B921" t="s">
        <v>10</v>
      </c>
      <c r="C921" t="s">
        <v>6</v>
      </c>
      <c r="D921">
        <v>1494000</v>
      </c>
    </row>
    <row r="922" spans="1:4" x14ac:dyDescent="0.25">
      <c r="A922">
        <v>2023</v>
      </c>
      <c r="B922" t="s">
        <v>10</v>
      </c>
      <c r="C922" t="s">
        <v>6</v>
      </c>
      <c r="D922">
        <v>2161650</v>
      </c>
    </row>
    <row r="923" spans="1:4" x14ac:dyDescent="0.25">
      <c r="A923">
        <v>2023</v>
      </c>
      <c r="B923" t="s">
        <v>10</v>
      </c>
      <c r="C923" t="s">
        <v>6</v>
      </c>
      <c r="D923">
        <v>1505000</v>
      </c>
    </row>
    <row r="924" spans="1:4" x14ac:dyDescent="0.25">
      <c r="A924">
        <v>2023</v>
      </c>
      <c r="B924" t="s">
        <v>10</v>
      </c>
      <c r="C924" t="s">
        <v>6</v>
      </c>
      <c r="D924">
        <v>600000</v>
      </c>
    </row>
    <row r="925" spans="1:4" x14ac:dyDescent="0.25">
      <c r="A925">
        <v>2023</v>
      </c>
      <c r="B925" t="s">
        <v>10</v>
      </c>
      <c r="C925" t="s">
        <v>6</v>
      </c>
      <c r="D925">
        <v>1160000</v>
      </c>
    </row>
    <row r="926" spans="1:4" x14ac:dyDescent="0.25">
      <c r="A926">
        <v>2023</v>
      </c>
      <c r="B926" t="s">
        <v>10</v>
      </c>
      <c r="C926" t="s">
        <v>6</v>
      </c>
      <c r="D926">
        <v>737500</v>
      </c>
    </row>
    <row r="927" spans="1:4" x14ac:dyDescent="0.25">
      <c r="A927">
        <v>2023</v>
      </c>
      <c r="B927" t="s">
        <v>10</v>
      </c>
      <c r="C927" t="s">
        <v>6</v>
      </c>
      <c r="D927">
        <v>1001200</v>
      </c>
    </row>
    <row r="928" spans="1:4" x14ac:dyDescent="0.25">
      <c r="A928">
        <v>2023</v>
      </c>
      <c r="B928" t="s">
        <v>10</v>
      </c>
      <c r="C928" t="s">
        <v>6</v>
      </c>
      <c r="D928">
        <v>144000</v>
      </c>
    </row>
    <row r="929" spans="1:4" x14ac:dyDescent="0.25">
      <c r="A929">
        <v>2023</v>
      </c>
      <c r="B929" t="s">
        <v>10</v>
      </c>
      <c r="C929" t="s">
        <v>6</v>
      </c>
      <c r="D929">
        <v>891000</v>
      </c>
    </row>
    <row r="930" spans="1:4" x14ac:dyDescent="0.25">
      <c r="A930">
        <v>2023</v>
      </c>
      <c r="B930" t="s">
        <v>10</v>
      </c>
      <c r="C930" t="s">
        <v>6</v>
      </c>
      <c r="D930">
        <v>1508483</v>
      </c>
    </row>
    <row r="931" spans="1:4" x14ac:dyDescent="0.25">
      <c r="A931">
        <v>2023</v>
      </c>
      <c r="B931" t="s">
        <v>10</v>
      </c>
      <c r="C931" t="s">
        <v>6</v>
      </c>
      <c r="D931">
        <v>1245000</v>
      </c>
    </row>
    <row r="932" spans="1:4" x14ac:dyDescent="0.25">
      <c r="A932">
        <v>2023</v>
      </c>
      <c r="B932" t="s">
        <v>10</v>
      </c>
      <c r="C932" t="s">
        <v>6</v>
      </c>
      <c r="D932">
        <v>730000</v>
      </c>
    </row>
    <row r="933" spans="1:4" x14ac:dyDescent="0.25">
      <c r="A933">
        <v>2023</v>
      </c>
      <c r="B933" t="s">
        <v>10</v>
      </c>
      <c r="C933" t="s">
        <v>6</v>
      </c>
      <c r="D933">
        <v>1449768</v>
      </c>
    </row>
    <row r="934" spans="1:4" x14ac:dyDescent="0.25">
      <c r="A934">
        <v>2023</v>
      </c>
      <c r="B934" t="s">
        <v>10</v>
      </c>
      <c r="C934" t="s">
        <v>6</v>
      </c>
      <c r="D934">
        <v>965000</v>
      </c>
    </row>
    <row r="935" spans="1:4" x14ac:dyDescent="0.25">
      <c r="A935">
        <v>2023</v>
      </c>
      <c r="B935" t="s">
        <v>10</v>
      </c>
      <c r="C935" t="s">
        <v>6</v>
      </c>
      <c r="D935">
        <v>2180000</v>
      </c>
    </row>
    <row r="936" spans="1:4" x14ac:dyDescent="0.25">
      <c r="A936">
        <v>2023</v>
      </c>
      <c r="B936" t="s">
        <v>10</v>
      </c>
      <c r="C936" t="s">
        <v>6</v>
      </c>
      <c r="D936">
        <v>2000000</v>
      </c>
    </row>
    <row r="937" spans="1:4" x14ac:dyDescent="0.25">
      <c r="A937">
        <v>2023</v>
      </c>
      <c r="B937" t="s">
        <v>10</v>
      </c>
      <c r="C937" t="s">
        <v>6</v>
      </c>
      <c r="D937">
        <v>5900000</v>
      </c>
    </row>
    <row r="938" spans="1:4" x14ac:dyDescent="0.25">
      <c r="A938">
        <v>2023</v>
      </c>
      <c r="B938" t="s">
        <v>10</v>
      </c>
      <c r="C938" t="s">
        <v>6</v>
      </c>
      <c r="D938">
        <v>181010</v>
      </c>
    </row>
    <row r="939" spans="1:4" x14ac:dyDescent="0.25">
      <c r="A939">
        <v>2023</v>
      </c>
      <c r="B939" t="s">
        <v>10</v>
      </c>
      <c r="C939" t="s">
        <v>6</v>
      </c>
      <c r="D939">
        <v>2330000</v>
      </c>
    </row>
    <row r="940" spans="1:4" x14ac:dyDescent="0.25">
      <c r="A940">
        <v>2023</v>
      </c>
      <c r="B940" t="s">
        <v>10</v>
      </c>
      <c r="C940" t="s">
        <v>6</v>
      </c>
      <c r="D940">
        <v>882000</v>
      </c>
    </row>
    <row r="941" spans="1:4" x14ac:dyDescent="0.25">
      <c r="A941">
        <v>2023</v>
      </c>
      <c r="B941" t="s">
        <v>10</v>
      </c>
      <c r="C941" t="s">
        <v>6</v>
      </c>
      <c r="D941">
        <v>3546966</v>
      </c>
    </row>
    <row r="942" spans="1:4" x14ac:dyDescent="0.25">
      <c r="A942">
        <v>2023</v>
      </c>
      <c r="B942" t="s">
        <v>10</v>
      </c>
      <c r="C942" t="s">
        <v>6</v>
      </c>
      <c r="D942">
        <v>605000</v>
      </c>
    </row>
    <row r="943" spans="1:4" x14ac:dyDescent="0.25">
      <c r="A943">
        <v>2023</v>
      </c>
      <c r="B943" t="s">
        <v>10</v>
      </c>
      <c r="C943" t="s">
        <v>6</v>
      </c>
      <c r="D943">
        <v>1417000</v>
      </c>
    </row>
    <row r="944" spans="1:4" x14ac:dyDescent="0.25">
      <c r="A944">
        <v>2023</v>
      </c>
      <c r="B944" t="s">
        <v>10</v>
      </c>
      <c r="C944" t="s">
        <v>6</v>
      </c>
      <c r="D944">
        <v>3293200</v>
      </c>
    </row>
    <row r="945" spans="1:4" x14ac:dyDescent="0.25">
      <c r="A945">
        <v>2023</v>
      </c>
      <c r="B945" t="s">
        <v>10</v>
      </c>
      <c r="C945" t="s">
        <v>6</v>
      </c>
      <c r="D945">
        <v>1358830</v>
      </c>
    </row>
    <row r="946" spans="1:4" x14ac:dyDescent="0.25">
      <c r="A946">
        <v>2023</v>
      </c>
      <c r="B946" t="s">
        <v>10</v>
      </c>
      <c r="C946" t="s">
        <v>6</v>
      </c>
      <c r="D946">
        <v>1194000</v>
      </c>
    </row>
    <row r="947" spans="1:4" x14ac:dyDescent="0.25">
      <c r="A947">
        <v>2023</v>
      </c>
      <c r="B947" t="s">
        <v>10</v>
      </c>
      <c r="C947" t="s">
        <v>6</v>
      </c>
      <c r="D947">
        <v>340000</v>
      </c>
    </row>
    <row r="948" spans="1:4" x14ac:dyDescent="0.25">
      <c r="A948">
        <v>2023</v>
      </c>
      <c r="B948" t="s">
        <v>10</v>
      </c>
      <c r="C948" t="s">
        <v>6</v>
      </c>
      <c r="D948">
        <v>1362000</v>
      </c>
    </row>
    <row r="949" spans="1:4" x14ac:dyDescent="0.25">
      <c r="A949">
        <v>2023</v>
      </c>
      <c r="B949" t="s">
        <v>10</v>
      </c>
      <c r="C949" t="s">
        <v>6</v>
      </c>
      <c r="D949">
        <v>1492000</v>
      </c>
    </row>
    <row r="950" spans="1:4" x14ac:dyDescent="0.25">
      <c r="A950">
        <v>2023</v>
      </c>
      <c r="B950" t="s">
        <v>10</v>
      </c>
      <c r="C950" t="s">
        <v>6</v>
      </c>
      <c r="D950">
        <v>1801000</v>
      </c>
    </row>
    <row r="951" spans="1:4" x14ac:dyDescent="0.25">
      <c r="A951">
        <v>2023</v>
      </c>
      <c r="B951" t="s">
        <v>10</v>
      </c>
      <c r="C951" t="s">
        <v>6</v>
      </c>
      <c r="D951">
        <v>888000</v>
      </c>
    </row>
    <row r="952" spans="1:4" x14ac:dyDescent="0.25">
      <c r="A952">
        <v>2023</v>
      </c>
      <c r="B952" t="s">
        <v>10</v>
      </c>
      <c r="C952" t="s">
        <v>6</v>
      </c>
      <c r="D952">
        <v>1717800</v>
      </c>
    </row>
    <row r="953" spans="1:4" x14ac:dyDescent="0.25">
      <c r="A953">
        <v>2023</v>
      </c>
      <c r="B953" t="s">
        <v>10</v>
      </c>
      <c r="C953" t="s">
        <v>6</v>
      </c>
      <c r="D953">
        <v>1156800</v>
      </c>
    </row>
    <row r="954" spans="1:4" x14ac:dyDescent="0.25">
      <c r="A954">
        <v>2023</v>
      </c>
      <c r="B954" t="s">
        <v>10</v>
      </c>
      <c r="C954" t="s">
        <v>6</v>
      </c>
      <c r="D954">
        <v>1950000</v>
      </c>
    </row>
    <row r="955" spans="1:4" x14ac:dyDescent="0.25">
      <c r="A955">
        <v>2023</v>
      </c>
      <c r="B955" t="s">
        <v>10</v>
      </c>
      <c r="C955" t="s">
        <v>6</v>
      </c>
      <c r="D955">
        <v>1727300</v>
      </c>
    </row>
    <row r="956" spans="1:4" x14ac:dyDescent="0.25">
      <c r="A956">
        <v>2023</v>
      </c>
      <c r="B956" t="s">
        <v>10</v>
      </c>
      <c r="C956" t="s">
        <v>6</v>
      </c>
      <c r="D956">
        <v>1346000</v>
      </c>
    </row>
    <row r="957" spans="1:4" x14ac:dyDescent="0.25">
      <c r="A957">
        <v>2023</v>
      </c>
      <c r="B957" t="s">
        <v>10</v>
      </c>
      <c r="C957" t="s">
        <v>6</v>
      </c>
      <c r="D957">
        <v>1975920</v>
      </c>
    </row>
    <row r="958" spans="1:4" x14ac:dyDescent="0.25">
      <c r="A958">
        <v>2023</v>
      </c>
      <c r="B958" t="s">
        <v>10</v>
      </c>
      <c r="C958" t="s">
        <v>6</v>
      </c>
      <c r="D958">
        <v>1728050</v>
      </c>
    </row>
    <row r="959" spans="1:4" x14ac:dyDescent="0.25">
      <c r="A959">
        <v>2023</v>
      </c>
      <c r="B959" t="s">
        <v>10</v>
      </c>
      <c r="C959" t="s">
        <v>6</v>
      </c>
      <c r="D959">
        <v>1504500</v>
      </c>
    </row>
    <row r="960" spans="1:4" x14ac:dyDescent="0.25">
      <c r="A960">
        <v>2023</v>
      </c>
      <c r="B960" t="s">
        <v>10</v>
      </c>
      <c r="C960" t="s">
        <v>6</v>
      </c>
      <c r="D960">
        <v>1189000</v>
      </c>
    </row>
    <row r="961" spans="1:4" x14ac:dyDescent="0.25">
      <c r="A961">
        <v>2023</v>
      </c>
      <c r="B961" t="s">
        <v>10</v>
      </c>
      <c r="C961" t="s">
        <v>6</v>
      </c>
      <c r="D961">
        <v>1295000</v>
      </c>
    </row>
    <row r="962" spans="1:4" x14ac:dyDescent="0.25">
      <c r="A962">
        <v>2023</v>
      </c>
      <c r="B962" t="s">
        <v>10</v>
      </c>
      <c r="C962" t="s">
        <v>6</v>
      </c>
      <c r="D962">
        <v>1849141</v>
      </c>
    </row>
    <row r="963" spans="1:4" x14ac:dyDescent="0.25">
      <c r="A963">
        <v>2023</v>
      </c>
      <c r="B963" t="s">
        <v>10</v>
      </c>
      <c r="C963" t="s">
        <v>6</v>
      </c>
      <c r="D963">
        <v>967000</v>
      </c>
    </row>
    <row r="964" spans="1:4" x14ac:dyDescent="0.25">
      <c r="A964">
        <v>2023</v>
      </c>
      <c r="B964" t="s">
        <v>10</v>
      </c>
      <c r="C964" t="s">
        <v>6</v>
      </c>
      <c r="D964">
        <v>1424000</v>
      </c>
    </row>
    <row r="965" spans="1:4" x14ac:dyDescent="0.25">
      <c r="A965">
        <v>2023</v>
      </c>
      <c r="B965" t="s">
        <v>10</v>
      </c>
      <c r="C965" t="s">
        <v>6</v>
      </c>
      <c r="D965">
        <v>2000000</v>
      </c>
    </row>
    <row r="966" spans="1:4" x14ac:dyDescent="0.25">
      <c r="A966">
        <v>2023</v>
      </c>
      <c r="B966" t="s">
        <v>10</v>
      </c>
      <c r="C966" t="s">
        <v>6</v>
      </c>
      <c r="D966">
        <v>2055000</v>
      </c>
    </row>
    <row r="967" spans="1:4" x14ac:dyDescent="0.25">
      <c r="A967">
        <v>2023</v>
      </c>
      <c r="B967" t="s">
        <v>10</v>
      </c>
      <c r="C967" t="s">
        <v>6</v>
      </c>
      <c r="D967">
        <v>2000000</v>
      </c>
    </row>
    <row r="968" spans="1:4" x14ac:dyDescent="0.25">
      <c r="A968">
        <v>2023</v>
      </c>
      <c r="B968" t="s">
        <v>10</v>
      </c>
      <c r="C968" t="s">
        <v>6</v>
      </c>
      <c r="D968">
        <v>2780000</v>
      </c>
    </row>
    <row r="969" spans="1:4" x14ac:dyDescent="0.25">
      <c r="A969">
        <v>2023</v>
      </c>
      <c r="B969" t="s">
        <v>10</v>
      </c>
      <c r="C969" t="s">
        <v>6</v>
      </c>
      <c r="D969">
        <v>1726715</v>
      </c>
    </row>
    <row r="970" spans="1:4" x14ac:dyDescent="0.25">
      <c r="A970">
        <v>2023</v>
      </c>
      <c r="B970" t="s">
        <v>10</v>
      </c>
      <c r="C970" t="s">
        <v>6</v>
      </c>
      <c r="D970">
        <v>2030000</v>
      </c>
    </row>
    <row r="971" spans="1:4" x14ac:dyDescent="0.25">
      <c r="A971">
        <v>2023</v>
      </c>
      <c r="B971" t="s">
        <v>10</v>
      </c>
      <c r="C971" t="s">
        <v>6</v>
      </c>
      <c r="D971">
        <v>1183000</v>
      </c>
    </row>
    <row r="972" spans="1:4" x14ac:dyDescent="0.25">
      <c r="A972">
        <v>2023</v>
      </c>
      <c r="B972" t="s">
        <v>10</v>
      </c>
      <c r="C972" t="s">
        <v>6</v>
      </c>
      <c r="D972">
        <v>299000</v>
      </c>
    </row>
    <row r="973" spans="1:4" x14ac:dyDescent="0.25">
      <c r="A973">
        <v>2023</v>
      </c>
      <c r="B973" t="s">
        <v>10</v>
      </c>
      <c r="C973" t="s">
        <v>6</v>
      </c>
      <c r="D973">
        <v>2260000</v>
      </c>
    </row>
    <row r="974" spans="1:4" x14ac:dyDescent="0.25">
      <c r="A974">
        <v>2023</v>
      </c>
      <c r="B974" t="s">
        <v>10</v>
      </c>
      <c r="C974" t="s">
        <v>6</v>
      </c>
      <c r="D974">
        <v>1170000</v>
      </c>
    </row>
    <row r="975" spans="1:4" x14ac:dyDescent="0.25">
      <c r="A975">
        <v>2023</v>
      </c>
      <c r="B975" t="s">
        <v>10</v>
      </c>
      <c r="C975" t="s">
        <v>6</v>
      </c>
      <c r="D975">
        <v>1271000</v>
      </c>
    </row>
    <row r="976" spans="1:4" x14ac:dyDescent="0.25">
      <c r="A976">
        <v>2023</v>
      </c>
      <c r="B976" t="s">
        <v>10</v>
      </c>
      <c r="C976" t="s">
        <v>6</v>
      </c>
      <c r="D976">
        <v>5533000</v>
      </c>
    </row>
    <row r="977" spans="1:4" x14ac:dyDescent="0.25">
      <c r="A977">
        <v>2023</v>
      </c>
      <c r="B977" t="s">
        <v>10</v>
      </c>
      <c r="C977" t="s">
        <v>6</v>
      </c>
      <c r="D977">
        <v>2962000</v>
      </c>
    </row>
    <row r="978" spans="1:4" x14ac:dyDescent="0.25">
      <c r="A978">
        <v>2023</v>
      </c>
      <c r="B978" t="s">
        <v>10</v>
      </c>
      <c r="C978" t="s">
        <v>6</v>
      </c>
      <c r="D978">
        <v>4222300</v>
      </c>
    </row>
    <row r="979" spans="1:4" x14ac:dyDescent="0.25">
      <c r="A979">
        <v>2023</v>
      </c>
      <c r="B979" t="s">
        <v>10</v>
      </c>
      <c r="C979" t="s">
        <v>6</v>
      </c>
      <c r="D979">
        <v>1014000</v>
      </c>
    </row>
    <row r="980" spans="1:4" x14ac:dyDescent="0.25">
      <c r="A980">
        <v>2023</v>
      </c>
      <c r="B980" t="s">
        <v>10</v>
      </c>
      <c r="C980" t="s">
        <v>6</v>
      </c>
      <c r="D980">
        <v>1590000</v>
      </c>
    </row>
    <row r="981" spans="1:4" x14ac:dyDescent="0.25">
      <c r="A981">
        <v>2023</v>
      </c>
      <c r="B981" t="s">
        <v>10</v>
      </c>
      <c r="C981" t="s">
        <v>6</v>
      </c>
      <c r="D981">
        <v>1127000</v>
      </c>
    </row>
    <row r="982" spans="1:4" x14ac:dyDescent="0.25">
      <c r="A982">
        <v>2023</v>
      </c>
      <c r="B982" t="s">
        <v>10</v>
      </c>
      <c r="C982" t="s">
        <v>6</v>
      </c>
      <c r="D982">
        <v>3325000</v>
      </c>
    </row>
    <row r="983" spans="1:4" x14ac:dyDescent="0.25">
      <c r="A983">
        <v>2023</v>
      </c>
      <c r="B983" t="s">
        <v>10</v>
      </c>
      <c r="C983" t="s">
        <v>6</v>
      </c>
      <c r="D983">
        <v>2772000</v>
      </c>
    </row>
    <row r="984" spans="1:4" x14ac:dyDescent="0.25">
      <c r="A984">
        <v>2023</v>
      </c>
      <c r="B984" t="s">
        <v>10</v>
      </c>
      <c r="C984" t="s">
        <v>6</v>
      </c>
      <c r="D984">
        <v>1480000</v>
      </c>
    </row>
    <row r="985" spans="1:4" x14ac:dyDescent="0.25">
      <c r="A985">
        <v>2023</v>
      </c>
      <c r="B985" t="s">
        <v>10</v>
      </c>
      <c r="C985" t="s">
        <v>6</v>
      </c>
      <c r="D985">
        <v>2980000</v>
      </c>
    </row>
    <row r="986" spans="1:4" x14ac:dyDescent="0.25">
      <c r="A986">
        <v>2023</v>
      </c>
      <c r="B986" t="s">
        <v>10</v>
      </c>
      <c r="C986" t="s">
        <v>6</v>
      </c>
      <c r="D986">
        <v>2085000</v>
      </c>
    </row>
    <row r="987" spans="1:4" x14ac:dyDescent="0.25">
      <c r="A987">
        <v>2023</v>
      </c>
      <c r="B987" t="s">
        <v>10</v>
      </c>
      <c r="C987" t="s">
        <v>6</v>
      </c>
      <c r="D987">
        <v>908000</v>
      </c>
    </row>
    <row r="988" spans="1:4" x14ac:dyDescent="0.25">
      <c r="A988">
        <v>2023</v>
      </c>
      <c r="B988" t="s">
        <v>10</v>
      </c>
      <c r="C988" t="s">
        <v>6</v>
      </c>
      <c r="D988">
        <v>2433000</v>
      </c>
    </row>
    <row r="989" spans="1:4" x14ac:dyDescent="0.25">
      <c r="A989">
        <v>2023</v>
      </c>
      <c r="B989" t="s">
        <v>10</v>
      </c>
      <c r="C989" t="s">
        <v>6</v>
      </c>
      <c r="D989">
        <v>4283000</v>
      </c>
    </row>
    <row r="990" spans="1:4" x14ac:dyDescent="0.25">
      <c r="A990">
        <v>2023</v>
      </c>
      <c r="B990" t="s">
        <v>10</v>
      </c>
      <c r="C990" t="s">
        <v>6</v>
      </c>
      <c r="D990">
        <v>2915000</v>
      </c>
    </row>
    <row r="991" spans="1:4" x14ac:dyDescent="0.25">
      <c r="A991">
        <v>2023</v>
      </c>
      <c r="B991" t="s">
        <v>10</v>
      </c>
      <c r="C991" t="s">
        <v>6</v>
      </c>
      <c r="D991">
        <v>13011000</v>
      </c>
    </row>
    <row r="992" spans="1:4" x14ac:dyDescent="0.25">
      <c r="A992">
        <v>2023</v>
      </c>
      <c r="B992" t="s">
        <v>10</v>
      </c>
      <c r="C992" t="s">
        <v>6</v>
      </c>
      <c r="D992">
        <v>1494000</v>
      </c>
    </row>
    <row r="993" spans="1:4" x14ac:dyDescent="0.25">
      <c r="A993">
        <v>2023</v>
      </c>
      <c r="B993" t="s">
        <v>10</v>
      </c>
      <c r="C993" t="s">
        <v>6</v>
      </c>
      <c r="D993">
        <v>585000</v>
      </c>
    </row>
    <row r="994" spans="1:4" x14ac:dyDescent="0.25">
      <c r="A994">
        <v>2023</v>
      </c>
      <c r="B994" t="s">
        <v>10</v>
      </c>
      <c r="C994" t="s">
        <v>6</v>
      </c>
      <c r="D994">
        <v>1512000</v>
      </c>
    </row>
    <row r="995" spans="1:4" x14ac:dyDescent="0.25">
      <c r="A995">
        <v>2023</v>
      </c>
      <c r="B995" t="s">
        <v>10</v>
      </c>
      <c r="C995" t="s">
        <v>6</v>
      </c>
      <c r="D995">
        <v>270000</v>
      </c>
    </row>
    <row r="996" spans="1:4" x14ac:dyDescent="0.25">
      <c r="A996">
        <v>2023</v>
      </c>
      <c r="B996" t="s">
        <v>10</v>
      </c>
      <c r="C996" t="s">
        <v>6</v>
      </c>
      <c r="D996">
        <v>1072000</v>
      </c>
    </row>
    <row r="997" spans="1:4" x14ac:dyDescent="0.25">
      <c r="A997">
        <v>2023</v>
      </c>
      <c r="B997" t="s">
        <v>10</v>
      </c>
      <c r="C997" t="s">
        <v>6</v>
      </c>
      <c r="D997">
        <v>1055000</v>
      </c>
    </row>
    <row r="998" spans="1:4" x14ac:dyDescent="0.25">
      <c r="A998">
        <v>2023</v>
      </c>
      <c r="B998" t="s">
        <v>10</v>
      </c>
      <c r="C998" t="s">
        <v>6</v>
      </c>
      <c r="D998">
        <v>1105000</v>
      </c>
    </row>
    <row r="999" spans="1:4" x14ac:dyDescent="0.25">
      <c r="A999">
        <v>2023</v>
      </c>
      <c r="B999" t="s">
        <v>10</v>
      </c>
      <c r="C999" t="s">
        <v>6</v>
      </c>
      <c r="D999">
        <v>2185000</v>
      </c>
    </row>
    <row r="1000" spans="1:4" x14ac:dyDescent="0.25">
      <c r="A1000">
        <v>2023</v>
      </c>
      <c r="B1000" t="s">
        <v>10</v>
      </c>
      <c r="C1000" t="s">
        <v>6</v>
      </c>
      <c r="D1000">
        <v>4400000</v>
      </c>
    </row>
    <row r="1001" spans="1:4" x14ac:dyDescent="0.25">
      <c r="A1001">
        <v>2023</v>
      </c>
      <c r="B1001" t="s">
        <v>10</v>
      </c>
      <c r="C1001" t="s">
        <v>6</v>
      </c>
      <c r="D1001">
        <v>1791000</v>
      </c>
    </row>
    <row r="1002" spans="1:4" x14ac:dyDescent="0.25">
      <c r="A1002">
        <v>2023</v>
      </c>
      <c r="B1002" t="s">
        <v>10</v>
      </c>
      <c r="C1002" t="s">
        <v>6</v>
      </c>
      <c r="D1002">
        <v>2041000</v>
      </c>
    </row>
    <row r="1003" spans="1:4" x14ac:dyDescent="0.25">
      <c r="A1003">
        <v>2023</v>
      </c>
      <c r="B1003" t="s">
        <v>10</v>
      </c>
      <c r="C1003" t="s">
        <v>6</v>
      </c>
      <c r="D1003">
        <v>13804000</v>
      </c>
    </row>
    <row r="1004" spans="1:4" x14ac:dyDescent="0.25">
      <c r="A1004">
        <v>2023</v>
      </c>
      <c r="B1004" t="s">
        <v>10</v>
      </c>
      <c r="C1004" t="s">
        <v>6</v>
      </c>
      <c r="D1004">
        <v>6196000</v>
      </c>
    </row>
    <row r="1005" spans="1:4" x14ac:dyDescent="0.25">
      <c r="A1005">
        <v>2023</v>
      </c>
      <c r="B1005" t="s">
        <v>10</v>
      </c>
      <c r="C1005" t="s">
        <v>6</v>
      </c>
      <c r="D1005">
        <v>500000</v>
      </c>
    </row>
    <row r="1006" spans="1:4" x14ac:dyDescent="0.25">
      <c r="A1006">
        <v>2023</v>
      </c>
      <c r="B1006" t="s">
        <v>10</v>
      </c>
      <c r="C1006" t="s">
        <v>6</v>
      </c>
      <c r="D1006">
        <v>2189000</v>
      </c>
    </row>
    <row r="1007" spans="1:4" x14ac:dyDescent="0.25">
      <c r="A1007">
        <v>2023</v>
      </c>
      <c r="B1007" t="s">
        <v>10</v>
      </c>
      <c r="C1007" t="s">
        <v>6</v>
      </c>
      <c r="D1007">
        <v>2173000</v>
      </c>
    </row>
    <row r="1008" spans="1:4" x14ac:dyDescent="0.25">
      <c r="A1008">
        <v>2023</v>
      </c>
      <c r="B1008" t="s">
        <v>10</v>
      </c>
      <c r="C1008" t="s">
        <v>6</v>
      </c>
      <c r="D1008">
        <v>1940000</v>
      </c>
    </row>
    <row r="1009" spans="1:4" x14ac:dyDescent="0.25">
      <c r="A1009">
        <v>2023</v>
      </c>
      <c r="B1009" t="s">
        <v>10</v>
      </c>
      <c r="C1009" t="s">
        <v>6</v>
      </c>
      <c r="D1009">
        <v>1335000</v>
      </c>
    </row>
    <row r="1010" spans="1:4" x14ac:dyDescent="0.25">
      <c r="A1010">
        <v>2023</v>
      </c>
      <c r="B1010" t="s">
        <v>10</v>
      </c>
      <c r="C1010" t="s">
        <v>6</v>
      </c>
      <c r="D1010">
        <v>959000</v>
      </c>
    </row>
    <row r="1011" spans="1:4" x14ac:dyDescent="0.25">
      <c r="A1011">
        <v>2023</v>
      </c>
      <c r="B1011" t="s">
        <v>10</v>
      </c>
      <c r="C1011" t="s">
        <v>6</v>
      </c>
      <c r="D1011">
        <v>1605000</v>
      </c>
    </row>
    <row r="1012" spans="1:4" x14ac:dyDescent="0.25">
      <c r="A1012">
        <v>2023</v>
      </c>
      <c r="B1012" t="s">
        <v>10</v>
      </c>
      <c r="C1012" t="s">
        <v>6</v>
      </c>
      <c r="D1012">
        <v>1270000</v>
      </c>
    </row>
    <row r="1013" spans="1:4" x14ac:dyDescent="0.25">
      <c r="A1013">
        <v>2023</v>
      </c>
      <c r="B1013" t="s">
        <v>10</v>
      </c>
      <c r="C1013" t="s">
        <v>6</v>
      </c>
      <c r="D1013">
        <v>2245000</v>
      </c>
    </row>
    <row r="1014" spans="1:4" x14ac:dyDescent="0.25">
      <c r="A1014">
        <v>2023</v>
      </c>
      <c r="B1014" t="s">
        <v>10</v>
      </c>
      <c r="C1014" t="s">
        <v>6</v>
      </c>
      <c r="D1014">
        <v>1276000</v>
      </c>
    </row>
    <row r="1015" spans="1:4" x14ac:dyDescent="0.25">
      <c r="A1015">
        <v>2023</v>
      </c>
      <c r="B1015" t="s">
        <v>10</v>
      </c>
      <c r="C1015" t="s">
        <v>6</v>
      </c>
      <c r="D1015">
        <v>1495000</v>
      </c>
    </row>
    <row r="1016" spans="1:4" x14ac:dyDescent="0.25">
      <c r="A1016">
        <v>2023</v>
      </c>
      <c r="B1016" t="s">
        <v>10</v>
      </c>
      <c r="C1016" t="s">
        <v>6</v>
      </c>
      <c r="D1016">
        <v>334000</v>
      </c>
    </row>
    <row r="1017" spans="1:4" x14ac:dyDescent="0.25">
      <c r="A1017">
        <v>2023</v>
      </c>
      <c r="B1017" t="s">
        <v>10</v>
      </c>
      <c r="C1017" t="s">
        <v>6</v>
      </c>
      <c r="D1017">
        <v>674000</v>
      </c>
    </row>
    <row r="1018" spans="1:4" x14ac:dyDescent="0.25">
      <c r="A1018">
        <v>2023</v>
      </c>
      <c r="B1018" t="s">
        <v>10</v>
      </c>
      <c r="C1018" t="s">
        <v>6</v>
      </c>
      <c r="D1018">
        <v>1317000</v>
      </c>
    </row>
    <row r="1019" spans="1:4" x14ac:dyDescent="0.25">
      <c r="A1019">
        <v>2023</v>
      </c>
      <c r="B1019" t="s">
        <v>10</v>
      </c>
      <c r="C1019" t="s">
        <v>6</v>
      </c>
      <c r="D1019">
        <v>1361500</v>
      </c>
    </row>
    <row r="1020" spans="1:4" x14ac:dyDescent="0.25">
      <c r="A1020">
        <v>2023</v>
      </c>
      <c r="B1020" t="s">
        <v>10</v>
      </c>
      <c r="C1020" t="s">
        <v>6</v>
      </c>
      <c r="D1020">
        <v>450000</v>
      </c>
    </row>
    <row r="1021" spans="1:4" x14ac:dyDescent="0.25">
      <c r="A1021">
        <v>2023</v>
      </c>
      <c r="B1021" t="s">
        <v>10</v>
      </c>
      <c r="C1021" t="s">
        <v>6</v>
      </c>
      <c r="D1021">
        <v>779000</v>
      </c>
    </row>
    <row r="1022" spans="1:4" x14ac:dyDescent="0.25">
      <c r="A1022">
        <v>2023</v>
      </c>
      <c r="B1022" t="s">
        <v>10</v>
      </c>
      <c r="C1022" t="s">
        <v>6</v>
      </c>
      <c r="D1022">
        <v>2599000</v>
      </c>
    </row>
    <row r="1023" spans="1:4" x14ac:dyDescent="0.25">
      <c r="A1023">
        <v>2023</v>
      </c>
      <c r="B1023" t="s">
        <v>10</v>
      </c>
      <c r="C1023" t="s">
        <v>6</v>
      </c>
      <c r="D1023">
        <v>1605000</v>
      </c>
    </row>
    <row r="1024" spans="1:4" x14ac:dyDescent="0.25">
      <c r="A1024">
        <v>2023</v>
      </c>
      <c r="B1024" t="s">
        <v>10</v>
      </c>
      <c r="C1024" t="s">
        <v>6</v>
      </c>
      <c r="D1024">
        <v>1205000</v>
      </c>
    </row>
    <row r="1025" spans="1:4" x14ac:dyDescent="0.25">
      <c r="A1025">
        <v>2023</v>
      </c>
      <c r="B1025" t="s">
        <v>10</v>
      </c>
      <c r="C1025" t="s">
        <v>6</v>
      </c>
      <c r="D1025">
        <v>2852000</v>
      </c>
    </row>
    <row r="1026" spans="1:4" x14ac:dyDescent="0.25">
      <c r="A1026">
        <v>2023</v>
      </c>
      <c r="B1026" t="s">
        <v>10</v>
      </c>
      <c r="C1026" t="s">
        <v>6</v>
      </c>
      <c r="D1026">
        <v>534400</v>
      </c>
    </row>
    <row r="1027" spans="1:4" x14ac:dyDescent="0.25">
      <c r="A1027">
        <v>2023</v>
      </c>
      <c r="B1027" t="s">
        <v>10</v>
      </c>
      <c r="C1027" t="s">
        <v>6</v>
      </c>
      <c r="D1027">
        <v>1424000</v>
      </c>
    </row>
    <row r="1028" spans="1:4" x14ac:dyDescent="0.25">
      <c r="A1028">
        <v>2023</v>
      </c>
      <c r="B1028" t="s">
        <v>10</v>
      </c>
      <c r="C1028" t="s">
        <v>6</v>
      </c>
      <c r="D1028">
        <v>810000</v>
      </c>
    </row>
    <row r="1029" spans="1:4" x14ac:dyDescent="0.25">
      <c r="A1029">
        <v>2023</v>
      </c>
      <c r="B1029" t="s">
        <v>10</v>
      </c>
      <c r="C1029" t="s">
        <v>8</v>
      </c>
      <c r="D1029">
        <v>187696500</v>
      </c>
    </row>
    <row r="1030" spans="1:4" x14ac:dyDescent="0.25">
      <c r="A1030">
        <v>2023</v>
      </c>
      <c r="B1030" t="s">
        <v>10</v>
      </c>
      <c r="C1030" t="s">
        <v>8</v>
      </c>
      <c r="D1030">
        <v>15000</v>
      </c>
    </row>
    <row r="1031" spans="1:4" x14ac:dyDescent="0.25">
      <c r="A1031">
        <v>2023</v>
      </c>
      <c r="B1031" t="s">
        <v>10</v>
      </c>
      <c r="C1031" t="s">
        <v>8</v>
      </c>
      <c r="D1031">
        <v>25000</v>
      </c>
    </row>
    <row r="1032" spans="1:4" x14ac:dyDescent="0.25">
      <c r="A1032">
        <v>2023</v>
      </c>
      <c r="B1032" t="s">
        <v>10</v>
      </c>
      <c r="C1032" t="s">
        <v>8</v>
      </c>
      <c r="D1032">
        <v>10000</v>
      </c>
    </row>
    <row r="1033" spans="1:4" x14ac:dyDescent="0.25">
      <c r="A1033">
        <v>2023</v>
      </c>
      <c r="B1033" t="s">
        <v>10</v>
      </c>
      <c r="C1033" t="s">
        <v>8</v>
      </c>
      <c r="D1033">
        <v>33000</v>
      </c>
    </row>
    <row r="1034" spans="1:4" x14ac:dyDescent="0.25">
      <c r="A1034">
        <v>2023</v>
      </c>
      <c r="B1034" t="s">
        <v>10</v>
      </c>
      <c r="C1034" t="s">
        <v>8</v>
      </c>
      <c r="D1034">
        <v>45000</v>
      </c>
    </row>
    <row r="1035" spans="1:4" x14ac:dyDescent="0.25">
      <c r="A1035">
        <v>2023</v>
      </c>
      <c r="B1035" t="s">
        <v>10</v>
      </c>
      <c r="C1035" t="s">
        <v>8</v>
      </c>
      <c r="D1035">
        <v>15000</v>
      </c>
    </row>
    <row r="1036" spans="1:4" x14ac:dyDescent="0.25">
      <c r="A1036">
        <v>2023</v>
      </c>
      <c r="B1036" t="s">
        <v>10</v>
      </c>
      <c r="C1036" t="s">
        <v>8</v>
      </c>
      <c r="D1036">
        <v>15000</v>
      </c>
    </row>
    <row r="1037" spans="1:4" x14ac:dyDescent="0.25">
      <c r="A1037">
        <v>2023</v>
      </c>
      <c r="B1037" t="s">
        <v>10</v>
      </c>
      <c r="C1037" t="s">
        <v>8</v>
      </c>
      <c r="D1037">
        <v>35000</v>
      </c>
    </row>
    <row r="1038" spans="1:4" x14ac:dyDescent="0.25">
      <c r="A1038">
        <v>2023</v>
      </c>
      <c r="B1038" t="s">
        <v>10</v>
      </c>
      <c r="C1038" t="s">
        <v>8</v>
      </c>
      <c r="D1038">
        <v>40000</v>
      </c>
    </row>
    <row r="1039" spans="1:4" x14ac:dyDescent="0.25">
      <c r="A1039">
        <v>2023</v>
      </c>
      <c r="B1039" t="s">
        <v>10</v>
      </c>
      <c r="C1039" t="s">
        <v>8</v>
      </c>
      <c r="D1039">
        <v>14000</v>
      </c>
    </row>
    <row r="1040" spans="1:4" x14ac:dyDescent="0.25">
      <c r="A1040">
        <v>2023</v>
      </c>
      <c r="B1040" t="s">
        <v>10</v>
      </c>
      <c r="C1040" t="s">
        <v>8</v>
      </c>
      <c r="D1040">
        <v>15000</v>
      </c>
    </row>
    <row r="1041" spans="1:4" x14ac:dyDescent="0.25">
      <c r="A1041">
        <v>2023</v>
      </c>
      <c r="B1041" t="s">
        <v>10</v>
      </c>
      <c r="C1041" t="s">
        <v>8</v>
      </c>
      <c r="D1041">
        <v>10000</v>
      </c>
    </row>
    <row r="1042" spans="1:4" x14ac:dyDescent="0.25">
      <c r="A1042">
        <v>2023</v>
      </c>
      <c r="B1042" t="s">
        <v>10</v>
      </c>
      <c r="C1042" t="s">
        <v>8</v>
      </c>
      <c r="D1042">
        <v>35700</v>
      </c>
    </row>
    <row r="1043" spans="1:4" x14ac:dyDescent="0.25">
      <c r="A1043">
        <v>2023</v>
      </c>
      <c r="B1043" t="s">
        <v>10</v>
      </c>
      <c r="C1043" t="s">
        <v>8</v>
      </c>
      <c r="D1043">
        <v>10000</v>
      </c>
    </row>
    <row r="1044" spans="1:4" x14ac:dyDescent="0.25">
      <c r="A1044">
        <v>2023</v>
      </c>
      <c r="B1044" t="s">
        <v>10</v>
      </c>
      <c r="C1044" t="s">
        <v>8</v>
      </c>
      <c r="D1044">
        <v>20000</v>
      </c>
    </row>
    <row r="1045" spans="1:4" x14ac:dyDescent="0.25">
      <c r="A1045">
        <v>2023</v>
      </c>
      <c r="B1045" t="s">
        <v>10</v>
      </c>
      <c r="C1045" t="s">
        <v>8</v>
      </c>
      <c r="D1045">
        <v>55000</v>
      </c>
    </row>
    <row r="1046" spans="1:4" x14ac:dyDescent="0.25">
      <c r="A1046">
        <v>2023</v>
      </c>
      <c r="B1046" t="s">
        <v>10</v>
      </c>
      <c r="C1046" t="s">
        <v>8</v>
      </c>
      <c r="D1046">
        <v>20000</v>
      </c>
    </row>
    <row r="1047" spans="1:4" x14ac:dyDescent="0.25">
      <c r="A1047">
        <v>2023</v>
      </c>
      <c r="B1047" t="s">
        <v>10</v>
      </c>
      <c r="C1047" t="s">
        <v>8</v>
      </c>
      <c r="D1047">
        <v>15000</v>
      </c>
    </row>
    <row r="1048" spans="1:4" x14ac:dyDescent="0.25">
      <c r="A1048">
        <v>2023</v>
      </c>
      <c r="B1048" t="s">
        <v>10</v>
      </c>
      <c r="C1048" t="s">
        <v>8</v>
      </c>
      <c r="D1048">
        <v>40000</v>
      </c>
    </row>
    <row r="1049" spans="1:4" x14ac:dyDescent="0.25">
      <c r="A1049">
        <v>2023</v>
      </c>
      <c r="B1049" t="s">
        <v>10</v>
      </c>
      <c r="C1049" t="s">
        <v>8</v>
      </c>
      <c r="D1049">
        <v>20000</v>
      </c>
    </row>
    <row r="1050" spans="1:4" x14ac:dyDescent="0.25">
      <c r="A1050">
        <v>2023</v>
      </c>
      <c r="B1050" t="s">
        <v>10</v>
      </c>
      <c r="C1050" t="s">
        <v>8</v>
      </c>
      <c r="D1050">
        <v>20000</v>
      </c>
    </row>
    <row r="1051" spans="1:4" x14ac:dyDescent="0.25">
      <c r="A1051">
        <v>2023</v>
      </c>
      <c r="B1051" t="s">
        <v>10</v>
      </c>
      <c r="C1051" t="s">
        <v>8</v>
      </c>
      <c r="D1051">
        <v>16000</v>
      </c>
    </row>
    <row r="1052" spans="1:4" x14ac:dyDescent="0.25">
      <c r="A1052">
        <v>2023</v>
      </c>
      <c r="B1052" t="s">
        <v>10</v>
      </c>
      <c r="C1052" t="s">
        <v>8</v>
      </c>
      <c r="D1052">
        <v>25000</v>
      </c>
    </row>
    <row r="1053" spans="1:4" x14ac:dyDescent="0.25">
      <c r="A1053">
        <v>2023</v>
      </c>
      <c r="B1053" t="s">
        <v>10</v>
      </c>
      <c r="C1053" t="s">
        <v>8</v>
      </c>
      <c r="D1053">
        <v>20000</v>
      </c>
    </row>
    <row r="1054" spans="1:4" x14ac:dyDescent="0.25">
      <c r="A1054">
        <v>2023</v>
      </c>
      <c r="B1054" t="s">
        <v>10</v>
      </c>
      <c r="C1054" t="s">
        <v>8</v>
      </c>
      <c r="D1054">
        <v>80000</v>
      </c>
    </row>
    <row r="1055" spans="1:4" x14ac:dyDescent="0.25">
      <c r="A1055">
        <v>2023</v>
      </c>
      <c r="B1055" t="s">
        <v>10</v>
      </c>
      <c r="C1055" t="s">
        <v>8</v>
      </c>
      <c r="D1055">
        <v>20200</v>
      </c>
    </row>
    <row r="1056" spans="1:4" x14ac:dyDescent="0.25">
      <c r="A1056">
        <v>2023</v>
      </c>
      <c r="B1056" t="s">
        <v>10</v>
      </c>
      <c r="C1056" t="s">
        <v>8</v>
      </c>
      <c r="D1056">
        <v>18000</v>
      </c>
    </row>
    <row r="1057" spans="1:4" x14ac:dyDescent="0.25">
      <c r="A1057">
        <v>2023</v>
      </c>
      <c r="B1057" t="s">
        <v>10</v>
      </c>
      <c r="C1057" t="s">
        <v>8</v>
      </c>
      <c r="D1057">
        <v>50000</v>
      </c>
    </row>
    <row r="1058" spans="1:4" x14ac:dyDescent="0.25">
      <c r="A1058">
        <v>2023</v>
      </c>
      <c r="B1058" t="s">
        <v>10</v>
      </c>
      <c r="C1058" t="s">
        <v>8</v>
      </c>
      <c r="D1058">
        <v>15000</v>
      </c>
    </row>
    <row r="1059" spans="1:4" x14ac:dyDescent="0.25">
      <c r="A1059">
        <v>2023</v>
      </c>
      <c r="B1059" t="s">
        <v>10</v>
      </c>
      <c r="C1059" t="s">
        <v>8</v>
      </c>
      <c r="D1059">
        <v>10000</v>
      </c>
    </row>
    <row r="1060" spans="1:4" x14ac:dyDescent="0.25">
      <c r="A1060">
        <v>2023</v>
      </c>
      <c r="B1060" t="s">
        <v>10</v>
      </c>
      <c r="C1060" t="s">
        <v>8</v>
      </c>
      <c r="D1060">
        <v>30000</v>
      </c>
    </row>
    <row r="1061" spans="1:4" x14ac:dyDescent="0.25">
      <c r="A1061">
        <v>2023</v>
      </c>
      <c r="B1061" t="s">
        <v>10</v>
      </c>
      <c r="C1061" t="s">
        <v>8</v>
      </c>
      <c r="D1061">
        <v>20000</v>
      </c>
    </row>
    <row r="1062" spans="1:4" x14ac:dyDescent="0.25">
      <c r="A1062">
        <v>2023</v>
      </c>
      <c r="B1062" t="s">
        <v>10</v>
      </c>
      <c r="C1062" t="s">
        <v>8</v>
      </c>
      <c r="D1062">
        <v>30000</v>
      </c>
    </row>
    <row r="1063" spans="1:4" x14ac:dyDescent="0.25">
      <c r="A1063">
        <v>2023</v>
      </c>
      <c r="B1063" t="s">
        <v>10</v>
      </c>
      <c r="C1063" t="s">
        <v>8</v>
      </c>
      <c r="D1063">
        <v>20000</v>
      </c>
    </row>
    <row r="1064" spans="1:4" x14ac:dyDescent="0.25">
      <c r="A1064">
        <v>2023</v>
      </c>
      <c r="B1064" t="s">
        <v>10</v>
      </c>
      <c r="C1064" t="s">
        <v>8</v>
      </c>
      <c r="D1064">
        <v>40000</v>
      </c>
    </row>
    <row r="1065" spans="1:4" x14ac:dyDescent="0.25">
      <c r="A1065">
        <v>2023</v>
      </c>
      <c r="B1065" t="s">
        <v>10</v>
      </c>
      <c r="C1065" t="s">
        <v>8</v>
      </c>
      <c r="D1065">
        <v>35000</v>
      </c>
    </row>
    <row r="1066" spans="1:4" x14ac:dyDescent="0.25">
      <c r="A1066">
        <v>2023</v>
      </c>
      <c r="B1066" t="s">
        <v>10</v>
      </c>
      <c r="C1066" t="s">
        <v>8</v>
      </c>
      <c r="D1066">
        <v>10000</v>
      </c>
    </row>
    <row r="1067" spans="1:4" x14ac:dyDescent="0.25">
      <c r="A1067">
        <v>2023</v>
      </c>
      <c r="B1067" t="s">
        <v>10</v>
      </c>
      <c r="C1067" t="s">
        <v>8</v>
      </c>
      <c r="D1067">
        <v>20000</v>
      </c>
    </row>
    <row r="1068" spans="1:4" x14ac:dyDescent="0.25">
      <c r="A1068">
        <v>2023</v>
      </c>
      <c r="B1068" t="s">
        <v>10</v>
      </c>
      <c r="C1068" t="s">
        <v>8</v>
      </c>
      <c r="D1068">
        <v>40000</v>
      </c>
    </row>
    <row r="1069" spans="1:4" x14ac:dyDescent="0.25">
      <c r="A1069">
        <v>2023</v>
      </c>
      <c r="B1069" t="s">
        <v>10</v>
      </c>
      <c r="C1069" t="s">
        <v>8</v>
      </c>
      <c r="D1069">
        <v>15000</v>
      </c>
    </row>
    <row r="1070" spans="1:4" x14ac:dyDescent="0.25">
      <c r="A1070">
        <v>2023</v>
      </c>
      <c r="B1070" t="s">
        <v>10</v>
      </c>
      <c r="C1070" t="s">
        <v>8</v>
      </c>
      <c r="D1070">
        <v>30000</v>
      </c>
    </row>
    <row r="1071" spans="1:4" x14ac:dyDescent="0.25">
      <c r="A1071">
        <v>2023</v>
      </c>
      <c r="B1071" t="s">
        <v>10</v>
      </c>
      <c r="C1071" t="s">
        <v>8</v>
      </c>
      <c r="D1071">
        <v>20000</v>
      </c>
    </row>
    <row r="1072" spans="1:4" x14ac:dyDescent="0.25">
      <c r="A1072">
        <v>2023</v>
      </c>
      <c r="B1072" t="s">
        <v>10</v>
      </c>
      <c r="C1072" t="s">
        <v>8</v>
      </c>
      <c r="D1072">
        <v>125000</v>
      </c>
    </row>
    <row r="1073" spans="1:4" x14ac:dyDescent="0.25">
      <c r="A1073">
        <v>2023</v>
      </c>
      <c r="B1073" t="s">
        <v>10</v>
      </c>
      <c r="C1073" t="s">
        <v>8</v>
      </c>
      <c r="D1073">
        <v>13000</v>
      </c>
    </row>
    <row r="1074" spans="1:4" x14ac:dyDescent="0.25">
      <c r="A1074">
        <v>2023</v>
      </c>
      <c r="B1074" t="s">
        <v>10</v>
      </c>
      <c r="C1074" t="s">
        <v>8</v>
      </c>
      <c r="D1074">
        <v>21000</v>
      </c>
    </row>
    <row r="1075" spans="1:4" x14ac:dyDescent="0.25">
      <c r="A1075">
        <v>2023</v>
      </c>
      <c r="B1075" t="s">
        <v>10</v>
      </c>
      <c r="C1075" t="s">
        <v>8</v>
      </c>
      <c r="D1075">
        <v>30000</v>
      </c>
    </row>
    <row r="1076" spans="1:4" x14ac:dyDescent="0.25">
      <c r="A1076">
        <v>2023</v>
      </c>
      <c r="B1076" t="s">
        <v>10</v>
      </c>
      <c r="C1076" t="s">
        <v>8</v>
      </c>
      <c r="D1076">
        <v>15000</v>
      </c>
    </row>
    <row r="1077" spans="1:4" x14ac:dyDescent="0.25">
      <c r="A1077">
        <v>2023</v>
      </c>
      <c r="B1077" t="s">
        <v>10</v>
      </c>
      <c r="C1077" t="s">
        <v>8</v>
      </c>
      <c r="D1077">
        <v>20000</v>
      </c>
    </row>
    <row r="1078" spans="1:4" x14ac:dyDescent="0.25">
      <c r="A1078">
        <v>2023</v>
      </c>
      <c r="B1078" t="s">
        <v>10</v>
      </c>
      <c r="C1078" t="s">
        <v>8</v>
      </c>
      <c r="D1078">
        <v>20000</v>
      </c>
    </row>
    <row r="1079" spans="1:4" x14ac:dyDescent="0.25">
      <c r="A1079">
        <v>2023</v>
      </c>
      <c r="B1079" t="s">
        <v>10</v>
      </c>
      <c r="C1079" t="s">
        <v>8</v>
      </c>
      <c r="D1079">
        <v>40000</v>
      </c>
    </row>
    <row r="1080" spans="1:4" x14ac:dyDescent="0.25">
      <c r="A1080">
        <v>2023</v>
      </c>
      <c r="B1080" t="s">
        <v>10</v>
      </c>
      <c r="C1080" t="s">
        <v>8</v>
      </c>
      <c r="D1080">
        <v>30000</v>
      </c>
    </row>
    <row r="1081" spans="1:4" x14ac:dyDescent="0.25">
      <c r="A1081">
        <v>2023</v>
      </c>
      <c r="B1081" t="s">
        <v>10</v>
      </c>
      <c r="C1081" t="s">
        <v>8</v>
      </c>
      <c r="D1081">
        <v>20000</v>
      </c>
    </row>
    <row r="1082" spans="1:4" x14ac:dyDescent="0.25">
      <c r="A1082">
        <v>2023</v>
      </c>
      <c r="B1082" t="s">
        <v>10</v>
      </c>
      <c r="C1082" t="s">
        <v>8</v>
      </c>
      <c r="D1082">
        <v>10000</v>
      </c>
    </row>
    <row r="1083" spans="1:4" x14ac:dyDescent="0.25">
      <c r="A1083">
        <v>2023</v>
      </c>
      <c r="B1083" t="s">
        <v>10</v>
      </c>
      <c r="C1083" t="s">
        <v>8</v>
      </c>
      <c r="D1083">
        <v>30000</v>
      </c>
    </row>
    <row r="1084" spans="1:4" x14ac:dyDescent="0.25">
      <c r="A1084">
        <v>2023</v>
      </c>
      <c r="B1084" t="s">
        <v>10</v>
      </c>
      <c r="C1084" t="s">
        <v>8</v>
      </c>
      <c r="D1084">
        <v>15000</v>
      </c>
    </row>
    <row r="1085" spans="1:4" x14ac:dyDescent="0.25">
      <c r="A1085">
        <v>2023</v>
      </c>
      <c r="B1085" t="s">
        <v>10</v>
      </c>
      <c r="C1085" t="s">
        <v>8</v>
      </c>
      <c r="D1085">
        <v>6000</v>
      </c>
    </row>
    <row r="1086" spans="1:4" x14ac:dyDescent="0.25">
      <c r="A1086">
        <v>2023</v>
      </c>
      <c r="B1086" t="s">
        <v>10</v>
      </c>
      <c r="C1086" t="s">
        <v>8</v>
      </c>
      <c r="D1086">
        <v>40000</v>
      </c>
    </row>
    <row r="1087" spans="1:4" x14ac:dyDescent="0.25">
      <c r="A1087">
        <v>2023</v>
      </c>
      <c r="B1087" t="s">
        <v>10</v>
      </c>
      <c r="C1087" t="s">
        <v>8</v>
      </c>
      <c r="D1087">
        <v>25000</v>
      </c>
    </row>
    <row r="1088" spans="1:4" x14ac:dyDescent="0.25">
      <c r="A1088">
        <v>2023</v>
      </c>
      <c r="B1088" t="s">
        <v>10</v>
      </c>
      <c r="C1088" t="s">
        <v>8</v>
      </c>
      <c r="D1088">
        <v>55000</v>
      </c>
    </row>
    <row r="1089" spans="1:4" x14ac:dyDescent="0.25">
      <c r="A1089">
        <v>2023</v>
      </c>
      <c r="B1089" t="s">
        <v>10</v>
      </c>
      <c r="C1089" t="s">
        <v>8</v>
      </c>
      <c r="D1089">
        <v>30000</v>
      </c>
    </row>
    <row r="1090" spans="1:4" x14ac:dyDescent="0.25">
      <c r="A1090">
        <v>2023</v>
      </c>
      <c r="B1090" t="s">
        <v>10</v>
      </c>
      <c r="C1090" t="s">
        <v>8</v>
      </c>
      <c r="D1090">
        <v>5000</v>
      </c>
    </row>
    <row r="1091" spans="1:4" x14ac:dyDescent="0.25">
      <c r="A1091">
        <v>2023</v>
      </c>
      <c r="B1091" t="s">
        <v>10</v>
      </c>
      <c r="C1091" t="s">
        <v>8</v>
      </c>
      <c r="D1091">
        <v>20000</v>
      </c>
    </row>
    <row r="1092" spans="1:4" x14ac:dyDescent="0.25">
      <c r="A1092">
        <v>2023</v>
      </c>
      <c r="B1092" t="s">
        <v>10</v>
      </c>
      <c r="C1092" t="s">
        <v>8</v>
      </c>
      <c r="D1092">
        <v>27000</v>
      </c>
    </row>
    <row r="1093" spans="1:4" x14ac:dyDescent="0.25">
      <c r="A1093">
        <v>2023</v>
      </c>
      <c r="B1093" t="s">
        <v>10</v>
      </c>
      <c r="C1093" t="s">
        <v>8</v>
      </c>
      <c r="D1093">
        <v>25000</v>
      </c>
    </row>
    <row r="1094" spans="1:4" x14ac:dyDescent="0.25">
      <c r="A1094">
        <v>2023</v>
      </c>
      <c r="B1094" t="s">
        <v>10</v>
      </c>
      <c r="C1094" t="s">
        <v>8</v>
      </c>
      <c r="D1094">
        <v>40000</v>
      </c>
    </row>
    <row r="1095" spans="1:4" x14ac:dyDescent="0.25">
      <c r="A1095">
        <v>2023</v>
      </c>
      <c r="B1095" t="s">
        <v>10</v>
      </c>
      <c r="C1095" t="s">
        <v>8</v>
      </c>
      <c r="D1095">
        <v>40000</v>
      </c>
    </row>
    <row r="1096" spans="1:4" x14ac:dyDescent="0.25">
      <c r="A1096">
        <v>2023</v>
      </c>
      <c r="B1096" t="s">
        <v>10</v>
      </c>
      <c r="C1096" t="s">
        <v>8</v>
      </c>
      <c r="D1096">
        <v>10000</v>
      </c>
    </row>
    <row r="1097" spans="1:4" x14ac:dyDescent="0.25">
      <c r="A1097">
        <v>2023</v>
      </c>
      <c r="B1097" t="s">
        <v>10</v>
      </c>
      <c r="C1097" t="s">
        <v>8</v>
      </c>
      <c r="D1097">
        <v>350000</v>
      </c>
    </row>
    <row r="1098" spans="1:4" x14ac:dyDescent="0.25">
      <c r="A1098">
        <v>2023</v>
      </c>
      <c r="B1098" t="s">
        <v>10</v>
      </c>
      <c r="C1098" t="s">
        <v>8</v>
      </c>
      <c r="D1098">
        <v>34600</v>
      </c>
    </row>
    <row r="1099" spans="1:4" x14ac:dyDescent="0.25">
      <c r="A1099">
        <v>2023</v>
      </c>
      <c r="B1099" t="s">
        <v>10</v>
      </c>
      <c r="C1099" t="s">
        <v>8</v>
      </c>
      <c r="D1099">
        <v>300000</v>
      </c>
    </row>
    <row r="1100" spans="1:4" x14ac:dyDescent="0.25">
      <c r="A1100">
        <v>2023</v>
      </c>
      <c r="B1100" t="s">
        <v>10</v>
      </c>
      <c r="C1100" t="s">
        <v>8</v>
      </c>
      <c r="D1100">
        <v>15000</v>
      </c>
    </row>
    <row r="1101" spans="1:4" x14ac:dyDescent="0.25">
      <c r="A1101">
        <v>2023</v>
      </c>
      <c r="B1101" t="s">
        <v>10</v>
      </c>
      <c r="C1101" t="s">
        <v>8</v>
      </c>
      <c r="D1101">
        <v>10000</v>
      </c>
    </row>
    <row r="1102" spans="1:4" x14ac:dyDescent="0.25">
      <c r="A1102">
        <v>2023</v>
      </c>
      <c r="B1102" t="s">
        <v>10</v>
      </c>
      <c r="C1102" t="s">
        <v>8</v>
      </c>
      <c r="D1102">
        <v>15000</v>
      </c>
    </row>
    <row r="1103" spans="1:4" x14ac:dyDescent="0.25">
      <c r="A1103">
        <v>2023</v>
      </c>
      <c r="B1103" t="s">
        <v>10</v>
      </c>
      <c r="C1103" t="s">
        <v>8</v>
      </c>
      <c r="D1103">
        <v>30000</v>
      </c>
    </row>
    <row r="1104" spans="1:4" x14ac:dyDescent="0.25">
      <c r="A1104">
        <v>2023</v>
      </c>
      <c r="B1104" t="s">
        <v>10</v>
      </c>
      <c r="C1104" t="s">
        <v>8</v>
      </c>
      <c r="D1104">
        <v>20000</v>
      </c>
    </row>
    <row r="1105" spans="1:4" x14ac:dyDescent="0.25">
      <c r="A1105">
        <v>2023</v>
      </c>
      <c r="B1105" t="s">
        <v>10</v>
      </c>
      <c r="C1105" t="s">
        <v>8</v>
      </c>
      <c r="D1105">
        <v>80000</v>
      </c>
    </row>
    <row r="1106" spans="1:4" x14ac:dyDescent="0.25">
      <c r="A1106">
        <v>2023</v>
      </c>
      <c r="B1106" t="s">
        <v>10</v>
      </c>
      <c r="C1106" t="s">
        <v>8</v>
      </c>
      <c r="D1106">
        <v>30000</v>
      </c>
    </row>
    <row r="1107" spans="1:4" x14ac:dyDescent="0.25">
      <c r="A1107">
        <v>2023</v>
      </c>
      <c r="B1107" t="s">
        <v>10</v>
      </c>
      <c r="C1107" t="s">
        <v>8</v>
      </c>
      <c r="D1107">
        <v>28000</v>
      </c>
    </row>
    <row r="1108" spans="1:4" x14ac:dyDescent="0.25">
      <c r="A1108">
        <v>2023</v>
      </c>
      <c r="B1108" t="s">
        <v>10</v>
      </c>
      <c r="C1108" t="s">
        <v>8</v>
      </c>
      <c r="D1108">
        <v>10000</v>
      </c>
    </row>
    <row r="1109" spans="1:4" x14ac:dyDescent="0.25">
      <c r="A1109">
        <v>2023</v>
      </c>
      <c r="B1109" t="s">
        <v>10</v>
      </c>
      <c r="C1109" t="s">
        <v>8</v>
      </c>
      <c r="D1109">
        <v>20000</v>
      </c>
    </row>
    <row r="1110" spans="1:4" x14ac:dyDescent="0.25">
      <c r="A1110">
        <v>2023</v>
      </c>
      <c r="B1110" t="s">
        <v>10</v>
      </c>
      <c r="C1110" t="s">
        <v>8</v>
      </c>
      <c r="D1110">
        <v>30000</v>
      </c>
    </row>
    <row r="1111" spans="1:4" x14ac:dyDescent="0.25">
      <c r="A1111">
        <v>2023</v>
      </c>
      <c r="B1111" t="s">
        <v>10</v>
      </c>
      <c r="C1111" t="s">
        <v>8</v>
      </c>
      <c r="D1111">
        <v>30000</v>
      </c>
    </row>
    <row r="1112" spans="1:4" x14ac:dyDescent="0.25">
      <c r="A1112">
        <v>2023</v>
      </c>
      <c r="B1112" t="s">
        <v>10</v>
      </c>
      <c r="C1112" t="s">
        <v>8</v>
      </c>
      <c r="D1112">
        <v>20000</v>
      </c>
    </row>
    <row r="1113" spans="1:4" x14ac:dyDescent="0.25">
      <c r="A1113">
        <v>2023</v>
      </c>
      <c r="B1113" t="s">
        <v>10</v>
      </c>
      <c r="C1113" t="s">
        <v>8</v>
      </c>
      <c r="D1113">
        <v>20000</v>
      </c>
    </row>
    <row r="1114" spans="1:4" x14ac:dyDescent="0.25">
      <c r="A1114">
        <v>2023</v>
      </c>
      <c r="B1114" t="s">
        <v>10</v>
      </c>
      <c r="C1114" t="s">
        <v>8</v>
      </c>
      <c r="D1114">
        <v>15000</v>
      </c>
    </row>
    <row r="1115" spans="1:4" x14ac:dyDescent="0.25">
      <c r="A1115">
        <v>2023</v>
      </c>
      <c r="B1115" t="s">
        <v>10</v>
      </c>
      <c r="C1115" t="s">
        <v>8</v>
      </c>
      <c r="D1115">
        <v>30000</v>
      </c>
    </row>
    <row r="1116" spans="1:4" x14ac:dyDescent="0.25">
      <c r="A1116">
        <v>2023</v>
      </c>
      <c r="B1116" t="s">
        <v>10</v>
      </c>
      <c r="C1116" t="s">
        <v>8</v>
      </c>
      <c r="D1116">
        <v>30000</v>
      </c>
    </row>
    <row r="1117" spans="1:4" x14ac:dyDescent="0.25">
      <c r="A1117">
        <v>2023</v>
      </c>
      <c r="B1117" t="s">
        <v>10</v>
      </c>
      <c r="C1117" t="s">
        <v>8</v>
      </c>
      <c r="D1117">
        <v>20000</v>
      </c>
    </row>
    <row r="1118" spans="1:4" x14ac:dyDescent="0.25">
      <c r="A1118">
        <v>2023</v>
      </c>
      <c r="B1118" t="s">
        <v>10</v>
      </c>
      <c r="C1118" t="s">
        <v>8</v>
      </c>
      <c r="D1118">
        <v>15000</v>
      </c>
    </row>
    <row r="1119" spans="1:4" x14ac:dyDescent="0.25">
      <c r="A1119">
        <v>2023</v>
      </c>
      <c r="B1119" t="s">
        <v>10</v>
      </c>
      <c r="C1119" t="s">
        <v>8</v>
      </c>
      <c r="D1119">
        <v>35000</v>
      </c>
    </row>
    <row r="1120" spans="1:4" x14ac:dyDescent="0.25">
      <c r="A1120">
        <v>2023</v>
      </c>
      <c r="B1120" t="s">
        <v>10</v>
      </c>
      <c r="C1120" t="s">
        <v>8</v>
      </c>
      <c r="D1120">
        <v>20000</v>
      </c>
    </row>
    <row r="1121" spans="1:4" x14ac:dyDescent="0.25">
      <c r="A1121">
        <v>2023</v>
      </c>
      <c r="B1121" t="s">
        <v>10</v>
      </c>
      <c r="C1121" t="s">
        <v>8</v>
      </c>
      <c r="D1121">
        <v>15000</v>
      </c>
    </row>
    <row r="1122" spans="1:4" x14ac:dyDescent="0.25">
      <c r="A1122">
        <v>2023</v>
      </c>
      <c r="B1122" t="s">
        <v>10</v>
      </c>
      <c r="C1122" t="s">
        <v>8</v>
      </c>
      <c r="D1122">
        <v>28000</v>
      </c>
    </row>
    <row r="1123" spans="1:4" x14ac:dyDescent="0.25">
      <c r="A1123">
        <v>2023</v>
      </c>
      <c r="B1123" t="s">
        <v>10</v>
      </c>
      <c r="C1123" t="s">
        <v>8</v>
      </c>
      <c r="D1123">
        <v>30000</v>
      </c>
    </row>
    <row r="1124" spans="1:4" x14ac:dyDescent="0.25">
      <c r="A1124">
        <v>2023</v>
      </c>
      <c r="B1124" t="s">
        <v>10</v>
      </c>
      <c r="C1124" t="s">
        <v>8</v>
      </c>
      <c r="D1124">
        <v>30000</v>
      </c>
    </row>
    <row r="1125" spans="1:4" x14ac:dyDescent="0.25">
      <c r="A1125">
        <v>2023</v>
      </c>
      <c r="B1125" t="s">
        <v>10</v>
      </c>
      <c r="C1125" t="s">
        <v>8</v>
      </c>
      <c r="D1125">
        <v>35000</v>
      </c>
    </row>
    <row r="1126" spans="1:4" x14ac:dyDescent="0.25">
      <c r="A1126">
        <v>2023</v>
      </c>
      <c r="B1126" t="s">
        <v>10</v>
      </c>
      <c r="C1126" t="s">
        <v>8</v>
      </c>
      <c r="D1126">
        <v>20000</v>
      </c>
    </row>
    <row r="1127" spans="1:4" x14ac:dyDescent="0.25">
      <c r="A1127">
        <v>2023</v>
      </c>
      <c r="B1127" t="s">
        <v>10</v>
      </c>
      <c r="C1127" t="s">
        <v>8</v>
      </c>
      <c r="D1127">
        <v>15000</v>
      </c>
    </row>
    <row r="1128" spans="1:4" x14ac:dyDescent="0.25">
      <c r="A1128">
        <v>2023</v>
      </c>
      <c r="B1128" t="s">
        <v>10</v>
      </c>
      <c r="C1128" t="s">
        <v>8</v>
      </c>
      <c r="D1128">
        <v>25000</v>
      </c>
    </row>
    <row r="1129" spans="1:4" x14ac:dyDescent="0.25">
      <c r="A1129">
        <v>2023</v>
      </c>
      <c r="B1129" t="s">
        <v>10</v>
      </c>
      <c r="C1129" t="s">
        <v>8</v>
      </c>
      <c r="D1129">
        <v>35000</v>
      </c>
    </row>
    <row r="1130" spans="1:4" x14ac:dyDescent="0.25">
      <c r="A1130">
        <v>2023</v>
      </c>
      <c r="B1130" t="s">
        <v>10</v>
      </c>
      <c r="C1130" t="s">
        <v>8</v>
      </c>
      <c r="D1130">
        <v>20000</v>
      </c>
    </row>
    <row r="1131" spans="1:4" x14ac:dyDescent="0.25">
      <c r="A1131">
        <v>2023</v>
      </c>
      <c r="B1131" t="s">
        <v>10</v>
      </c>
      <c r="C1131" t="s">
        <v>8</v>
      </c>
      <c r="D1131">
        <v>25000</v>
      </c>
    </row>
    <row r="1132" spans="1:4" x14ac:dyDescent="0.25">
      <c r="A1132">
        <v>2023</v>
      </c>
      <c r="B1132" t="s">
        <v>10</v>
      </c>
      <c r="C1132" t="s">
        <v>8</v>
      </c>
      <c r="D1132">
        <v>20000</v>
      </c>
    </row>
    <row r="1133" spans="1:4" x14ac:dyDescent="0.25">
      <c r="A1133">
        <v>2023</v>
      </c>
      <c r="B1133" t="s">
        <v>10</v>
      </c>
      <c r="C1133" t="s">
        <v>8</v>
      </c>
      <c r="D1133">
        <v>20000</v>
      </c>
    </row>
    <row r="1134" spans="1:4" x14ac:dyDescent="0.25">
      <c r="A1134">
        <v>2023</v>
      </c>
      <c r="B1134" t="s">
        <v>10</v>
      </c>
      <c r="C1134" t="s">
        <v>8</v>
      </c>
      <c r="D1134">
        <v>21000</v>
      </c>
    </row>
    <row r="1135" spans="1:4" x14ac:dyDescent="0.25">
      <c r="A1135">
        <v>2023</v>
      </c>
      <c r="B1135" t="s">
        <v>10</v>
      </c>
      <c r="C1135" t="s">
        <v>8</v>
      </c>
      <c r="D1135">
        <v>20000</v>
      </c>
    </row>
    <row r="1136" spans="1:4" x14ac:dyDescent="0.25">
      <c r="A1136">
        <v>2023</v>
      </c>
      <c r="B1136" t="s">
        <v>10</v>
      </c>
      <c r="C1136" t="s">
        <v>8</v>
      </c>
      <c r="D1136">
        <v>15000</v>
      </c>
    </row>
    <row r="1137" spans="1:4" x14ac:dyDescent="0.25">
      <c r="A1137">
        <v>2023</v>
      </c>
      <c r="B1137" t="s">
        <v>10</v>
      </c>
      <c r="C1137" t="s">
        <v>8</v>
      </c>
      <c r="D1137">
        <v>20000</v>
      </c>
    </row>
    <row r="1138" spans="1:4" x14ac:dyDescent="0.25">
      <c r="A1138">
        <v>2023</v>
      </c>
      <c r="B1138" t="s">
        <v>10</v>
      </c>
      <c r="C1138" t="s">
        <v>8</v>
      </c>
      <c r="D1138">
        <v>15000</v>
      </c>
    </row>
    <row r="1139" spans="1:4" x14ac:dyDescent="0.25">
      <c r="A1139">
        <v>2023</v>
      </c>
      <c r="B1139" t="s">
        <v>10</v>
      </c>
      <c r="C1139" t="s">
        <v>8</v>
      </c>
      <c r="D1139">
        <v>20000</v>
      </c>
    </row>
    <row r="1140" spans="1:4" x14ac:dyDescent="0.25">
      <c r="A1140">
        <v>2023</v>
      </c>
      <c r="B1140" t="s">
        <v>10</v>
      </c>
      <c r="C1140" t="s">
        <v>8</v>
      </c>
      <c r="D1140">
        <v>15000</v>
      </c>
    </row>
    <row r="1141" spans="1:4" x14ac:dyDescent="0.25">
      <c r="A1141">
        <v>2023</v>
      </c>
      <c r="B1141" t="s">
        <v>10</v>
      </c>
      <c r="C1141" t="s">
        <v>8</v>
      </c>
      <c r="D1141">
        <v>17000</v>
      </c>
    </row>
    <row r="1142" spans="1:4" x14ac:dyDescent="0.25">
      <c r="A1142">
        <v>2023</v>
      </c>
      <c r="B1142" t="s">
        <v>10</v>
      </c>
      <c r="C1142" t="s">
        <v>8</v>
      </c>
      <c r="D1142">
        <v>16000</v>
      </c>
    </row>
    <row r="1143" spans="1:4" x14ac:dyDescent="0.25">
      <c r="A1143">
        <v>2023</v>
      </c>
      <c r="B1143" t="s">
        <v>10</v>
      </c>
      <c r="C1143" t="s">
        <v>8</v>
      </c>
      <c r="D1143">
        <v>20000</v>
      </c>
    </row>
    <row r="1144" spans="1:4" x14ac:dyDescent="0.25">
      <c r="A1144">
        <v>2023</v>
      </c>
      <c r="B1144" t="s">
        <v>10</v>
      </c>
      <c r="C1144" t="s">
        <v>8</v>
      </c>
      <c r="D1144">
        <v>10000</v>
      </c>
    </row>
    <row r="1145" spans="1:4" x14ac:dyDescent="0.25">
      <c r="A1145">
        <v>2023</v>
      </c>
      <c r="B1145" t="s">
        <v>10</v>
      </c>
      <c r="C1145" t="s">
        <v>8</v>
      </c>
      <c r="D1145">
        <v>10000</v>
      </c>
    </row>
    <row r="1146" spans="1:4" x14ac:dyDescent="0.25">
      <c r="A1146">
        <v>2023</v>
      </c>
      <c r="B1146" t="s">
        <v>11</v>
      </c>
      <c r="C1146" t="s">
        <v>5</v>
      </c>
      <c r="D1146">
        <v>2439112016</v>
      </c>
    </row>
    <row r="1147" spans="1:4" x14ac:dyDescent="0.25">
      <c r="A1147">
        <v>2023</v>
      </c>
      <c r="B1147" t="s">
        <v>11</v>
      </c>
      <c r="C1147" t="s">
        <v>5</v>
      </c>
      <c r="D1147">
        <v>21630204</v>
      </c>
    </row>
    <row r="1148" spans="1:4" x14ac:dyDescent="0.25">
      <c r="A1148">
        <v>2023</v>
      </c>
      <c r="B1148" t="s">
        <v>11</v>
      </c>
      <c r="C1148" t="s">
        <v>5</v>
      </c>
      <c r="D1148">
        <v>1343779240</v>
      </c>
    </row>
    <row r="1149" spans="1:4" x14ac:dyDescent="0.25">
      <c r="A1149">
        <v>2023</v>
      </c>
      <c r="B1149" t="s">
        <v>11</v>
      </c>
      <c r="C1149" t="s">
        <v>5</v>
      </c>
      <c r="D1149">
        <v>468280324</v>
      </c>
    </row>
    <row r="1150" spans="1:4" x14ac:dyDescent="0.25">
      <c r="A1150">
        <v>2023</v>
      </c>
      <c r="B1150" t="s">
        <v>11</v>
      </c>
      <c r="C1150" t="s">
        <v>5</v>
      </c>
      <c r="D1150">
        <v>775977204</v>
      </c>
    </row>
    <row r="1151" spans="1:4" x14ac:dyDescent="0.25">
      <c r="A1151">
        <v>2023</v>
      </c>
      <c r="B1151" t="s">
        <v>11</v>
      </c>
      <c r="C1151" t="s">
        <v>5</v>
      </c>
      <c r="D1151">
        <v>769539440</v>
      </c>
    </row>
    <row r="1152" spans="1:4" x14ac:dyDescent="0.25">
      <c r="A1152">
        <v>2023</v>
      </c>
      <c r="B1152" t="s">
        <v>11</v>
      </c>
      <c r="C1152" t="s">
        <v>5</v>
      </c>
      <c r="D1152">
        <v>390973572</v>
      </c>
    </row>
    <row r="1153" spans="1:4" x14ac:dyDescent="0.25">
      <c r="A1153">
        <v>2023</v>
      </c>
      <c r="B1153" t="s">
        <v>11</v>
      </c>
      <c r="C1153" t="s">
        <v>6</v>
      </c>
      <c r="D1153">
        <v>653135800</v>
      </c>
    </row>
    <row r="1154" spans="1:4" x14ac:dyDescent="0.25">
      <c r="A1154">
        <v>2023</v>
      </c>
      <c r="B1154" t="s">
        <v>11</v>
      </c>
      <c r="C1154" t="s">
        <v>6</v>
      </c>
      <c r="D1154">
        <v>52757000</v>
      </c>
    </row>
    <row r="1155" spans="1:4" x14ac:dyDescent="0.25">
      <c r="A1155">
        <v>2023</v>
      </c>
      <c r="B1155" t="s">
        <v>11</v>
      </c>
      <c r="C1155" t="s">
        <v>6</v>
      </c>
      <c r="D1155">
        <v>10000000</v>
      </c>
    </row>
    <row r="1156" spans="1:4" x14ac:dyDescent="0.25">
      <c r="A1156">
        <v>2023</v>
      </c>
      <c r="B1156" t="s">
        <v>11</v>
      </c>
      <c r="C1156" t="s">
        <v>6</v>
      </c>
      <c r="D1156">
        <v>356400</v>
      </c>
    </row>
    <row r="1157" spans="1:4" x14ac:dyDescent="0.25">
      <c r="A1157">
        <v>2023</v>
      </c>
      <c r="B1157" t="s">
        <v>11</v>
      </c>
      <c r="C1157" t="s">
        <v>6</v>
      </c>
      <c r="D1157">
        <v>800000</v>
      </c>
    </row>
    <row r="1158" spans="1:4" x14ac:dyDescent="0.25">
      <c r="A1158">
        <v>2023</v>
      </c>
      <c r="B1158" t="s">
        <v>11</v>
      </c>
      <c r="C1158" t="s">
        <v>6</v>
      </c>
      <c r="D1158">
        <v>888900</v>
      </c>
    </row>
    <row r="1159" spans="1:4" x14ac:dyDescent="0.25">
      <c r="A1159">
        <v>2023</v>
      </c>
      <c r="B1159" t="s">
        <v>11</v>
      </c>
      <c r="C1159" t="s">
        <v>6</v>
      </c>
      <c r="D1159">
        <v>2115000</v>
      </c>
    </row>
    <row r="1160" spans="1:4" x14ac:dyDescent="0.25">
      <c r="A1160">
        <v>2023</v>
      </c>
      <c r="B1160" t="s">
        <v>11</v>
      </c>
      <c r="C1160" t="s">
        <v>6</v>
      </c>
      <c r="D1160">
        <v>2293900</v>
      </c>
    </row>
    <row r="1161" spans="1:4" x14ac:dyDescent="0.25">
      <c r="A1161">
        <v>2023</v>
      </c>
      <c r="B1161" t="s">
        <v>11</v>
      </c>
      <c r="C1161" t="s">
        <v>8</v>
      </c>
      <c r="D1161">
        <v>135904800</v>
      </c>
    </row>
    <row r="1162" spans="1:4" x14ac:dyDescent="0.25">
      <c r="A1162">
        <v>2023</v>
      </c>
      <c r="B1162" t="s">
        <v>11</v>
      </c>
      <c r="C1162" t="s">
        <v>8</v>
      </c>
      <c r="D1162">
        <v>8000000</v>
      </c>
    </row>
    <row r="1163" spans="1:4" x14ac:dyDescent="0.25">
      <c r="A1163">
        <v>2023</v>
      </c>
      <c r="B1163" t="s">
        <v>11</v>
      </c>
      <c r="C1163" t="s">
        <v>8</v>
      </c>
      <c r="D1163">
        <v>1002000</v>
      </c>
    </row>
    <row r="1164" spans="1:4" x14ac:dyDescent="0.25">
      <c r="A1164">
        <v>2023</v>
      </c>
      <c r="B1164" t="s">
        <v>11</v>
      </c>
      <c r="C1164" t="s">
        <v>8</v>
      </c>
      <c r="D1164">
        <v>25001000</v>
      </c>
    </row>
    <row r="1165" spans="1:4" x14ac:dyDescent="0.25">
      <c r="A1165">
        <v>2023</v>
      </c>
      <c r="B1165" t="s">
        <v>11</v>
      </c>
      <c r="C1165" t="s">
        <v>8</v>
      </c>
      <c r="D1165">
        <v>4802000</v>
      </c>
    </row>
    <row r="1166" spans="1:4" x14ac:dyDescent="0.25">
      <c r="A1166">
        <v>2023</v>
      </c>
      <c r="B1166" t="s">
        <v>11</v>
      </c>
      <c r="C1166" t="s">
        <v>8</v>
      </c>
      <c r="D1166">
        <v>10003000</v>
      </c>
    </row>
    <row r="1167" spans="1:4" x14ac:dyDescent="0.25">
      <c r="A1167">
        <v>2023</v>
      </c>
      <c r="B1167" t="s">
        <v>11</v>
      </c>
      <c r="C1167" t="s">
        <v>8</v>
      </c>
      <c r="D1167">
        <v>47826000</v>
      </c>
    </row>
    <row r="1168" spans="1:4" x14ac:dyDescent="0.25">
      <c r="A1168">
        <v>2023</v>
      </c>
      <c r="B1168" t="s">
        <v>11</v>
      </c>
      <c r="C1168" t="s">
        <v>8</v>
      </c>
      <c r="D1168">
        <v>30000</v>
      </c>
    </row>
    <row r="1169" spans="1:4" x14ac:dyDescent="0.25">
      <c r="A1169">
        <v>2023</v>
      </c>
      <c r="B1169" t="s">
        <v>11</v>
      </c>
      <c r="C1169" t="s">
        <v>8</v>
      </c>
      <c r="D1169">
        <v>43200</v>
      </c>
    </row>
    <row r="1170" spans="1:4" x14ac:dyDescent="0.25">
      <c r="A1170">
        <v>2023</v>
      </c>
      <c r="B1170" t="s">
        <v>11</v>
      </c>
      <c r="C1170" t="s">
        <v>8</v>
      </c>
      <c r="D1170">
        <v>22000</v>
      </c>
    </row>
    <row r="1171" spans="1:4" x14ac:dyDescent="0.25">
      <c r="A1171">
        <v>2023</v>
      </c>
      <c r="B1171" t="s">
        <v>12</v>
      </c>
      <c r="C1171" t="s">
        <v>6</v>
      </c>
      <c r="D1171">
        <v>6495704000</v>
      </c>
    </row>
    <row r="1172" spans="1:4" x14ac:dyDescent="0.25">
      <c r="A1172">
        <v>2023</v>
      </c>
      <c r="B1172" t="s">
        <v>13</v>
      </c>
      <c r="C1172" t="s">
        <v>6</v>
      </c>
      <c r="D1172">
        <v>1329816000</v>
      </c>
    </row>
    <row r="1173" spans="1:4" x14ac:dyDescent="0.25">
      <c r="A1173">
        <v>2023</v>
      </c>
      <c r="B1173" t="s">
        <v>14</v>
      </c>
      <c r="C1173" t="s">
        <v>5</v>
      </c>
      <c r="D1173">
        <v>4399864</v>
      </c>
    </row>
    <row r="1174" spans="1:4" x14ac:dyDescent="0.25">
      <c r="A1174">
        <v>2023</v>
      </c>
      <c r="B1174" t="s">
        <v>14</v>
      </c>
      <c r="C1174" t="s">
        <v>5</v>
      </c>
      <c r="D1174">
        <v>43633440</v>
      </c>
    </row>
    <row r="1175" spans="1:4" x14ac:dyDescent="0.25">
      <c r="A1175">
        <v>2023</v>
      </c>
      <c r="B1175" t="s">
        <v>14</v>
      </c>
      <c r="C1175" t="s">
        <v>5</v>
      </c>
      <c r="D1175">
        <v>256984944</v>
      </c>
    </row>
    <row r="1176" spans="1:4" x14ac:dyDescent="0.25">
      <c r="A1176">
        <v>2023</v>
      </c>
      <c r="B1176" t="s">
        <v>14</v>
      </c>
      <c r="C1176" t="s">
        <v>5</v>
      </c>
      <c r="D1176">
        <v>39575052</v>
      </c>
    </row>
    <row r="1177" spans="1:4" x14ac:dyDescent="0.25">
      <c r="A1177">
        <v>2023</v>
      </c>
      <c r="B1177" t="s">
        <v>14</v>
      </c>
      <c r="C1177" t="s">
        <v>5</v>
      </c>
      <c r="D1177">
        <v>17026032</v>
      </c>
    </row>
    <row r="1178" spans="1:4" x14ac:dyDescent="0.25">
      <c r="A1178">
        <v>2023</v>
      </c>
      <c r="B1178" t="s">
        <v>14</v>
      </c>
      <c r="C1178" t="s">
        <v>5</v>
      </c>
      <c r="D1178">
        <v>18384840</v>
      </c>
    </row>
    <row r="1179" spans="1:4" x14ac:dyDescent="0.25">
      <c r="A1179">
        <v>2023</v>
      </c>
      <c r="B1179" t="s">
        <v>14</v>
      </c>
      <c r="C1179" t="s">
        <v>5</v>
      </c>
      <c r="D1179">
        <v>30527684</v>
      </c>
    </row>
    <row r="1180" spans="1:4" x14ac:dyDescent="0.25">
      <c r="A1180">
        <v>2023</v>
      </c>
      <c r="B1180" t="s">
        <v>14</v>
      </c>
      <c r="C1180" t="s">
        <v>5</v>
      </c>
      <c r="D1180">
        <v>8915160</v>
      </c>
    </row>
    <row r="1181" spans="1:4" x14ac:dyDescent="0.25">
      <c r="A1181">
        <v>2023</v>
      </c>
      <c r="B1181" t="s">
        <v>14</v>
      </c>
      <c r="C1181" t="s">
        <v>5</v>
      </c>
      <c r="D1181">
        <v>3933900</v>
      </c>
    </row>
    <row r="1182" spans="1:4" x14ac:dyDescent="0.25">
      <c r="A1182">
        <v>2023</v>
      </c>
      <c r="B1182" t="s">
        <v>14</v>
      </c>
      <c r="C1182" t="s">
        <v>5</v>
      </c>
      <c r="D1182">
        <v>578600</v>
      </c>
    </row>
    <row r="1183" spans="1:4" x14ac:dyDescent="0.25">
      <c r="A1183">
        <v>2023</v>
      </c>
      <c r="B1183" t="s">
        <v>14</v>
      </c>
      <c r="C1183" t="s">
        <v>5</v>
      </c>
      <c r="D1183">
        <v>1585200</v>
      </c>
    </row>
    <row r="1184" spans="1:4" x14ac:dyDescent="0.25">
      <c r="A1184">
        <v>2023</v>
      </c>
      <c r="B1184" t="s">
        <v>14</v>
      </c>
      <c r="C1184" t="s">
        <v>5</v>
      </c>
      <c r="D1184">
        <v>405600</v>
      </c>
    </row>
    <row r="1185" spans="1:4" x14ac:dyDescent="0.25">
      <c r="A1185">
        <v>2023</v>
      </c>
      <c r="B1185" t="s">
        <v>14</v>
      </c>
      <c r="C1185" t="s">
        <v>5</v>
      </c>
      <c r="D1185">
        <v>141600</v>
      </c>
    </row>
    <row r="1186" spans="1:4" x14ac:dyDescent="0.25">
      <c r="A1186">
        <v>2023</v>
      </c>
      <c r="B1186" t="s">
        <v>14</v>
      </c>
      <c r="C1186" t="s">
        <v>5</v>
      </c>
      <c r="D1186">
        <v>175000</v>
      </c>
    </row>
    <row r="1187" spans="1:4" x14ac:dyDescent="0.25">
      <c r="A1187">
        <v>2023</v>
      </c>
      <c r="B1187" t="s">
        <v>14</v>
      </c>
      <c r="C1187" t="s">
        <v>5</v>
      </c>
      <c r="D1187">
        <v>281600</v>
      </c>
    </row>
    <row r="1188" spans="1:4" x14ac:dyDescent="0.25">
      <c r="A1188">
        <v>2023</v>
      </c>
      <c r="B1188" t="s">
        <v>14</v>
      </c>
      <c r="C1188" t="s">
        <v>5</v>
      </c>
      <c r="D1188">
        <v>2704200</v>
      </c>
    </row>
    <row r="1189" spans="1:4" x14ac:dyDescent="0.25">
      <c r="A1189">
        <v>2023</v>
      </c>
      <c r="B1189" t="s">
        <v>14</v>
      </c>
      <c r="C1189" t="s">
        <v>5</v>
      </c>
      <c r="D1189">
        <v>581600</v>
      </c>
    </row>
    <row r="1190" spans="1:4" x14ac:dyDescent="0.25">
      <c r="A1190">
        <v>2023</v>
      </c>
      <c r="B1190" t="s">
        <v>14</v>
      </c>
      <c r="C1190" t="s">
        <v>5</v>
      </c>
      <c r="D1190">
        <v>349600</v>
      </c>
    </row>
    <row r="1191" spans="1:4" x14ac:dyDescent="0.25">
      <c r="A1191">
        <v>2023</v>
      </c>
      <c r="B1191" t="s">
        <v>14</v>
      </c>
      <c r="C1191" t="s">
        <v>5</v>
      </c>
      <c r="D1191">
        <v>153000</v>
      </c>
    </row>
    <row r="1192" spans="1:4" x14ac:dyDescent="0.25">
      <c r="A1192">
        <v>2023</v>
      </c>
      <c r="B1192" t="s">
        <v>14</v>
      </c>
      <c r="C1192" t="s">
        <v>5</v>
      </c>
      <c r="D1192">
        <v>81600</v>
      </c>
    </row>
    <row r="1193" spans="1:4" x14ac:dyDescent="0.25">
      <c r="A1193">
        <v>2023</v>
      </c>
      <c r="B1193" t="s">
        <v>14</v>
      </c>
      <c r="C1193" t="s">
        <v>5</v>
      </c>
      <c r="D1193">
        <v>12432000</v>
      </c>
    </row>
    <row r="1194" spans="1:4" x14ac:dyDescent="0.25">
      <c r="A1194">
        <v>2023</v>
      </c>
      <c r="B1194" t="s">
        <v>14</v>
      </c>
      <c r="C1194" t="s">
        <v>5</v>
      </c>
      <c r="D1194">
        <v>1028484</v>
      </c>
    </row>
    <row r="1195" spans="1:4" x14ac:dyDescent="0.25">
      <c r="A1195">
        <v>2023</v>
      </c>
      <c r="B1195" t="s">
        <v>14</v>
      </c>
      <c r="C1195" t="s">
        <v>5</v>
      </c>
      <c r="D1195">
        <v>10981000</v>
      </c>
    </row>
    <row r="1196" spans="1:4" x14ac:dyDescent="0.25">
      <c r="A1196">
        <v>2023</v>
      </c>
      <c r="B1196" t="s">
        <v>14</v>
      </c>
      <c r="C1196" t="s">
        <v>6</v>
      </c>
      <c r="D1196">
        <v>357634500</v>
      </c>
    </row>
    <row r="1197" spans="1:4" x14ac:dyDescent="0.25">
      <c r="A1197">
        <v>2023</v>
      </c>
      <c r="B1197" t="s">
        <v>14</v>
      </c>
      <c r="C1197" t="s">
        <v>6</v>
      </c>
      <c r="D1197">
        <v>231488855</v>
      </c>
    </row>
    <row r="1198" spans="1:4" x14ac:dyDescent="0.25">
      <c r="A1198">
        <v>2023</v>
      </c>
      <c r="B1198" t="s">
        <v>14</v>
      </c>
      <c r="C1198" t="s">
        <v>6</v>
      </c>
      <c r="D1198">
        <v>3500000</v>
      </c>
    </row>
    <row r="1199" spans="1:4" x14ac:dyDescent="0.25">
      <c r="A1199">
        <v>2023</v>
      </c>
      <c r="B1199" t="s">
        <v>14</v>
      </c>
      <c r="C1199" t="s">
        <v>6</v>
      </c>
      <c r="D1199">
        <v>1603600</v>
      </c>
    </row>
    <row r="1200" spans="1:4" x14ac:dyDescent="0.25">
      <c r="A1200">
        <v>2023</v>
      </c>
      <c r="B1200" t="s">
        <v>14</v>
      </c>
      <c r="C1200" t="s">
        <v>6</v>
      </c>
      <c r="D1200">
        <v>54400</v>
      </c>
    </row>
    <row r="1201" spans="1:4" x14ac:dyDescent="0.25">
      <c r="A1201">
        <v>2023</v>
      </c>
      <c r="B1201" t="s">
        <v>14</v>
      </c>
      <c r="C1201" t="s">
        <v>6</v>
      </c>
      <c r="D1201">
        <v>399800</v>
      </c>
    </row>
    <row r="1202" spans="1:4" x14ac:dyDescent="0.25">
      <c r="A1202">
        <v>2023</v>
      </c>
      <c r="B1202" t="s">
        <v>14</v>
      </c>
      <c r="C1202" t="s">
        <v>6</v>
      </c>
      <c r="D1202">
        <v>24400</v>
      </c>
    </row>
    <row r="1203" spans="1:4" x14ac:dyDescent="0.25">
      <c r="A1203">
        <v>2023</v>
      </c>
      <c r="B1203" t="s">
        <v>14</v>
      </c>
      <c r="C1203" t="s">
        <v>6</v>
      </c>
      <c r="D1203">
        <v>3400</v>
      </c>
    </row>
    <row r="1204" spans="1:4" x14ac:dyDescent="0.25">
      <c r="A1204">
        <v>2023</v>
      </c>
      <c r="B1204" t="s">
        <v>14</v>
      </c>
      <c r="C1204" t="s">
        <v>6</v>
      </c>
      <c r="D1204">
        <v>54800</v>
      </c>
    </row>
    <row r="1205" spans="1:4" x14ac:dyDescent="0.25">
      <c r="A1205">
        <v>2023</v>
      </c>
      <c r="B1205" t="s">
        <v>14</v>
      </c>
      <c r="C1205" t="s">
        <v>6</v>
      </c>
      <c r="D1205">
        <v>45600</v>
      </c>
    </row>
    <row r="1206" spans="1:4" x14ac:dyDescent="0.25">
      <c r="A1206">
        <v>2023</v>
      </c>
      <c r="B1206" t="s">
        <v>14</v>
      </c>
      <c r="C1206" t="s">
        <v>6</v>
      </c>
      <c r="D1206">
        <v>1624300</v>
      </c>
    </row>
    <row r="1207" spans="1:4" x14ac:dyDescent="0.25">
      <c r="A1207">
        <v>2023</v>
      </c>
      <c r="B1207" t="s">
        <v>14</v>
      </c>
      <c r="C1207" t="s">
        <v>6</v>
      </c>
      <c r="D1207">
        <v>17400</v>
      </c>
    </row>
    <row r="1208" spans="1:4" x14ac:dyDescent="0.25">
      <c r="A1208">
        <v>2023</v>
      </c>
      <c r="B1208" t="s">
        <v>14</v>
      </c>
      <c r="C1208" t="s">
        <v>6</v>
      </c>
      <c r="D1208">
        <v>20200</v>
      </c>
    </row>
    <row r="1209" spans="1:4" x14ac:dyDescent="0.25">
      <c r="A1209">
        <v>2023</v>
      </c>
      <c r="B1209" t="s">
        <v>14</v>
      </c>
      <c r="C1209" t="s">
        <v>6</v>
      </c>
      <c r="D1209">
        <v>1400</v>
      </c>
    </row>
    <row r="1210" spans="1:4" x14ac:dyDescent="0.25">
      <c r="A1210">
        <v>2023</v>
      </c>
      <c r="B1210" t="s">
        <v>14</v>
      </c>
      <c r="C1210" t="s">
        <v>6</v>
      </c>
      <c r="D1210">
        <v>3526500</v>
      </c>
    </row>
    <row r="1211" spans="1:4" x14ac:dyDescent="0.25">
      <c r="A1211">
        <v>2023</v>
      </c>
      <c r="B1211" t="s">
        <v>14</v>
      </c>
      <c r="C1211" t="s">
        <v>6</v>
      </c>
      <c r="D1211">
        <v>277388</v>
      </c>
    </row>
    <row r="1212" spans="1:4" x14ac:dyDescent="0.25">
      <c r="A1212">
        <v>2023</v>
      </c>
      <c r="B1212" t="s">
        <v>14</v>
      </c>
      <c r="C1212" t="s">
        <v>6</v>
      </c>
      <c r="D1212">
        <v>3688457</v>
      </c>
    </row>
    <row r="1213" spans="1:4" x14ac:dyDescent="0.25">
      <c r="A1213">
        <v>2023</v>
      </c>
      <c r="B1213" t="s">
        <v>14</v>
      </c>
      <c r="C1213" t="s">
        <v>7</v>
      </c>
      <c r="D1213">
        <v>1000000</v>
      </c>
    </row>
    <row r="1214" spans="1:4" x14ac:dyDescent="0.25">
      <c r="A1214">
        <v>2023</v>
      </c>
      <c r="B1214" t="s">
        <v>14</v>
      </c>
      <c r="C1214" t="s">
        <v>8</v>
      </c>
      <c r="D1214">
        <v>8490721</v>
      </c>
    </row>
    <row r="1215" spans="1:4" x14ac:dyDescent="0.25">
      <c r="A1215">
        <v>2023</v>
      </c>
      <c r="B1215" t="s">
        <v>14</v>
      </c>
      <c r="C1215" t="s">
        <v>8</v>
      </c>
      <c r="D1215">
        <v>200000</v>
      </c>
    </row>
    <row r="1216" spans="1:4" x14ac:dyDescent="0.25">
      <c r="A1216">
        <v>2023</v>
      </c>
      <c r="B1216" t="s">
        <v>14</v>
      </c>
      <c r="C1216" t="s">
        <v>8</v>
      </c>
      <c r="D1216">
        <v>2000</v>
      </c>
    </row>
    <row r="1217" spans="1:4" x14ac:dyDescent="0.25">
      <c r="A1217">
        <v>2023</v>
      </c>
      <c r="B1217" t="s">
        <v>14</v>
      </c>
      <c r="C1217" t="s">
        <v>8</v>
      </c>
      <c r="D1217">
        <v>100000</v>
      </c>
    </row>
    <row r="1218" spans="1:4" x14ac:dyDescent="0.25">
      <c r="A1218">
        <v>2023</v>
      </c>
      <c r="B1218" t="s">
        <v>14</v>
      </c>
      <c r="C1218" t="s">
        <v>8</v>
      </c>
      <c r="D1218">
        <v>245000</v>
      </c>
    </row>
    <row r="1219" spans="1:4" x14ac:dyDescent="0.25">
      <c r="A1219">
        <v>2023</v>
      </c>
      <c r="B1219" t="s">
        <v>14</v>
      </c>
      <c r="C1219" t="s">
        <v>8</v>
      </c>
      <c r="D1219">
        <v>30029</v>
      </c>
    </row>
    <row r="1220" spans="1:4" x14ac:dyDescent="0.25">
      <c r="A1220">
        <v>2023</v>
      </c>
      <c r="B1220" t="s">
        <v>14</v>
      </c>
      <c r="C1220" t="s">
        <v>8</v>
      </c>
      <c r="D1220">
        <v>570250</v>
      </c>
    </row>
    <row r="1221" spans="1:4" x14ac:dyDescent="0.25">
      <c r="A1221">
        <v>2023</v>
      </c>
      <c r="B1221" t="s">
        <v>15</v>
      </c>
      <c r="C1221" t="s">
        <v>5</v>
      </c>
      <c r="D1221">
        <v>399952</v>
      </c>
    </row>
    <row r="1222" spans="1:4" x14ac:dyDescent="0.25">
      <c r="A1222">
        <v>2023</v>
      </c>
      <c r="B1222" t="s">
        <v>15</v>
      </c>
      <c r="C1222" t="s">
        <v>5</v>
      </c>
      <c r="D1222">
        <v>14621796</v>
      </c>
    </row>
    <row r="1223" spans="1:4" x14ac:dyDescent="0.25">
      <c r="A1223">
        <v>2023</v>
      </c>
      <c r="B1223" t="s">
        <v>15</v>
      </c>
      <c r="C1223" t="s">
        <v>5</v>
      </c>
      <c r="D1223">
        <v>142711037</v>
      </c>
    </row>
    <row r="1224" spans="1:4" x14ac:dyDescent="0.25">
      <c r="A1224">
        <v>2023</v>
      </c>
      <c r="B1224" t="s">
        <v>15</v>
      </c>
      <c r="C1224" t="s">
        <v>5</v>
      </c>
      <c r="D1224">
        <v>18079992</v>
      </c>
    </row>
    <row r="1225" spans="1:4" x14ac:dyDescent="0.25">
      <c r="A1225">
        <v>2023</v>
      </c>
      <c r="B1225" t="s">
        <v>15</v>
      </c>
      <c r="C1225" t="s">
        <v>5</v>
      </c>
      <c r="D1225">
        <v>8550948</v>
      </c>
    </row>
    <row r="1226" spans="1:4" x14ac:dyDescent="0.25">
      <c r="A1226">
        <v>2023</v>
      </c>
      <c r="B1226" t="s">
        <v>15</v>
      </c>
      <c r="C1226" t="s">
        <v>5</v>
      </c>
      <c r="D1226">
        <v>15328404</v>
      </c>
    </row>
    <row r="1227" spans="1:4" x14ac:dyDescent="0.25">
      <c r="A1227">
        <v>2023</v>
      </c>
      <c r="B1227" t="s">
        <v>15</v>
      </c>
      <c r="C1227" t="s">
        <v>5</v>
      </c>
      <c r="D1227">
        <v>13547112</v>
      </c>
    </row>
    <row r="1228" spans="1:4" x14ac:dyDescent="0.25">
      <c r="A1228">
        <v>2023</v>
      </c>
      <c r="B1228" t="s">
        <v>15</v>
      </c>
      <c r="C1228" t="s">
        <v>5</v>
      </c>
      <c r="D1228">
        <v>6567202</v>
      </c>
    </row>
    <row r="1229" spans="1:4" x14ac:dyDescent="0.25">
      <c r="A1229">
        <v>2023</v>
      </c>
      <c r="B1229" t="s">
        <v>15</v>
      </c>
      <c r="C1229" t="s">
        <v>5</v>
      </c>
      <c r="D1229">
        <v>70000</v>
      </c>
    </row>
    <row r="1230" spans="1:4" x14ac:dyDescent="0.25">
      <c r="A1230">
        <v>2023</v>
      </c>
      <c r="B1230" t="s">
        <v>15</v>
      </c>
      <c r="C1230" t="s">
        <v>5</v>
      </c>
      <c r="D1230">
        <v>1348782</v>
      </c>
    </row>
    <row r="1231" spans="1:4" x14ac:dyDescent="0.25">
      <c r="A1231">
        <v>2023</v>
      </c>
      <c r="B1231" t="s">
        <v>15</v>
      </c>
      <c r="C1231" t="s">
        <v>5</v>
      </c>
      <c r="D1231">
        <v>932199</v>
      </c>
    </row>
    <row r="1232" spans="1:4" x14ac:dyDescent="0.25">
      <c r="A1232">
        <v>2023</v>
      </c>
      <c r="B1232" t="s">
        <v>15</v>
      </c>
      <c r="C1232" t="s">
        <v>5</v>
      </c>
      <c r="D1232">
        <v>8350000</v>
      </c>
    </row>
    <row r="1233" spans="1:4" x14ac:dyDescent="0.25">
      <c r="A1233">
        <v>2023</v>
      </c>
      <c r="B1233" t="s">
        <v>15</v>
      </c>
      <c r="C1233" t="s">
        <v>5</v>
      </c>
      <c r="D1233">
        <v>4083576</v>
      </c>
    </row>
    <row r="1234" spans="1:4" x14ac:dyDescent="0.25">
      <c r="A1234">
        <v>2023</v>
      </c>
      <c r="B1234" t="s">
        <v>15</v>
      </c>
      <c r="C1234" t="s">
        <v>5</v>
      </c>
      <c r="D1234">
        <v>2200000</v>
      </c>
    </row>
    <row r="1235" spans="1:4" x14ac:dyDescent="0.25">
      <c r="A1235">
        <v>2023</v>
      </c>
      <c r="B1235" t="s">
        <v>15</v>
      </c>
      <c r="C1235" t="s">
        <v>6</v>
      </c>
      <c r="D1235">
        <v>3480093</v>
      </c>
    </row>
    <row r="1236" spans="1:4" x14ac:dyDescent="0.25">
      <c r="A1236">
        <v>2023</v>
      </c>
      <c r="B1236" t="s">
        <v>15</v>
      </c>
      <c r="C1236" t="s">
        <v>6</v>
      </c>
      <c r="D1236">
        <v>153952442</v>
      </c>
    </row>
    <row r="1237" spans="1:4" x14ac:dyDescent="0.25">
      <c r="A1237">
        <v>2023</v>
      </c>
      <c r="B1237" t="s">
        <v>15</v>
      </c>
      <c r="C1237" t="s">
        <v>6</v>
      </c>
      <c r="D1237">
        <v>2284956</v>
      </c>
    </row>
    <row r="1238" spans="1:4" x14ac:dyDescent="0.25">
      <c r="A1238">
        <v>2023</v>
      </c>
      <c r="B1238" t="s">
        <v>15</v>
      </c>
      <c r="C1238" t="s">
        <v>6</v>
      </c>
      <c r="D1238">
        <v>1414600</v>
      </c>
    </row>
    <row r="1239" spans="1:4" x14ac:dyDescent="0.25">
      <c r="A1239">
        <v>2023</v>
      </c>
      <c r="B1239" t="s">
        <v>15</v>
      </c>
      <c r="C1239" t="s">
        <v>6</v>
      </c>
      <c r="D1239">
        <v>1568574</v>
      </c>
    </row>
    <row r="1240" spans="1:4" x14ac:dyDescent="0.25">
      <c r="A1240">
        <v>2023</v>
      </c>
      <c r="B1240" t="s">
        <v>15</v>
      </c>
      <c r="C1240" t="s">
        <v>6</v>
      </c>
      <c r="D1240">
        <v>1706350</v>
      </c>
    </row>
    <row r="1241" spans="1:4" x14ac:dyDescent="0.25">
      <c r="A1241">
        <v>2023</v>
      </c>
      <c r="B1241" t="s">
        <v>15</v>
      </c>
      <c r="C1241" t="s">
        <v>6</v>
      </c>
      <c r="D1241">
        <v>2502342</v>
      </c>
    </row>
    <row r="1242" spans="1:4" x14ac:dyDescent="0.25">
      <c r="A1242">
        <v>2023</v>
      </c>
      <c r="B1242" t="s">
        <v>15</v>
      </c>
      <c r="C1242" t="s">
        <v>6</v>
      </c>
      <c r="D1242">
        <v>440000</v>
      </c>
    </row>
    <row r="1243" spans="1:4" x14ac:dyDescent="0.25">
      <c r="A1243">
        <v>2023</v>
      </c>
      <c r="B1243" t="s">
        <v>15</v>
      </c>
      <c r="C1243" t="s">
        <v>6</v>
      </c>
      <c r="D1243">
        <v>3865148</v>
      </c>
    </row>
    <row r="1244" spans="1:4" x14ac:dyDescent="0.25">
      <c r="A1244">
        <v>2023</v>
      </c>
      <c r="B1244" t="s">
        <v>15</v>
      </c>
      <c r="C1244" t="s">
        <v>6</v>
      </c>
      <c r="D1244">
        <v>2090836</v>
      </c>
    </row>
    <row r="1245" spans="1:4" x14ac:dyDescent="0.25">
      <c r="A1245">
        <v>2023</v>
      </c>
      <c r="B1245" t="s">
        <v>15</v>
      </c>
      <c r="C1245" t="s">
        <v>6</v>
      </c>
      <c r="D1245">
        <v>11740035</v>
      </c>
    </row>
    <row r="1246" spans="1:4" x14ac:dyDescent="0.25">
      <c r="A1246">
        <v>2023</v>
      </c>
      <c r="B1246" t="s">
        <v>15</v>
      </c>
      <c r="C1246" t="s">
        <v>6</v>
      </c>
      <c r="D1246">
        <v>5109000</v>
      </c>
    </row>
    <row r="1247" spans="1:4" x14ac:dyDescent="0.25">
      <c r="A1247">
        <v>2023</v>
      </c>
      <c r="B1247" t="s">
        <v>15</v>
      </c>
      <c r="C1247" t="s">
        <v>6</v>
      </c>
      <c r="D1247">
        <v>1381624</v>
      </c>
    </row>
    <row r="1248" spans="1:4" x14ac:dyDescent="0.25">
      <c r="A1248">
        <v>2023</v>
      </c>
      <c r="B1248" t="s">
        <v>15</v>
      </c>
      <c r="C1248" t="s">
        <v>19</v>
      </c>
      <c r="D1248">
        <v>70000</v>
      </c>
    </row>
    <row r="1249" spans="1:4" x14ac:dyDescent="0.25">
      <c r="A1249">
        <v>2023</v>
      </c>
      <c r="B1249" t="s">
        <v>15</v>
      </c>
      <c r="C1249" t="s">
        <v>8</v>
      </c>
      <c r="D1249">
        <v>67386004</v>
      </c>
    </row>
    <row r="1250" spans="1:4" x14ac:dyDescent="0.25">
      <c r="A1250">
        <v>2023</v>
      </c>
      <c r="B1250" t="s">
        <v>15</v>
      </c>
      <c r="C1250" t="s">
        <v>8</v>
      </c>
      <c r="D1250">
        <v>10000</v>
      </c>
    </row>
    <row r="1251" spans="1:4" x14ac:dyDescent="0.25">
      <c r="A1251">
        <v>2023</v>
      </c>
      <c r="B1251" t="s">
        <v>15</v>
      </c>
      <c r="C1251" t="s">
        <v>8</v>
      </c>
      <c r="D1251">
        <v>150000</v>
      </c>
    </row>
    <row r="1252" spans="1:4" x14ac:dyDescent="0.25">
      <c r="A1252">
        <v>2023</v>
      </c>
      <c r="B1252" t="s">
        <v>15</v>
      </c>
      <c r="C1252" t="s">
        <v>8</v>
      </c>
      <c r="D1252">
        <v>10000</v>
      </c>
    </row>
    <row r="1253" spans="1:4" x14ac:dyDescent="0.25">
      <c r="A1253">
        <v>2023</v>
      </c>
      <c r="B1253" t="s">
        <v>15</v>
      </c>
      <c r="C1253" t="s">
        <v>8</v>
      </c>
      <c r="D1253">
        <v>25000</v>
      </c>
    </row>
    <row r="1254" spans="1:4" x14ac:dyDescent="0.25">
      <c r="A1254">
        <v>2023</v>
      </c>
      <c r="B1254" t="s">
        <v>15</v>
      </c>
      <c r="C1254" t="s">
        <v>8</v>
      </c>
      <c r="D1254">
        <v>10000</v>
      </c>
    </row>
    <row r="1255" spans="1:4" x14ac:dyDescent="0.25">
      <c r="A1255">
        <v>2023</v>
      </c>
      <c r="B1255" t="s">
        <v>15</v>
      </c>
      <c r="C1255" t="s">
        <v>8</v>
      </c>
      <c r="D1255">
        <v>405500</v>
      </c>
    </row>
    <row r="1256" spans="1:4" x14ac:dyDescent="0.25">
      <c r="A1256">
        <v>2023</v>
      </c>
      <c r="B1256" t="s">
        <v>15</v>
      </c>
      <c r="C1256" t="s">
        <v>8</v>
      </c>
      <c r="D1256">
        <v>34185</v>
      </c>
    </row>
    <row r="1257" spans="1:4" x14ac:dyDescent="0.25">
      <c r="A1257">
        <v>2023</v>
      </c>
      <c r="B1257" t="s">
        <v>15</v>
      </c>
      <c r="C1257" t="s">
        <v>8</v>
      </c>
      <c r="D1257">
        <v>458441</v>
      </c>
    </row>
    <row r="1258" spans="1:4" x14ac:dyDescent="0.25">
      <c r="A1258">
        <v>2023</v>
      </c>
      <c r="B1258" t="s">
        <v>15</v>
      </c>
      <c r="C1258" t="s">
        <v>8</v>
      </c>
      <c r="D1258">
        <v>40000</v>
      </c>
    </row>
    <row r="1259" spans="1:4" x14ac:dyDescent="0.25">
      <c r="A1259">
        <v>2023</v>
      </c>
      <c r="B1259" t="s">
        <v>15</v>
      </c>
      <c r="C1259" t="s">
        <v>8</v>
      </c>
      <c r="D1259">
        <v>14870</v>
      </c>
    </row>
    <row r="1260" spans="1:4" x14ac:dyDescent="0.25">
      <c r="A1260">
        <v>2023</v>
      </c>
      <c r="B1260" t="s">
        <v>16</v>
      </c>
      <c r="C1260" t="s">
        <v>5</v>
      </c>
      <c r="D1260">
        <v>109874</v>
      </c>
    </row>
    <row r="1261" spans="1:4" x14ac:dyDescent="0.25">
      <c r="A1261">
        <v>2023</v>
      </c>
      <c r="B1261" t="s">
        <v>16</v>
      </c>
      <c r="C1261" t="s">
        <v>5</v>
      </c>
      <c r="D1261">
        <v>34905390</v>
      </c>
    </row>
    <row r="1262" spans="1:4" x14ac:dyDescent="0.25">
      <c r="A1262">
        <v>2023</v>
      </c>
      <c r="B1262" t="s">
        <v>16</v>
      </c>
      <c r="C1262" t="s">
        <v>5</v>
      </c>
      <c r="D1262">
        <v>44382736</v>
      </c>
    </row>
    <row r="1263" spans="1:4" x14ac:dyDescent="0.25">
      <c r="A1263">
        <v>2023</v>
      </c>
      <c r="B1263" t="s">
        <v>16</v>
      </c>
      <c r="C1263" t="s">
        <v>6</v>
      </c>
      <c r="D1263">
        <v>1659720</v>
      </c>
    </row>
    <row r="1264" spans="1:4" x14ac:dyDescent="0.25">
      <c r="A1264">
        <v>2023</v>
      </c>
      <c r="B1264" t="s">
        <v>16</v>
      </c>
      <c r="C1264" t="s">
        <v>6</v>
      </c>
      <c r="D1264">
        <v>34166280</v>
      </c>
    </row>
    <row r="1265" spans="1:4" x14ac:dyDescent="0.25">
      <c r="A1265">
        <v>2023</v>
      </c>
      <c r="B1265" t="s">
        <v>16</v>
      </c>
      <c r="C1265" t="s">
        <v>19</v>
      </c>
      <c r="D1265">
        <v>10000</v>
      </c>
    </row>
    <row r="1266" spans="1:4" x14ac:dyDescent="0.25">
      <c r="A1266">
        <v>2023</v>
      </c>
      <c r="B1266" t="s">
        <v>16</v>
      </c>
      <c r="C1266" t="s">
        <v>8</v>
      </c>
      <c r="D1266">
        <v>8365000</v>
      </c>
    </row>
    <row r="1267" spans="1:4" x14ac:dyDescent="0.25">
      <c r="A1267">
        <v>2023</v>
      </c>
      <c r="B1267" t="s">
        <v>17</v>
      </c>
      <c r="C1267" t="s">
        <v>5</v>
      </c>
      <c r="D1267">
        <v>5066900</v>
      </c>
    </row>
    <row r="1268" spans="1:4" x14ac:dyDescent="0.25">
      <c r="A1268">
        <v>2023</v>
      </c>
      <c r="B1268" t="s">
        <v>17</v>
      </c>
      <c r="C1268" t="s">
        <v>5</v>
      </c>
      <c r="D1268">
        <v>98580707</v>
      </c>
    </row>
    <row r="1269" spans="1:4" x14ac:dyDescent="0.25">
      <c r="A1269">
        <v>2023</v>
      </c>
      <c r="B1269" t="s">
        <v>17</v>
      </c>
      <c r="C1269" t="s">
        <v>5</v>
      </c>
      <c r="D1269">
        <v>28432393</v>
      </c>
    </row>
    <row r="1270" spans="1:4" x14ac:dyDescent="0.25">
      <c r="A1270">
        <v>2023</v>
      </c>
      <c r="B1270" t="s">
        <v>17</v>
      </c>
      <c r="C1270" t="s">
        <v>6</v>
      </c>
      <c r="D1270">
        <v>143926000</v>
      </c>
    </row>
    <row r="1271" spans="1:4" x14ac:dyDescent="0.25">
      <c r="A1271">
        <v>2023</v>
      </c>
      <c r="B1271" t="s">
        <v>17</v>
      </c>
      <c r="C1271" t="s">
        <v>19</v>
      </c>
      <c r="D1271">
        <v>100000</v>
      </c>
    </row>
    <row r="1272" spans="1:4" x14ac:dyDescent="0.25">
      <c r="A1272">
        <v>2023</v>
      </c>
      <c r="B1272" t="s">
        <v>17</v>
      </c>
      <c r="C1272" t="s">
        <v>8</v>
      </c>
      <c r="D1272">
        <v>2100000</v>
      </c>
    </row>
    <row r="1273" spans="1:4" x14ac:dyDescent="0.25">
      <c r="A1273">
        <v>2023</v>
      </c>
      <c r="B1273" t="s">
        <v>18</v>
      </c>
      <c r="C1273" t="s">
        <v>5</v>
      </c>
      <c r="D1273">
        <v>999731</v>
      </c>
    </row>
    <row r="1274" spans="1:4" x14ac:dyDescent="0.25">
      <c r="A1274">
        <v>2023</v>
      </c>
      <c r="B1274" t="s">
        <v>18</v>
      </c>
      <c r="C1274" t="s">
        <v>5</v>
      </c>
      <c r="D1274">
        <v>81159296</v>
      </c>
    </row>
    <row r="1275" spans="1:4" x14ac:dyDescent="0.25">
      <c r="A1275">
        <v>2023</v>
      </c>
      <c r="B1275" t="s">
        <v>18</v>
      </c>
      <c r="C1275" t="s">
        <v>5</v>
      </c>
      <c r="D1275">
        <v>37095778</v>
      </c>
    </row>
    <row r="1276" spans="1:4" x14ac:dyDescent="0.25">
      <c r="A1276">
        <v>2023</v>
      </c>
      <c r="B1276" t="s">
        <v>18</v>
      </c>
      <c r="C1276" t="s">
        <v>5</v>
      </c>
      <c r="D1276">
        <v>3159607</v>
      </c>
    </row>
    <row r="1277" spans="1:4" x14ac:dyDescent="0.25">
      <c r="A1277">
        <v>2023</v>
      </c>
      <c r="B1277" t="s">
        <v>18</v>
      </c>
      <c r="C1277" t="s">
        <v>5</v>
      </c>
      <c r="D1277">
        <v>924953</v>
      </c>
    </row>
    <row r="1278" spans="1:4" x14ac:dyDescent="0.25">
      <c r="A1278">
        <v>2023</v>
      </c>
      <c r="B1278" t="s">
        <v>18</v>
      </c>
      <c r="C1278" t="s">
        <v>5</v>
      </c>
      <c r="D1278">
        <v>1342538</v>
      </c>
    </row>
    <row r="1279" spans="1:4" x14ac:dyDescent="0.25">
      <c r="A1279">
        <v>2023</v>
      </c>
      <c r="B1279" t="s">
        <v>18</v>
      </c>
      <c r="C1279" t="s">
        <v>5</v>
      </c>
      <c r="D1279">
        <v>5063550</v>
      </c>
    </row>
    <row r="1280" spans="1:4" x14ac:dyDescent="0.25">
      <c r="A1280">
        <v>2023</v>
      </c>
      <c r="B1280" t="s">
        <v>18</v>
      </c>
      <c r="C1280" t="s">
        <v>5</v>
      </c>
      <c r="D1280">
        <v>1896402</v>
      </c>
    </row>
    <row r="1281" spans="1:4" x14ac:dyDescent="0.25">
      <c r="A1281">
        <v>2023</v>
      </c>
      <c r="B1281" t="s">
        <v>18</v>
      </c>
      <c r="C1281" t="s">
        <v>5</v>
      </c>
      <c r="D1281">
        <v>899853</v>
      </c>
    </row>
    <row r="1282" spans="1:4" x14ac:dyDescent="0.25">
      <c r="A1282">
        <v>2023</v>
      </c>
      <c r="B1282" t="s">
        <v>18</v>
      </c>
      <c r="C1282" t="s">
        <v>5</v>
      </c>
      <c r="D1282">
        <v>2093842</v>
      </c>
    </row>
    <row r="1283" spans="1:4" x14ac:dyDescent="0.25">
      <c r="A1283">
        <v>2023</v>
      </c>
      <c r="B1283" t="s">
        <v>18</v>
      </c>
      <c r="C1283" t="s">
        <v>5</v>
      </c>
      <c r="D1283">
        <v>1589238</v>
      </c>
    </row>
    <row r="1284" spans="1:4" x14ac:dyDescent="0.25">
      <c r="A1284">
        <v>2023</v>
      </c>
      <c r="B1284" t="s">
        <v>18</v>
      </c>
      <c r="C1284" t="s">
        <v>5</v>
      </c>
      <c r="D1284">
        <v>2511080</v>
      </c>
    </row>
    <row r="1285" spans="1:4" x14ac:dyDescent="0.25">
      <c r="A1285">
        <v>2023</v>
      </c>
      <c r="B1285" t="s">
        <v>18</v>
      </c>
      <c r="C1285" t="s">
        <v>5</v>
      </c>
      <c r="D1285">
        <v>4262732</v>
      </c>
    </row>
    <row r="1286" spans="1:4" x14ac:dyDescent="0.25">
      <c r="A1286">
        <v>2023</v>
      </c>
      <c r="B1286" t="s">
        <v>18</v>
      </c>
      <c r="C1286" t="s">
        <v>5</v>
      </c>
      <c r="D1286">
        <v>519800</v>
      </c>
    </row>
    <row r="1287" spans="1:4" x14ac:dyDescent="0.25">
      <c r="A1287">
        <v>2023</v>
      </c>
      <c r="B1287" t="s">
        <v>18</v>
      </c>
      <c r="C1287" t="s">
        <v>5</v>
      </c>
      <c r="D1287">
        <v>713600</v>
      </c>
    </row>
    <row r="1288" spans="1:4" x14ac:dyDescent="0.25">
      <c r="A1288">
        <v>2023</v>
      </c>
      <c r="B1288" t="s">
        <v>18</v>
      </c>
      <c r="C1288" t="s">
        <v>6</v>
      </c>
      <c r="D1288">
        <v>80808537</v>
      </c>
    </row>
    <row r="1289" spans="1:4" x14ac:dyDescent="0.25">
      <c r="A1289">
        <v>2023</v>
      </c>
      <c r="B1289" t="s">
        <v>18</v>
      </c>
      <c r="C1289" t="s">
        <v>6</v>
      </c>
      <c r="D1289">
        <v>15276963</v>
      </c>
    </row>
    <row r="1290" spans="1:4" x14ac:dyDescent="0.25">
      <c r="A1290">
        <v>2023</v>
      </c>
      <c r="B1290" t="s">
        <v>18</v>
      </c>
      <c r="C1290" t="s">
        <v>6</v>
      </c>
      <c r="D1290">
        <v>166750</v>
      </c>
    </row>
    <row r="1291" spans="1:4" x14ac:dyDescent="0.25">
      <c r="A1291">
        <v>2023</v>
      </c>
      <c r="B1291" t="s">
        <v>18</v>
      </c>
      <c r="C1291" t="s">
        <v>6</v>
      </c>
      <c r="D1291">
        <v>182750</v>
      </c>
    </row>
    <row r="1292" spans="1:4" x14ac:dyDescent="0.25">
      <c r="A1292">
        <v>2023</v>
      </c>
      <c r="B1292" t="s">
        <v>18</v>
      </c>
      <c r="C1292" t="s">
        <v>6</v>
      </c>
      <c r="D1292">
        <v>239000</v>
      </c>
    </row>
    <row r="1293" spans="1:4" x14ac:dyDescent="0.25">
      <c r="A1293">
        <v>2023</v>
      </c>
      <c r="B1293" t="s">
        <v>18</v>
      </c>
      <c r="C1293" t="s">
        <v>6</v>
      </c>
      <c r="D1293">
        <v>913750</v>
      </c>
    </row>
    <row r="1294" spans="1:4" x14ac:dyDescent="0.25">
      <c r="A1294">
        <v>2023</v>
      </c>
      <c r="B1294" t="s">
        <v>18</v>
      </c>
      <c r="C1294" t="s">
        <v>6</v>
      </c>
      <c r="D1294">
        <v>799250</v>
      </c>
    </row>
    <row r="1295" spans="1:4" x14ac:dyDescent="0.25">
      <c r="A1295">
        <v>2023</v>
      </c>
      <c r="B1295" t="s">
        <v>18</v>
      </c>
      <c r="C1295" t="s">
        <v>19</v>
      </c>
      <c r="D1295">
        <v>50000</v>
      </c>
    </row>
    <row r="1296" spans="1:4" x14ac:dyDescent="0.25">
      <c r="A1296">
        <v>2023</v>
      </c>
      <c r="B1296" t="s">
        <v>18</v>
      </c>
      <c r="C1296" t="s">
        <v>8</v>
      </c>
      <c r="D1296">
        <v>3974454</v>
      </c>
    </row>
    <row r="1297" spans="1:4" x14ac:dyDescent="0.25">
      <c r="A1297">
        <v>2023</v>
      </c>
      <c r="B1297" t="s">
        <v>18</v>
      </c>
      <c r="C1297" t="s">
        <v>8</v>
      </c>
      <c r="D1297">
        <v>1005546</v>
      </c>
    </row>
    <row r="1298" spans="1:4" x14ac:dyDescent="0.25">
      <c r="A1298">
        <v>2023</v>
      </c>
      <c r="B1298" t="s">
        <v>18</v>
      </c>
      <c r="C1298" t="s">
        <v>8</v>
      </c>
      <c r="D1298">
        <v>300000</v>
      </c>
    </row>
    <row r="1299" spans="1:4" x14ac:dyDescent="0.25">
      <c r="A1299">
        <v>2023</v>
      </c>
      <c r="B1299" t="s">
        <v>20</v>
      </c>
      <c r="C1299" t="s">
        <v>5</v>
      </c>
      <c r="D1299">
        <v>119214000</v>
      </c>
    </row>
    <row r="1300" spans="1:4" x14ac:dyDescent="0.25">
      <c r="A1300">
        <v>2023</v>
      </c>
      <c r="B1300" t="s">
        <v>20</v>
      </c>
      <c r="C1300" t="s">
        <v>6</v>
      </c>
      <c r="D1300">
        <v>12000000</v>
      </c>
    </row>
    <row r="1301" spans="1:4" x14ac:dyDescent="0.25">
      <c r="A1301">
        <v>2023</v>
      </c>
      <c r="B1301" t="s">
        <v>20</v>
      </c>
      <c r="C1301" t="s">
        <v>8</v>
      </c>
      <c r="D1301">
        <v>2500000</v>
      </c>
    </row>
    <row r="1302" spans="1:4" x14ac:dyDescent="0.25">
      <c r="A1302">
        <v>2023</v>
      </c>
      <c r="B1302" t="s">
        <v>21</v>
      </c>
      <c r="C1302" t="s">
        <v>5</v>
      </c>
      <c r="D1302">
        <v>2351600</v>
      </c>
    </row>
    <row r="1303" spans="1:4" x14ac:dyDescent="0.25">
      <c r="A1303">
        <v>2023</v>
      </c>
      <c r="B1303" t="s">
        <v>21</v>
      </c>
      <c r="C1303" t="s">
        <v>5</v>
      </c>
      <c r="D1303">
        <v>70903812</v>
      </c>
    </row>
    <row r="1304" spans="1:4" x14ac:dyDescent="0.25">
      <c r="A1304">
        <v>2023</v>
      </c>
      <c r="B1304" t="s">
        <v>21</v>
      </c>
      <c r="C1304" t="s">
        <v>5</v>
      </c>
      <c r="D1304">
        <v>230591104</v>
      </c>
    </row>
    <row r="1305" spans="1:4" x14ac:dyDescent="0.25">
      <c r="A1305">
        <v>2023</v>
      </c>
      <c r="B1305" t="s">
        <v>21</v>
      </c>
      <c r="C1305" t="s">
        <v>5</v>
      </c>
      <c r="D1305">
        <v>40151100</v>
      </c>
    </row>
    <row r="1306" spans="1:4" x14ac:dyDescent="0.25">
      <c r="A1306">
        <v>2023</v>
      </c>
      <c r="B1306" t="s">
        <v>21</v>
      </c>
      <c r="C1306" t="s">
        <v>5</v>
      </c>
      <c r="D1306">
        <v>24539160</v>
      </c>
    </row>
    <row r="1307" spans="1:4" x14ac:dyDescent="0.25">
      <c r="A1307">
        <v>2023</v>
      </c>
      <c r="B1307" t="s">
        <v>21</v>
      </c>
      <c r="C1307" t="s">
        <v>5</v>
      </c>
      <c r="D1307">
        <v>21565584</v>
      </c>
    </row>
    <row r="1308" spans="1:4" x14ac:dyDescent="0.25">
      <c r="A1308">
        <v>2023</v>
      </c>
      <c r="B1308" t="s">
        <v>21</v>
      </c>
      <c r="C1308" t="s">
        <v>5</v>
      </c>
      <c r="D1308">
        <v>30532884</v>
      </c>
    </row>
    <row r="1309" spans="1:4" x14ac:dyDescent="0.25">
      <c r="A1309">
        <v>2023</v>
      </c>
      <c r="B1309" t="s">
        <v>21</v>
      </c>
      <c r="C1309" t="s">
        <v>5</v>
      </c>
      <c r="D1309">
        <v>11215308</v>
      </c>
    </row>
    <row r="1310" spans="1:4" x14ac:dyDescent="0.25">
      <c r="A1310">
        <v>2023</v>
      </c>
      <c r="B1310" t="s">
        <v>21</v>
      </c>
      <c r="C1310" t="s">
        <v>5</v>
      </c>
      <c r="D1310">
        <v>26074248</v>
      </c>
    </row>
    <row r="1311" spans="1:4" x14ac:dyDescent="0.25">
      <c r="A1311">
        <v>2023</v>
      </c>
      <c r="B1311" t="s">
        <v>21</v>
      </c>
      <c r="C1311" t="s">
        <v>5</v>
      </c>
      <c r="D1311">
        <v>3262200</v>
      </c>
    </row>
    <row r="1312" spans="1:4" x14ac:dyDescent="0.25">
      <c r="A1312">
        <v>2023</v>
      </c>
      <c r="B1312" t="s">
        <v>21</v>
      </c>
      <c r="C1312" t="s">
        <v>6</v>
      </c>
      <c r="D1312">
        <v>23832104</v>
      </c>
    </row>
    <row r="1313" spans="1:4" x14ac:dyDescent="0.25">
      <c r="A1313">
        <v>2023</v>
      </c>
      <c r="B1313" t="s">
        <v>21</v>
      </c>
      <c r="C1313" t="s">
        <v>6</v>
      </c>
      <c r="D1313">
        <v>84259276</v>
      </c>
    </row>
    <row r="1314" spans="1:4" x14ac:dyDescent="0.25">
      <c r="A1314">
        <v>2023</v>
      </c>
      <c r="B1314" t="s">
        <v>21</v>
      </c>
      <c r="C1314" t="s">
        <v>6</v>
      </c>
      <c r="D1314">
        <v>2180140</v>
      </c>
    </row>
    <row r="1315" spans="1:4" x14ac:dyDescent="0.25">
      <c r="A1315">
        <v>2023</v>
      </c>
      <c r="B1315" t="s">
        <v>21</v>
      </c>
      <c r="C1315" t="s">
        <v>6</v>
      </c>
      <c r="D1315">
        <v>374710</v>
      </c>
    </row>
    <row r="1316" spans="1:4" x14ac:dyDescent="0.25">
      <c r="A1316">
        <v>2023</v>
      </c>
      <c r="B1316" t="s">
        <v>21</v>
      </c>
      <c r="C1316" t="s">
        <v>6</v>
      </c>
      <c r="D1316">
        <v>374710</v>
      </c>
    </row>
    <row r="1317" spans="1:4" x14ac:dyDescent="0.25">
      <c r="A1317">
        <v>2023</v>
      </c>
      <c r="B1317" t="s">
        <v>21</v>
      </c>
      <c r="C1317" t="s">
        <v>6</v>
      </c>
      <c r="D1317">
        <v>374710</v>
      </c>
    </row>
    <row r="1318" spans="1:4" x14ac:dyDescent="0.25">
      <c r="A1318">
        <v>2023</v>
      </c>
      <c r="B1318" t="s">
        <v>21</v>
      </c>
      <c r="C1318" t="s">
        <v>6</v>
      </c>
      <c r="D1318">
        <v>49350</v>
      </c>
    </row>
    <row r="1319" spans="1:4" x14ac:dyDescent="0.25">
      <c r="A1319">
        <v>2023</v>
      </c>
      <c r="B1319" t="s">
        <v>21</v>
      </c>
      <c r="C1319" t="s">
        <v>19</v>
      </c>
      <c r="D1319">
        <v>734000</v>
      </c>
    </row>
    <row r="1320" spans="1:4" x14ac:dyDescent="0.25">
      <c r="A1320">
        <v>2023</v>
      </c>
      <c r="B1320" t="s">
        <v>21</v>
      </c>
      <c r="C1320" t="s">
        <v>8</v>
      </c>
      <c r="D1320">
        <v>56815000</v>
      </c>
    </row>
    <row r="1321" spans="1:4" x14ac:dyDescent="0.25">
      <c r="A1321">
        <v>2023</v>
      </c>
      <c r="B1321" t="s">
        <v>54</v>
      </c>
      <c r="C1321" t="s">
        <v>5</v>
      </c>
      <c r="D1321">
        <v>4936000</v>
      </c>
    </row>
    <row r="1322" spans="1:4" x14ac:dyDescent="0.25">
      <c r="A1322">
        <v>2023</v>
      </c>
      <c r="B1322" t="s">
        <v>54</v>
      </c>
      <c r="C1322" t="s">
        <v>6</v>
      </c>
      <c r="D1322">
        <v>190000</v>
      </c>
    </row>
    <row r="1323" spans="1:4" x14ac:dyDescent="0.25">
      <c r="A1323">
        <v>2023</v>
      </c>
      <c r="B1323" t="s">
        <v>22</v>
      </c>
      <c r="C1323" t="s">
        <v>5</v>
      </c>
      <c r="D1323">
        <v>18810696</v>
      </c>
    </row>
    <row r="1324" spans="1:4" x14ac:dyDescent="0.25">
      <c r="A1324">
        <v>2023</v>
      </c>
      <c r="B1324" t="s">
        <v>22</v>
      </c>
      <c r="C1324" t="s">
        <v>5</v>
      </c>
      <c r="D1324">
        <v>311961500</v>
      </c>
    </row>
    <row r="1325" spans="1:4" x14ac:dyDescent="0.25">
      <c r="A1325">
        <v>2023</v>
      </c>
      <c r="B1325" t="s">
        <v>22</v>
      </c>
      <c r="C1325" t="s">
        <v>5</v>
      </c>
      <c r="D1325">
        <v>4432044</v>
      </c>
    </row>
    <row r="1326" spans="1:4" x14ac:dyDescent="0.25">
      <c r="A1326">
        <v>2023</v>
      </c>
      <c r="B1326" t="s">
        <v>22</v>
      </c>
      <c r="C1326" t="s">
        <v>5</v>
      </c>
      <c r="D1326">
        <v>238644408</v>
      </c>
    </row>
    <row r="1327" spans="1:4" x14ac:dyDescent="0.25">
      <c r="A1327">
        <v>2023</v>
      </c>
      <c r="B1327" t="s">
        <v>22</v>
      </c>
      <c r="C1327" t="s">
        <v>5</v>
      </c>
      <c r="D1327">
        <v>93394824</v>
      </c>
    </row>
    <row r="1328" spans="1:4" x14ac:dyDescent="0.25">
      <c r="A1328">
        <v>2023</v>
      </c>
      <c r="B1328" t="s">
        <v>22</v>
      </c>
      <c r="C1328" t="s">
        <v>5</v>
      </c>
      <c r="D1328">
        <v>86135528</v>
      </c>
    </row>
    <row r="1329" spans="1:4" x14ac:dyDescent="0.25">
      <c r="A1329">
        <v>2023</v>
      </c>
      <c r="B1329" t="s">
        <v>22</v>
      </c>
      <c r="C1329" t="s">
        <v>5</v>
      </c>
      <c r="D1329">
        <v>1106100</v>
      </c>
    </row>
    <row r="1330" spans="1:4" x14ac:dyDescent="0.25">
      <c r="A1330">
        <v>2023</v>
      </c>
      <c r="B1330" t="s">
        <v>22</v>
      </c>
      <c r="C1330" t="s">
        <v>5</v>
      </c>
      <c r="D1330">
        <v>30291900</v>
      </c>
    </row>
    <row r="1331" spans="1:4" x14ac:dyDescent="0.25">
      <c r="A1331">
        <v>2023</v>
      </c>
      <c r="B1331" t="s">
        <v>22</v>
      </c>
      <c r="C1331" t="s">
        <v>6</v>
      </c>
      <c r="D1331">
        <v>90152400</v>
      </c>
    </row>
    <row r="1332" spans="1:4" x14ac:dyDescent="0.25">
      <c r="A1332">
        <v>2023</v>
      </c>
      <c r="B1332" t="s">
        <v>22</v>
      </c>
      <c r="C1332" t="s">
        <v>6</v>
      </c>
      <c r="D1332">
        <v>11361600</v>
      </c>
    </row>
    <row r="1333" spans="1:4" x14ac:dyDescent="0.25">
      <c r="A1333">
        <v>2023</v>
      </c>
      <c r="B1333" t="s">
        <v>22</v>
      </c>
      <c r="C1333" t="s">
        <v>6</v>
      </c>
      <c r="D1333">
        <v>2370000</v>
      </c>
    </row>
    <row r="1334" spans="1:4" x14ac:dyDescent="0.25">
      <c r="A1334">
        <v>2023</v>
      </c>
      <c r="B1334" t="s">
        <v>22</v>
      </c>
      <c r="C1334" t="s">
        <v>19</v>
      </c>
      <c r="D1334">
        <v>120000</v>
      </c>
    </row>
    <row r="1335" spans="1:4" x14ac:dyDescent="0.25">
      <c r="A1335">
        <v>2023</v>
      </c>
      <c r="B1335" t="s">
        <v>22</v>
      </c>
      <c r="C1335" t="s">
        <v>8</v>
      </c>
      <c r="D1335">
        <v>1755000</v>
      </c>
    </row>
    <row r="1336" spans="1:4" x14ac:dyDescent="0.25">
      <c r="A1336">
        <v>2023</v>
      </c>
      <c r="B1336" t="s">
        <v>22</v>
      </c>
      <c r="C1336" t="s">
        <v>8</v>
      </c>
      <c r="D1336">
        <v>250000</v>
      </c>
    </row>
    <row r="1337" spans="1:4" x14ac:dyDescent="0.25">
      <c r="A1337">
        <v>2023</v>
      </c>
      <c r="B1337" t="s">
        <v>22</v>
      </c>
      <c r="C1337" t="s">
        <v>8</v>
      </c>
      <c r="D1337">
        <v>1000000</v>
      </c>
    </row>
    <row r="1338" spans="1:4" x14ac:dyDescent="0.25">
      <c r="A1338">
        <v>2023</v>
      </c>
      <c r="B1338" t="s">
        <v>22</v>
      </c>
      <c r="C1338" t="s">
        <v>8</v>
      </c>
      <c r="D1338">
        <v>2501000</v>
      </c>
    </row>
    <row r="1339" spans="1:4" x14ac:dyDescent="0.25">
      <c r="A1339">
        <v>2023</v>
      </c>
      <c r="B1339" t="s">
        <v>23</v>
      </c>
      <c r="C1339" t="s">
        <v>5</v>
      </c>
      <c r="D1339">
        <v>4052635</v>
      </c>
    </row>
    <row r="1340" spans="1:4" x14ac:dyDescent="0.25">
      <c r="A1340">
        <v>2023</v>
      </c>
      <c r="B1340" t="s">
        <v>23</v>
      </c>
      <c r="C1340" t="s">
        <v>5</v>
      </c>
      <c r="D1340">
        <v>18879792</v>
      </c>
    </row>
    <row r="1341" spans="1:4" x14ac:dyDescent="0.25">
      <c r="A1341">
        <v>2023</v>
      </c>
      <c r="B1341" t="s">
        <v>23</v>
      </c>
      <c r="C1341" t="s">
        <v>5</v>
      </c>
      <c r="D1341">
        <v>117209477</v>
      </c>
    </row>
    <row r="1342" spans="1:4" x14ac:dyDescent="0.25">
      <c r="A1342">
        <v>2023</v>
      </c>
      <c r="B1342" t="s">
        <v>23</v>
      </c>
      <c r="C1342" t="s">
        <v>5</v>
      </c>
      <c r="D1342">
        <v>13824252</v>
      </c>
    </row>
    <row r="1343" spans="1:4" x14ac:dyDescent="0.25">
      <c r="A1343">
        <v>2023</v>
      </c>
      <c r="B1343" t="s">
        <v>23</v>
      </c>
      <c r="C1343" t="s">
        <v>5</v>
      </c>
      <c r="D1343">
        <v>2633196</v>
      </c>
    </row>
    <row r="1344" spans="1:4" x14ac:dyDescent="0.25">
      <c r="A1344">
        <v>2023</v>
      </c>
      <c r="B1344" t="s">
        <v>23</v>
      </c>
      <c r="C1344" t="s">
        <v>5</v>
      </c>
      <c r="D1344">
        <v>13903560</v>
      </c>
    </row>
    <row r="1345" spans="1:4" x14ac:dyDescent="0.25">
      <c r="A1345">
        <v>2023</v>
      </c>
      <c r="B1345" t="s">
        <v>23</v>
      </c>
      <c r="C1345" t="s">
        <v>5</v>
      </c>
      <c r="D1345">
        <v>11103060</v>
      </c>
    </row>
    <row r="1346" spans="1:4" x14ac:dyDescent="0.25">
      <c r="A1346">
        <v>2023</v>
      </c>
      <c r="B1346" t="s">
        <v>23</v>
      </c>
      <c r="C1346" t="s">
        <v>5</v>
      </c>
      <c r="D1346">
        <v>5720100</v>
      </c>
    </row>
    <row r="1347" spans="1:4" x14ac:dyDescent="0.25">
      <c r="A1347">
        <v>2023</v>
      </c>
      <c r="B1347" t="s">
        <v>23</v>
      </c>
      <c r="C1347" t="s">
        <v>5</v>
      </c>
      <c r="D1347">
        <v>494928</v>
      </c>
    </row>
    <row r="1348" spans="1:4" x14ac:dyDescent="0.25">
      <c r="A1348">
        <v>2023</v>
      </c>
      <c r="B1348" t="s">
        <v>23</v>
      </c>
      <c r="C1348" t="s">
        <v>6</v>
      </c>
      <c r="D1348">
        <v>35000</v>
      </c>
    </row>
    <row r="1349" spans="1:4" x14ac:dyDescent="0.25">
      <c r="A1349">
        <v>2023</v>
      </c>
      <c r="B1349" t="s">
        <v>23</v>
      </c>
      <c r="C1349" t="s">
        <v>6</v>
      </c>
      <c r="D1349">
        <v>83393000</v>
      </c>
    </row>
    <row r="1350" spans="1:4" x14ac:dyDescent="0.25">
      <c r="A1350">
        <v>2023</v>
      </c>
      <c r="B1350" t="s">
        <v>23</v>
      </c>
      <c r="C1350" t="s">
        <v>6</v>
      </c>
      <c r="D1350">
        <v>4328000</v>
      </c>
    </row>
    <row r="1351" spans="1:4" x14ac:dyDescent="0.25">
      <c r="A1351">
        <v>2023</v>
      </c>
      <c r="B1351" t="s">
        <v>23</v>
      </c>
      <c r="C1351" t="s">
        <v>6</v>
      </c>
      <c r="D1351">
        <v>5000</v>
      </c>
    </row>
    <row r="1352" spans="1:4" x14ac:dyDescent="0.25">
      <c r="A1352">
        <v>2023</v>
      </c>
      <c r="B1352" t="s">
        <v>23</v>
      </c>
      <c r="C1352" t="s">
        <v>6</v>
      </c>
      <c r="D1352">
        <v>5000</v>
      </c>
    </row>
    <row r="1353" spans="1:4" x14ac:dyDescent="0.25">
      <c r="A1353">
        <v>2023</v>
      </c>
      <c r="B1353" t="s">
        <v>23</v>
      </c>
      <c r="C1353" t="s">
        <v>6</v>
      </c>
      <c r="D1353">
        <v>752000</v>
      </c>
    </row>
    <row r="1354" spans="1:4" x14ac:dyDescent="0.25">
      <c r="A1354">
        <v>2023</v>
      </c>
      <c r="B1354" t="s">
        <v>23</v>
      </c>
      <c r="C1354" t="s">
        <v>7</v>
      </c>
      <c r="D1354">
        <v>11780000</v>
      </c>
    </row>
    <row r="1355" spans="1:4" x14ac:dyDescent="0.25">
      <c r="A1355">
        <v>2023</v>
      </c>
      <c r="B1355" t="s">
        <v>23</v>
      </c>
      <c r="C1355" t="s">
        <v>19</v>
      </c>
      <c r="D1355">
        <v>10000</v>
      </c>
    </row>
    <row r="1356" spans="1:4" x14ac:dyDescent="0.25">
      <c r="A1356">
        <v>2023</v>
      </c>
      <c r="B1356" t="s">
        <v>23</v>
      </c>
      <c r="C1356" t="s">
        <v>8</v>
      </c>
      <c r="D1356">
        <v>6220000</v>
      </c>
    </row>
    <row r="1357" spans="1:4" x14ac:dyDescent="0.25">
      <c r="A1357">
        <v>2023</v>
      </c>
      <c r="B1357" t="s">
        <v>23</v>
      </c>
      <c r="C1357" t="s">
        <v>8</v>
      </c>
      <c r="D1357">
        <v>900000</v>
      </c>
    </row>
    <row r="1358" spans="1:4" x14ac:dyDescent="0.25">
      <c r="A1358">
        <v>2023</v>
      </c>
      <c r="B1358" t="s">
        <v>24</v>
      </c>
      <c r="C1358" t="s">
        <v>5</v>
      </c>
      <c r="D1358">
        <v>468956</v>
      </c>
    </row>
    <row r="1359" spans="1:4" x14ac:dyDescent="0.25">
      <c r="A1359">
        <v>2023</v>
      </c>
      <c r="B1359" t="s">
        <v>24</v>
      </c>
      <c r="C1359" t="s">
        <v>5</v>
      </c>
      <c r="D1359">
        <v>27695460</v>
      </c>
    </row>
    <row r="1360" spans="1:4" x14ac:dyDescent="0.25">
      <c r="A1360">
        <v>2023</v>
      </c>
      <c r="B1360" t="s">
        <v>24</v>
      </c>
      <c r="C1360" t="s">
        <v>5</v>
      </c>
      <c r="D1360">
        <v>115286204</v>
      </c>
    </row>
    <row r="1361" spans="1:4" x14ac:dyDescent="0.25">
      <c r="A1361">
        <v>2023</v>
      </c>
      <c r="B1361" t="s">
        <v>24</v>
      </c>
      <c r="C1361" t="s">
        <v>5</v>
      </c>
      <c r="D1361">
        <v>10101600</v>
      </c>
    </row>
    <row r="1362" spans="1:4" x14ac:dyDescent="0.25">
      <c r="A1362">
        <v>2023</v>
      </c>
      <c r="B1362" t="s">
        <v>24</v>
      </c>
      <c r="C1362" t="s">
        <v>5</v>
      </c>
      <c r="D1362">
        <v>15989852</v>
      </c>
    </row>
    <row r="1363" spans="1:4" x14ac:dyDescent="0.25">
      <c r="A1363">
        <v>2023</v>
      </c>
      <c r="B1363" t="s">
        <v>24</v>
      </c>
      <c r="C1363" t="s">
        <v>5</v>
      </c>
      <c r="D1363">
        <v>29068988</v>
      </c>
    </row>
    <row r="1364" spans="1:4" x14ac:dyDescent="0.25">
      <c r="A1364">
        <v>2023</v>
      </c>
      <c r="B1364" t="s">
        <v>24</v>
      </c>
      <c r="C1364" t="s">
        <v>5</v>
      </c>
      <c r="D1364">
        <v>28549988</v>
      </c>
    </row>
    <row r="1365" spans="1:4" x14ac:dyDescent="0.25">
      <c r="A1365">
        <v>2023</v>
      </c>
      <c r="B1365" t="s">
        <v>24</v>
      </c>
      <c r="C1365" t="s">
        <v>5</v>
      </c>
      <c r="D1365">
        <v>9200952</v>
      </c>
    </row>
    <row r="1366" spans="1:4" x14ac:dyDescent="0.25">
      <c r="A1366">
        <v>2023</v>
      </c>
      <c r="B1366" t="s">
        <v>24</v>
      </c>
      <c r="C1366" t="s">
        <v>6</v>
      </c>
      <c r="D1366">
        <v>1377000</v>
      </c>
    </row>
    <row r="1367" spans="1:4" x14ac:dyDescent="0.25">
      <c r="A1367">
        <v>2023</v>
      </c>
      <c r="B1367" t="s">
        <v>24</v>
      </c>
      <c r="C1367" t="s">
        <v>6</v>
      </c>
      <c r="D1367">
        <v>42858000</v>
      </c>
    </row>
    <row r="1368" spans="1:4" x14ac:dyDescent="0.25">
      <c r="A1368">
        <v>2023</v>
      </c>
      <c r="B1368" t="s">
        <v>24</v>
      </c>
      <c r="C1368" t="s">
        <v>6</v>
      </c>
      <c r="D1368">
        <v>3885000</v>
      </c>
    </row>
    <row r="1369" spans="1:4" x14ac:dyDescent="0.25">
      <c r="A1369">
        <v>2023</v>
      </c>
      <c r="B1369" t="s">
        <v>24</v>
      </c>
      <c r="C1369" t="s">
        <v>6</v>
      </c>
      <c r="D1369">
        <v>991000</v>
      </c>
    </row>
    <row r="1370" spans="1:4" x14ac:dyDescent="0.25">
      <c r="A1370">
        <v>2023</v>
      </c>
      <c r="B1370" t="s">
        <v>24</v>
      </c>
      <c r="C1370" t="s">
        <v>6</v>
      </c>
      <c r="D1370">
        <v>608000</v>
      </c>
    </row>
    <row r="1371" spans="1:4" x14ac:dyDescent="0.25">
      <c r="A1371">
        <v>2023</v>
      </c>
      <c r="B1371" t="s">
        <v>24</v>
      </c>
      <c r="C1371" t="s">
        <v>6</v>
      </c>
      <c r="D1371">
        <v>635000</v>
      </c>
    </row>
    <row r="1372" spans="1:4" x14ac:dyDescent="0.25">
      <c r="A1372">
        <v>2023</v>
      </c>
      <c r="B1372" t="s">
        <v>24</v>
      </c>
      <c r="C1372" t="s">
        <v>6</v>
      </c>
      <c r="D1372">
        <v>172000</v>
      </c>
    </row>
    <row r="1373" spans="1:4" x14ac:dyDescent="0.25">
      <c r="A1373">
        <v>2023</v>
      </c>
      <c r="B1373" t="s">
        <v>24</v>
      </c>
      <c r="C1373" t="s">
        <v>7</v>
      </c>
      <c r="D1373">
        <v>995539000</v>
      </c>
    </row>
    <row r="1374" spans="1:4" x14ac:dyDescent="0.25">
      <c r="A1374">
        <v>2023</v>
      </c>
      <c r="B1374" t="s">
        <v>24</v>
      </c>
      <c r="C1374" t="s">
        <v>7</v>
      </c>
      <c r="D1374">
        <v>529250000</v>
      </c>
    </row>
    <row r="1375" spans="1:4" x14ac:dyDescent="0.25">
      <c r="A1375">
        <v>2023</v>
      </c>
      <c r="B1375" t="s">
        <v>24</v>
      </c>
      <c r="C1375" t="s">
        <v>7</v>
      </c>
      <c r="D1375">
        <v>473140000</v>
      </c>
    </row>
    <row r="1376" spans="1:4" x14ac:dyDescent="0.25">
      <c r="A1376">
        <v>2023</v>
      </c>
      <c r="B1376" t="s">
        <v>24</v>
      </c>
      <c r="C1376" t="s">
        <v>7</v>
      </c>
      <c r="D1376">
        <v>156380000</v>
      </c>
    </row>
    <row r="1377" spans="1:4" x14ac:dyDescent="0.25">
      <c r="A1377">
        <v>2023</v>
      </c>
      <c r="B1377" t="s">
        <v>24</v>
      </c>
      <c r="C1377" t="s">
        <v>7</v>
      </c>
      <c r="D1377">
        <v>344730000</v>
      </c>
    </row>
    <row r="1378" spans="1:4" x14ac:dyDescent="0.25">
      <c r="A1378">
        <v>2023</v>
      </c>
      <c r="B1378" t="s">
        <v>24</v>
      </c>
      <c r="C1378" t="s">
        <v>7</v>
      </c>
      <c r="D1378">
        <v>352012000</v>
      </c>
    </row>
    <row r="1379" spans="1:4" x14ac:dyDescent="0.25">
      <c r="A1379">
        <v>2023</v>
      </c>
      <c r="B1379" t="s">
        <v>24</v>
      </c>
      <c r="C1379" t="s">
        <v>7</v>
      </c>
      <c r="D1379">
        <v>69957000</v>
      </c>
    </row>
    <row r="1380" spans="1:4" x14ac:dyDescent="0.25">
      <c r="A1380">
        <v>2023</v>
      </c>
      <c r="B1380" t="s">
        <v>24</v>
      </c>
      <c r="C1380" t="s">
        <v>19</v>
      </c>
      <c r="D1380">
        <v>40000</v>
      </c>
    </row>
    <row r="1381" spans="1:4" x14ac:dyDescent="0.25">
      <c r="A1381">
        <v>2023</v>
      </c>
      <c r="B1381" t="s">
        <v>24</v>
      </c>
      <c r="C1381" t="s">
        <v>8</v>
      </c>
      <c r="D1381">
        <v>3070000</v>
      </c>
    </row>
    <row r="1382" spans="1:4" x14ac:dyDescent="0.25">
      <c r="A1382">
        <v>2023</v>
      </c>
      <c r="B1382" t="s">
        <v>24</v>
      </c>
      <c r="C1382" t="s">
        <v>8</v>
      </c>
      <c r="D1382">
        <v>6060000</v>
      </c>
    </row>
    <row r="1383" spans="1:4" x14ac:dyDescent="0.25">
      <c r="A1383">
        <v>2023</v>
      </c>
      <c r="B1383" t="s">
        <v>25</v>
      </c>
      <c r="C1383" t="s">
        <v>5</v>
      </c>
      <c r="D1383">
        <v>793996</v>
      </c>
    </row>
    <row r="1384" spans="1:4" x14ac:dyDescent="0.25">
      <c r="A1384">
        <v>2023</v>
      </c>
      <c r="B1384" t="s">
        <v>25</v>
      </c>
      <c r="C1384" t="s">
        <v>5</v>
      </c>
      <c r="D1384">
        <v>19886976</v>
      </c>
    </row>
    <row r="1385" spans="1:4" x14ac:dyDescent="0.25">
      <c r="A1385">
        <v>2023</v>
      </c>
      <c r="B1385" t="s">
        <v>25</v>
      </c>
      <c r="C1385" t="s">
        <v>5</v>
      </c>
      <c r="D1385">
        <v>6068028</v>
      </c>
    </row>
    <row r="1386" spans="1:4" x14ac:dyDescent="0.25">
      <c r="A1386">
        <v>2023</v>
      </c>
      <c r="B1386" t="s">
        <v>25</v>
      </c>
      <c r="C1386" t="s">
        <v>6</v>
      </c>
      <c r="D1386">
        <v>48460000</v>
      </c>
    </row>
    <row r="1387" spans="1:4" x14ac:dyDescent="0.25">
      <c r="A1387">
        <v>2023</v>
      </c>
      <c r="B1387" t="s">
        <v>25</v>
      </c>
      <c r="C1387" t="s">
        <v>6</v>
      </c>
      <c r="D1387">
        <v>2379000</v>
      </c>
    </row>
    <row r="1388" spans="1:4" x14ac:dyDescent="0.25">
      <c r="A1388">
        <v>2023</v>
      </c>
      <c r="B1388" t="s">
        <v>25</v>
      </c>
      <c r="C1388" t="s">
        <v>8</v>
      </c>
      <c r="D1388">
        <v>13555000</v>
      </c>
    </row>
    <row r="1389" spans="1:4" x14ac:dyDescent="0.25">
      <c r="A1389">
        <v>2023</v>
      </c>
      <c r="B1389" t="s">
        <v>26</v>
      </c>
      <c r="C1389" t="s">
        <v>5</v>
      </c>
      <c r="D1389">
        <v>5068000</v>
      </c>
    </row>
    <row r="1390" spans="1:4" x14ac:dyDescent="0.25">
      <c r="A1390">
        <v>2023</v>
      </c>
      <c r="B1390" t="s">
        <v>26</v>
      </c>
      <c r="C1390" t="s">
        <v>6</v>
      </c>
      <c r="D1390">
        <v>627000</v>
      </c>
    </row>
    <row r="1391" spans="1:4" x14ac:dyDescent="0.25">
      <c r="A1391">
        <v>2023</v>
      </c>
      <c r="B1391" t="s">
        <v>28</v>
      </c>
      <c r="C1391" t="s">
        <v>6</v>
      </c>
      <c r="D1391">
        <v>700000</v>
      </c>
    </row>
    <row r="1392" spans="1:4" x14ac:dyDescent="0.25">
      <c r="A1392">
        <v>2023</v>
      </c>
      <c r="B1392" t="s">
        <v>28</v>
      </c>
      <c r="C1392" t="s">
        <v>29</v>
      </c>
      <c r="D1392">
        <v>1515675000</v>
      </c>
    </row>
    <row r="1393" spans="1:4" x14ac:dyDescent="0.25">
      <c r="A1393">
        <v>2023</v>
      </c>
      <c r="B1393" t="s">
        <v>28</v>
      </c>
      <c r="C1393" t="s">
        <v>30</v>
      </c>
      <c r="D1393">
        <v>1920642000</v>
      </c>
    </row>
    <row r="1394" spans="1:4" x14ac:dyDescent="0.25">
      <c r="A1394">
        <v>2023</v>
      </c>
      <c r="B1394" t="s">
        <v>28</v>
      </c>
      <c r="C1394" t="s">
        <v>31</v>
      </c>
      <c r="D1394">
        <v>5068600000</v>
      </c>
    </row>
    <row r="1395" spans="1:4" x14ac:dyDescent="0.25">
      <c r="A1395">
        <v>2023</v>
      </c>
      <c r="B1395" t="s">
        <v>28</v>
      </c>
      <c r="C1395" t="s">
        <v>19</v>
      </c>
      <c r="D1395">
        <v>7625907000</v>
      </c>
    </row>
    <row r="1396" spans="1:4" x14ac:dyDescent="0.25">
      <c r="A1396">
        <v>2023</v>
      </c>
      <c r="B1396" t="s">
        <v>28</v>
      </c>
      <c r="C1396" t="s">
        <v>8</v>
      </c>
      <c r="D1396">
        <v>2146435000</v>
      </c>
    </row>
    <row r="1397" spans="1:4" x14ac:dyDescent="0.25">
      <c r="A1397">
        <v>2023</v>
      </c>
      <c r="B1397" t="s">
        <v>55</v>
      </c>
      <c r="C1397" t="s">
        <v>5</v>
      </c>
      <c r="D1397">
        <v>19974000</v>
      </c>
    </row>
    <row r="1398" spans="1:4" x14ac:dyDescent="0.25">
      <c r="A1398">
        <v>2023</v>
      </c>
      <c r="B1398" t="s">
        <v>55</v>
      </c>
      <c r="C1398" t="s">
        <v>6</v>
      </c>
      <c r="D1398">
        <v>2540000</v>
      </c>
    </row>
    <row r="1399" spans="1:4" x14ac:dyDescent="0.25">
      <c r="A1399">
        <v>2023</v>
      </c>
      <c r="B1399" t="s">
        <v>55</v>
      </c>
      <c r="C1399" t="s">
        <v>8</v>
      </c>
      <c r="D1399">
        <v>2245000</v>
      </c>
    </row>
    <row r="1400" spans="1:4" x14ac:dyDescent="0.25">
      <c r="A1400">
        <v>2023</v>
      </c>
      <c r="B1400" t="s">
        <v>32</v>
      </c>
      <c r="C1400" t="s">
        <v>5</v>
      </c>
      <c r="D1400">
        <v>18687000</v>
      </c>
    </row>
    <row r="1401" spans="1:4" x14ac:dyDescent="0.25">
      <c r="A1401">
        <v>2023</v>
      </c>
      <c r="B1401" t="s">
        <v>32</v>
      </c>
      <c r="C1401" t="s">
        <v>6</v>
      </c>
      <c r="D1401">
        <v>6958000</v>
      </c>
    </row>
    <row r="1402" spans="1:4" x14ac:dyDescent="0.25">
      <c r="A1402">
        <v>2023</v>
      </c>
      <c r="B1402" t="s">
        <v>32</v>
      </c>
      <c r="C1402" t="s">
        <v>19</v>
      </c>
      <c r="D1402">
        <v>9000</v>
      </c>
    </row>
    <row r="1403" spans="1:4" x14ac:dyDescent="0.25">
      <c r="A1403">
        <v>2023</v>
      </c>
      <c r="B1403" t="s">
        <v>32</v>
      </c>
      <c r="C1403" t="s">
        <v>8</v>
      </c>
      <c r="D1403">
        <v>900000</v>
      </c>
    </row>
    <row r="1404" spans="1:4" x14ac:dyDescent="0.25">
      <c r="A1404">
        <v>2023</v>
      </c>
      <c r="B1404" t="s">
        <v>33</v>
      </c>
      <c r="C1404" t="s">
        <v>5</v>
      </c>
      <c r="D1404">
        <v>39358537</v>
      </c>
    </row>
    <row r="1405" spans="1:4" x14ac:dyDescent="0.25">
      <c r="A1405">
        <v>2023</v>
      </c>
      <c r="B1405" t="s">
        <v>33</v>
      </c>
      <c r="C1405" t="s">
        <v>5</v>
      </c>
      <c r="D1405">
        <v>3652680</v>
      </c>
    </row>
    <row r="1406" spans="1:4" x14ac:dyDescent="0.25">
      <c r="A1406">
        <v>2023</v>
      </c>
      <c r="B1406" t="s">
        <v>33</v>
      </c>
      <c r="C1406" t="s">
        <v>5</v>
      </c>
      <c r="D1406">
        <v>1261103467</v>
      </c>
    </row>
    <row r="1407" spans="1:4" x14ac:dyDescent="0.25">
      <c r="A1407">
        <v>2023</v>
      </c>
      <c r="B1407" t="s">
        <v>33</v>
      </c>
      <c r="C1407" t="s">
        <v>5</v>
      </c>
      <c r="D1407">
        <v>1016807040</v>
      </c>
    </row>
    <row r="1408" spans="1:4" x14ac:dyDescent="0.25">
      <c r="A1408">
        <v>2023</v>
      </c>
      <c r="B1408" t="s">
        <v>33</v>
      </c>
      <c r="C1408" t="s">
        <v>5</v>
      </c>
      <c r="D1408">
        <v>343354068</v>
      </c>
    </row>
    <row r="1409" spans="1:4" x14ac:dyDescent="0.25">
      <c r="A1409">
        <v>2023</v>
      </c>
      <c r="B1409" t="s">
        <v>33</v>
      </c>
      <c r="C1409" t="s">
        <v>5</v>
      </c>
      <c r="D1409">
        <v>620545212</v>
      </c>
    </row>
    <row r="1410" spans="1:4" x14ac:dyDescent="0.25">
      <c r="A1410">
        <v>2023</v>
      </c>
      <c r="B1410" t="s">
        <v>33</v>
      </c>
      <c r="C1410" t="s">
        <v>5</v>
      </c>
      <c r="D1410">
        <v>818008356</v>
      </c>
    </row>
    <row r="1411" spans="1:4" x14ac:dyDescent="0.25">
      <c r="A1411">
        <v>2023</v>
      </c>
      <c r="B1411" t="s">
        <v>33</v>
      </c>
      <c r="C1411" t="s">
        <v>5</v>
      </c>
      <c r="D1411">
        <v>179312640</v>
      </c>
    </row>
    <row r="1412" spans="1:4" x14ac:dyDescent="0.25">
      <c r="A1412">
        <v>2023</v>
      </c>
      <c r="B1412" t="s">
        <v>33</v>
      </c>
      <c r="C1412" t="s">
        <v>6</v>
      </c>
      <c r="D1412">
        <v>817774000</v>
      </c>
    </row>
    <row r="1413" spans="1:4" x14ac:dyDescent="0.25">
      <c r="A1413">
        <v>2023</v>
      </c>
      <c r="B1413" t="s">
        <v>33</v>
      </c>
      <c r="C1413" t="s">
        <v>7</v>
      </c>
      <c r="D1413">
        <v>500000</v>
      </c>
    </row>
    <row r="1414" spans="1:4" x14ac:dyDescent="0.25">
      <c r="A1414">
        <v>2023</v>
      </c>
      <c r="B1414" t="s">
        <v>33</v>
      </c>
      <c r="C1414" t="s">
        <v>19</v>
      </c>
      <c r="D1414">
        <v>1000000</v>
      </c>
    </row>
    <row r="1415" spans="1:4" x14ac:dyDescent="0.25">
      <c r="A1415">
        <v>2023</v>
      </c>
      <c r="B1415" t="s">
        <v>33</v>
      </c>
      <c r="C1415" t="s">
        <v>8</v>
      </c>
      <c r="D1415">
        <v>64986000</v>
      </c>
    </row>
    <row r="1416" spans="1:4" x14ac:dyDescent="0.25">
      <c r="A1416">
        <v>2023</v>
      </c>
      <c r="B1416" t="s">
        <v>34</v>
      </c>
      <c r="C1416" t="s">
        <v>5</v>
      </c>
      <c r="D1416">
        <v>1999548</v>
      </c>
    </row>
    <row r="1417" spans="1:4" x14ac:dyDescent="0.25">
      <c r="A1417">
        <v>2023</v>
      </c>
      <c r="B1417" t="s">
        <v>34</v>
      </c>
      <c r="C1417" t="s">
        <v>5</v>
      </c>
      <c r="D1417">
        <v>0</v>
      </c>
    </row>
    <row r="1418" spans="1:4" x14ac:dyDescent="0.25">
      <c r="A1418">
        <v>2023</v>
      </c>
      <c r="B1418" t="s">
        <v>34</v>
      </c>
      <c r="C1418" t="s">
        <v>5</v>
      </c>
      <c r="D1418">
        <v>418356612</v>
      </c>
    </row>
    <row r="1419" spans="1:4" x14ac:dyDescent="0.25">
      <c r="A1419">
        <v>2023</v>
      </c>
      <c r="B1419" t="s">
        <v>34</v>
      </c>
      <c r="C1419" t="s">
        <v>5</v>
      </c>
      <c r="D1419">
        <v>805369112</v>
      </c>
    </row>
    <row r="1420" spans="1:4" x14ac:dyDescent="0.25">
      <c r="A1420">
        <v>2023</v>
      </c>
      <c r="B1420" t="s">
        <v>34</v>
      </c>
      <c r="C1420" t="s">
        <v>5</v>
      </c>
      <c r="D1420">
        <v>72779364</v>
      </c>
    </row>
    <row r="1421" spans="1:4" x14ac:dyDescent="0.25">
      <c r="A1421">
        <v>2023</v>
      </c>
      <c r="B1421" t="s">
        <v>34</v>
      </c>
      <c r="C1421" t="s">
        <v>5</v>
      </c>
      <c r="D1421">
        <v>335782776</v>
      </c>
    </row>
    <row r="1422" spans="1:4" x14ac:dyDescent="0.25">
      <c r="A1422">
        <v>2023</v>
      </c>
      <c r="B1422" t="s">
        <v>34</v>
      </c>
      <c r="C1422" t="s">
        <v>5</v>
      </c>
      <c r="D1422">
        <v>446470196</v>
      </c>
    </row>
    <row r="1423" spans="1:4" x14ac:dyDescent="0.25">
      <c r="A1423">
        <v>2023</v>
      </c>
      <c r="B1423" t="s">
        <v>34</v>
      </c>
      <c r="C1423" t="s">
        <v>5</v>
      </c>
      <c r="D1423">
        <v>114426392</v>
      </c>
    </row>
    <row r="1424" spans="1:4" x14ac:dyDescent="0.25">
      <c r="A1424">
        <v>2023</v>
      </c>
      <c r="B1424" t="s">
        <v>34</v>
      </c>
      <c r="C1424" t="s">
        <v>6</v>
      </c>
      <c r="D1424">
        <v>325200</v>
      </c>
    </row>
    <row r="1425" spans="1:4" x14ac:dyDescent="0.25">
      <c r="A1425">
        <v>2023</v>
      </c>
      <c r="B1425" t="s">
        <v>34</v>
      </c>
      <c r="C1425" t="s">
        <v>6</v>
      </c>
      <c r="D1425">
        <v>496324078</v>
      </c>
    </row>
    <row r="1426" spans="1:4" x14ac:dyDescent="0.25">
      <c r="A1426">
        <v>2023</v>
      </c>
      <c r="B1426" t="s">
        <v>34</v>
      </c>
      <c r="C1426" t="s">
        <v>6</v>
      </c>
      <c r="D1426">
        <v>686667751</v>
      </c>
    </row>
    <row r="1427" spans="1:4" x14ac:dyDescent="0.25">
      <c r="A1427">
        <v>2023</v>
      </c>
      <c r="B1427" t="s">
        <v>34</v>
      </c>
      <c r="C1427" t="s">
        <v>6</v>
      </c>
      <c r="D1427">
        <v>34678784</v>
      </c>
    </row>
    <row r="1428" spans="1:4" x14ac:dyDescent="0.25">
      <c r="A1428">
        <v>2023</v>
      </c>
      <c r="B1428" t="s">
        <v>34</v>
      </c>
      <c r="C1428" t="s">
        <v>6</v>
      </c>
      <c r="D1428">
        <v>206641314</v>
      </c>
    </row>
    <row r="1429" spans="1:4" x14ac:dyDescent="0.25">
      <c r="A1429">
        <v>2023</v>
      </c>
      <c r="B1429" t="s">
        <v>34</v>
      </c>
      <c r="C1429" t="s">
        <v>6</v>
      </c>
      <c r="D1429">
        <v>252858042</v>
      </c>
    </row>
    <row r="1430" spans="1:4" x14ac:dyDescent="0.25">
      <c r="A1430">
        <v>2023</v>
      </c>
      <c r="B1430" t="s">
        <v>34</v>
      </c>
      <c r="C1430" t="s">
        <v>6</v>
      </c>
      <c r="D1430">
        <v>76204831</v>
      </c>
    </row>
    <row r="1431" spans="1:4" x14ac:dyDescent="0.25">
      <c r="A1431">
        <v>2023</v>
      </c>
      <c r="B1431" t="s">
        <v>34</v>
      </c>
      <c r="C1431" t="s">
        <v>19</v>
      </c>
      <c r="D1431">
        <v>77000</v>
      </c>
    </row>
    <row r="1432" spans="1:4" x14ac:dyDescent="0.25">
      <c r="A1432">
        <v>2023</v>
      </c>
      <c r="B1432" t="s">
        <v>34</v>
      </c>
      <c r="C1432" t="s">
        <v>8</v>
      </c>
      <c r="D1432">
        <v>174743000</v>
      </c>
    </row>
    <row r="1433" spans="1:4" x14ac:dyDescent="0.25">
      <c r="A1433">
        <v>2023</v>
      </c>
      <c r="B1433" t="s">
        <v>34</v>
      </c>
      <c r="C1433" t="s">
        <v>8</v>
      </c>
      <c r="D1433">
        <v>54112000</v>
      </c>
    </row>
    <row r="1434" spans="1:4" x14ac:dyDescent="0.25">
      <c r="A1434">
        <v>2023</v>
      </c>
      <c r="B1434" t="s">
        <v>34</v>
      </c>
      <c r="C1434" t="s">
        <v>8</v>
      </c>
      <c r="D1434">
        <v>24886000</v>
      </c>
    </row>
    <row r="1435" spans="1:4" x14ac:dyDescent="0.25">
      <c r="A1435">
        <v>2023</v>
      </c>
      <c r="B1435" t="s">
        <v>34</v>
      </c>
      <c r="C1435" t="s">
        <v>8</v>
      </c>
      <c r="D1435">
        <v>23050000</v>
      </c>
    </row>
    <row r="1436" spans="1:4" x14ac:dyDescent="0.25">
      <c r="A1436">
        <v>2023</v>
      </c>
      <c r="B1436" t="s">
        <v>34</v>
      </c>
      <c r="C1436" t="s">
        <v>8</v>
      </c>
      <c r="D1436">
        <v>27309000</v>
      </c>
    </row>
    <row r="1437" spans="1:4" x14ac:dyDescent="0.25">
      <c r="A1437">
        <v>2023</v>
      </c>
      <c r="B1437" t="s">
        <v>34</v>
      </c>
      <c r="C1437" t="s">
        <v>8</v>
      </c>
      <c r="D1437">
        <v>16800000</v>
      </c>
    </row>
    <row r="1438" spans="1:4" x14ac:dyDescent="0.25">
      <c r="A1438">
        <v>2023</v>
      </c>
      <c r="B1438" t="s">
        <v>35</v>
      </c>
      <c r="C1438" t="s">
        <v>5</v>
      </c>
      <c r="D1438">
        <v>280000</v>
      </c>
    </row>
    <row r="1439" spans="1:4" x14ac:dyDescent="0.25">
      <c r="A1439">
        <v>2023</v>
      </c>
      <c r="B1439" t="s">
        <v>35</v>
      </c>
      <c r="C1439" t="s">
        <v>5</v>
      </c>
      <c r="D1439">
        <v>57536056</v>
      </c>
    </row>
    <row r="1440" spans="1:4" x14ac:dyDescent="0.25">
      <c r="A1440">
        <v>2023</v>
      </c>
      <c r="B1440" t="s">
        <v>35</v>
      </c>
      <c r="C1440" t="s">
        <v>5</v>
      </c>
      <c r="D1440">
        <v>6048756</v>
      </c>
    </row>
    <row r="1441" spans="1:4" x14ac:dyDescent="0.25">
      <c r="A1441">
        <v>2023</v>
      </c>
      <c r="B1441" t="s">
        <v>35</v>
      </c>
      <c r="C1441" t="s">
        <v>5</v>
      </c>
      <c r="D1441">
        <v>791412</v>
      </c>
    </row>
    <row r="1442" spans="1:4" x14ac:dyDescent="0.25">
      <c r="A1442">
        <v>2023</v>
      </c>
      <c r="B1442" t="s">
        <v>35</v>
      </c>
      <c r="C1442" t="s">
        <v>5</v>
      </c>
      <c r="D1442">
        <v>1063320</v>
      </c>
    </row>
    <row r="1443" spans="1:4" x14ac:dyDescent="0.25">
      <c r="A1443">
        <v>2023</v>
      </c>
      <c r="B1443" t="s">
        <v>35</v>
      </c>
      <c r="C1443" t="s">
        <v>5</v>
      </c>
      <c r="D1443">
        <v>965616</v>
      </c>
    </row>
    <row r="1444" spans="1:4" x14ac:dyDescent="0.25">
      <c r="A1444">
        <v>2023</v>
      </c>
      <c r="B1444" t="s">
        <v>35</v>
      </c>
      <c r="C1444" t="s">
        <v>5</v>
      </c>
      <c r="D1444">
        <v>793668</v>
      </c>
    </row>
    <row r="1445" spans="1:4" x14ac:dyDescent="0.25">
      <c r="A1445">
        <v>2023</v>
      </c>
      <c r="B1445" t="s">
        <v>35</v>
      </c>
      <c r="C1445" t="s">
        <v>5</v>
      </c>
      <c r="D1445">
        <v>2171604</v>
      </c>
    </row>
    <row r="1446" spans="1:4" x14ac:dyDescent="0.25">
      <c r="A1446">
        <v>2023</v>
      </c>
      <c r="B1446" t="s">
        <v>35</v>
      </c>
      <c r="C1446" t="s">
        <v>5</v>
      </c>
      <c r="D1446">
        <v>1432200</v>
      </c>
    </row>
    <row r="1447" spans="1:4" x14ac:dyDescent="0.25">
      <c r="A1447">
        <v>2023</v>
      </c>
      <c r="B1447" t="s">
        <v>35</v>
      </c>
      <c r="C1447" t="s">
        <v>5</v>
      </c>
      <c r="D1447">
        <v>385368</v>
      </c>
    </row>
    <row r="1448" spans="1:4" x14ac:dyDescent="0.25">
      <c r="A1448">
        <v>2023</v>
      </c>
      <c r="B1448" t="s">
        <v>35</v>
      </c>
      <c r="C1448" t="s">
        <v>6</v>
      </c>
      <c r="D1448">
        <v>24523000</v>
      </c>
    </row>
    <row r="1449" spans="1:4" x14ac:dyDescent="0.25">
      <c r="A1449">
        <v>2023</v>
      </c>
      <c r="B1449" t="s">
        <v>35</v>
      </c>
      <c r="C1449" t="s">
        <v>8</v>
      </c>
      <c r="D1449">
        <v>3550000</v>
      </c>
    </row>
    <row r="1450" spans="1:4" x14ac:dyDescent="0.25">
      <c r="A1450">
        <v>2023</v>
      </c>
      <c r="B1450" t="s">
        <v>36</v>
      </c>
      <c r="C1450" t="s">
        <v>5</v>
      </c>
      <c r="D1450">
        <v>180250000</v>
      </c>
    </row>
    <row r="1451" spans="1:4" x14ac:dyDescent="0.25">
      <c r="A1451">
        <v>2023</v>
      </c>
      <c r="B1451" t="s">
        <v>36</v>
      </c>
      <c r="C1451" t="s">
        <v>6</v>
      </c>
      <c r="D1451">
        <v>23260000</v>
      </c>
    </row>
    <row r="1452" spans="1:4" x14ac:dyDescent="0.25">
      <c r="A1452">
        <v>2023</v>
      </c>
      <c r="B1452" t="s">
        <v>36</v>
      </c>
      <c r="C1452" t="s">
        <v>8</v>
      </c>
      <c r="D1452">
        <v>15000000</v>
      </c>
    </row>
    <row r="1453" spans="1:4" x14ac:dyDescent="0.25">
      <c r="A1453">
        <v>2023</v>
      </c>
      <c r="B1453" t="s">
        <v>36</v>
      </c>
      <c r="C1453" t="s">
        <v>8</v>
      </c>
      <c r="D1453">
        <v>1530000</v>
      </c>
    </row>
    <row r="1454" spans="1:4" x14ac:dyDescent="0.25">
      <c r="A1454">
        <v>2023</v>
      </c>
      <c r="B1454" t="s">
        <v>37</v>
      </c>
      <c r="C1454" t="s">
        <v>5</v>
      </c>
      <c r="D1454">
        <v>11879000</v>
      </c>
    </row>
    <row r="1455" spans="1:4" x14ac:dyDescent="0.25">
      <c r="A1455">
        <v>2023</v>
      </c>
      <c r="B1455" t="s">
        <v>37</v>
      </c>
      <c r="C1455" t="s">
        <v>6</v>
      </c>
      <c r="D1455">
        <v>10031000</v>
      </c>
    </row>
    <row r="1456" spans="1:4" x14ac:dyDescent="0.25">
      <c r="A1456">
        <v>2023</v>
      </c>
      <c r="B1456" t="s">
        <v>37</v>
      </c>
      <c r="C1456" t="s">
        <v>8</v>
      </c>
      <c r="D1456">
        <v>10390000</v>
      </c>
    </row>
    <row r="1457" spans="1:4" x14ac:dyDescent="0.25">
      <c r="A1457">
        <v>2023</v>
      </c>
      <c r="B1457" t="s">
        <v>38</v>
      </c>
      <c r="C1457" t="s">
        <v>5</v>
      </c>
      <c r="D1457">
        <v>965582</v>
      </c>
    </row>
    <row r="1458" spans="1:4" x14ac:dyDescent="0.25">
      <c r="A1458">
        <v>2023</v>
      </c>
      <c r="B1458" t="s">
        <v>38</v>
      </c>
      <c r="C1458" t="s">
        <v>5</v>
      </c>
      <c r="D1458">
        <v>733068</v>
      </c>
    </row>
    <row r="1459" spans="1:4" x14ac:dyDescent="0.25">
      <c r="A1459">
        <v>2023</v>
      </c>
      <c r="B1459" t="s">
        <v>38</v>
      </c>
      <c r="C1459" t="s">
        <v>5</v>
      </c>
      <c r="D1459">
        <v>35367902</v>
      </c>
    </row>
    <row r="1460" spans="1:4" x14ac:dyDescent="0.25">
      <c r="A1460">
        <v>2023</v>
      </c>
      <c r="B1460" t="s">
        <v>38</v>
      </c>
      <c r="C1460" t="s">
        <v>5</v>
      </c>
      <c r="D1460">
        <v>4043448</v>
      </c>
    </row>
    <row r="1461" spans="1:4" x14ac:dyDescent="0.25">
      <c r="A1461">
        <v>2023</v>
      </c>
      <c r="B1461" t="s">
        <v>38</v>
      </c>
      <c r="C1461" t="s">
        <v>6</v>
      </c>
      <c r="D1461">
        <v>22633000</v>
      </c>
    </row>
    <row r="1462" spans="1:4" x14ac:dyDescent="0.25">
      <c r="A1462">
        <v>2023</v>
      </c>
      <c r="B1462" t="s">
        <v>38</v>
      </c>
      <c r="C1462" t="s">
        <v>7</v>
      </c>
      <c r="D1462">
        <v>153300000</v>
      </c>
    </row>
    <row r="1463" spans="1:4" x14ac:dyDescent="0.25">
      <c r="A1463">
        <v>2023</v>
      </c>
      <c r="B1463" t="s">
        <v>38</v>
      </c>
      <c r="C1463" t="s">
        <v>8</v>
      </c>
      <c r="D1463">
        <v>135000</v>
      </c>
    </row>
    <row r="1464" spans="1:4" x14ac:dyDescent="0.25">
      <c r="A1464">
        <v>2023</v>
      </c>
      <c r="B1464" t="s">
        <v>39</v>
      </c>
      <c r="C1464" t="s">
        <v>5</v>
      </c>
      <c r="D1464">
        <v>2844000</v>
      </c>
    </row>
    <row r="1465" spans="1:4" x14ac:dyDescent="0.25">
      <c r="A1465">
        <v>2023</v>
      </c>
      <c r="B1465" t="s">
        <v>39</v>
      </c>
      <c r="C1465" t="s">
        <v>6</v>
      </c>
      <c r="D1465">
        <v>2076000</v>
      </c>
    </row>
    <row r="1466" spans="1:4" x14ac:dyDescent="0.25">
      <c r="A1466">
        <v>2023</v>
      </c>
      <c r="B1466" t="s">
        <v>39</v>
      </c>
      <c r="C1466" t="s">
        <v>8</v>
      </c>
      <c r="D1466">
        <v>33000</v>
      </c>
    </row>
    <row r="1467" spans="1:4" x14ac:dyDescent="0.25">
      <c r="A1467">
        <v>2023</v>
      </c>
      <c r="B1467" t="s">
        <v>40</v>
      </c>
      <c r="C1467" t="s">
        <v>5</v>
      </c>
      <c r="D1467">
        <v>18036000</v>
      </c>
    </row>
    <row r="1468" spans="1:4" x14ac:dyDescent="0.25">
      <c r="A1468">
        <v>2023</v>
      </c>
      <c r="B1468" t="s">
        <v>40</v>
      </c>
      <c r="C1468" t="s">
        <v>6</v>
      </c>
      <c r="D1468">
        <v>20167000</v>
      </c>
    </row>
    <row r="1469" spans="1:4" x14ac:dyDescent="0.25">
      <c r="A1469">
        <v>2023</v>
      </c>
      <c r="B1469" t="s">
        <v>40</v>
      </c>
      <c r="C1469" t="s">
        <v>8</v>
      </c>
      <c r="D1469">
        <v>400000</v>
      </c>
    </row>
    <row r="1470" spans="1:4" x14ac:dyDescent="0.25">
      <c r="A1470">
        <v>2023</v>
      </c>
      <c r="B1470" t="s">
        <v>41</v>
      </c>
      <c r="C1470" t="s">
        <v>5</v>
      </c>
      <c r="D1470">
        <v>523704000</v>
      </c>
    </row>
    <row r="1471" spans="1:4" x14ac:dyDescent="0.25">
      <c r="A1471">
        <v>2023</v>
      </c>
      <c r="B1471" t="s">
        <v>41</v>
      </c>
      <c r="C1471" t="s">
        <v>5</v>
      </c>
      <c r="D1471">
        <v>1046103972</v>
      </c>
    </row>
    <row r="1472" spans="1:4" x14ac:dyDescent="0.25">
      <c r="A1472">
        <v>2023</v>
      </c>
      <c r="B1472" t="s">
        <v>41</v>
      </c>
      <c r="C1472" t="s">
        <v>5</v>
      </c>
      <c r="D1472">
        <v>58542288</v>
      </c>
    </row>
    <row r="1473" spans="1:4" x14ac:dyDescent="0.25">
      <c r="A1473">
        <v>2023</v>
      </c>
      <c r="B1473" t="s">
        <v>41</v>
      </c>
      <c r="C1473" t="s">
        <v>5</v>
      </c>
      <c r="D1473">
        <v>137734780</v>
      </c>
    </row>
    <row r="1474" spans="1:4" x14ac:dyDescent="0.25">
      <c r="A1474">
        <v>2023</v>
      </c>
      <c r="B1474" t="s">
        <v>41</v>
      </c>
      <c r="C1474" t="s">
        <v>5</v>
      </c>
      <c r="D1474">
        <v>43841868</v>
      </c>
    </row>
    <row r="1475" spans="1:4" x14ac:dyDescent="0.25">
      <c r="A1475">
        <v>2023</v>
      </c>
      <c r="B1475" t="s">
        <v>41</v>
      </c>
      <c r="C1475" t="s">
        <v>5</v>
      </c>
      <c r="D1475">
        <v>71910960</v>
      </c>
    </row>
    <row r="1476" spans="1:4" x14ac:dyDescent="0.25">
      <c r="A1476">
        <v>2023</v>
      </c>
      <c r="B1476" t="s">
        <v>41</v>
      </c>
      <c r="C1476" t="s">
        <v>5</v>
      </c>
      <c r="D1476">
        <v>104524748</v>
      </c>
    </row>
    <row r="1477" spans="1:4" x14ac:dyDescent="0.25">
      <c r="A1477">
        <v>2023</v>
      </c>
      <c r="B1477" t="s">
        <v>41</v>
      </c>
      <c r="C1477" t="s">
        <v>5</v>
      </c>
      <c r="D1477">
        <v>42951908</v>
      </c>
    </row>
    <row r="1478" spans="1:4" x14ac:dyDescent="0.25">
      <c r="A1478">
        <v>2023</v>
      </c>
      <c r="B1478" t="s">
        <v>41</v>
      </c>
      <c r="C1478" t="s">
        <v>5</v>
      </c>
      <c r="D1478">
        <v>9270476</v>
      </c>
    </row>
    <row r="1479" spans="1:4" x14ac:dyDescent="0.25">
      <c r="A1479">
        <v>2023</v>
      </c>
      <c r="B1479" t="s">
        <v>41</v>
      </c>
      <c r="C1479" t="s">
        <v>6</v>
      </c>
      <c r="D1479">
        <v>439370000</v>
      </c>
    </row>
    <row r="1480" spans="1:4" x14ac:dyDescent="0.25">
      <c r="A1480">
        <v>2023</v>
      </c>
      <c r="B1480" t="s">
        <v>41</v>
      </c>
      <c r="C1480" t="s">
        <v>19</v>
      </c>
      <c r="D1480">
        <v>100000</v>
      </c>
    </row>
    <row r="1481" spans="1:4" x14ac:dyDescent="0.25">
      <c r="A1481">
        <v>2023</v>
      </c>
      <c r="B1481" t="s">
        <v>41</v>
      </c>
      <c r="C1481" t="s">
        <v>8</v>
      </c>
      <c r="D1481">
        <v>42488000</v>
      </c>
    </row>
    <row r="1482" spans="1:4" x14ac:dyDescent="0.25">
      <c r="A1482">
        <v>2023</v>
      </c>
      <c r="B1482" t="s">
        <v>42</v>
      </c>
      <c r="C1482" t="s">
        <v>5</v>
      </c>
      <c r="D1482">
        <v>6502000</v>
      </c>
    </row>
    <row r="1483" spans="1:4" x14ac:dyDescent="0.25">
      <c r="A1483">
        <v>2023</v>
      </c>
      <c r="B1483" t="s">
        <v>42</v>
      </c>
      <c r="C1483" t="s">
        <v>6</v>
      </c>
      <c r="D1483">
        <v>8448000</v>
      </c>
    </row>
    <row r="1484" spans="1:4" x14ac:dyDescent="0.25">
      <c r="A1484">
        <v>2023</v>
      </c>
      <c r="B1484" t="s">
        <v>42</v>
      </c>
      <c r="C1484" t="s">
        <v>8</v>
      </c>
      <c r="D1484">
        <v>50000</v>
      </c>
    </row>
    <row r="1485" spans="1:4" x14ac:dyDescent="0.25">
      <c r="A1485">
        <v>2023</v>
      </c>
      <c r="B1485" t="s">
        <v>43</v>
      </c>
      <c r="C1485" t="s">
        <v>5</v>
      </c>
      <c r="D1485">
        <v>34500000</v>
      </c>
    </row>
    <row r="1486" spans="1:4" x14ac:dyDescent="0.25">
      <c r="A1486">
        <v>2023</v>
      </c>
      <c r="B1486" t="s">
        <v>43</v>
      </c>
      <c r="C1486" t="s">
        <v>6</v>
      </c>
      <c r="D1486">
        <v>15830000</v>
      </c>
    </row>
    <row r="1487" spans="1:4" x14ac:dyDescent="0.25">
      <c r="A1487">
        <v>2023</v>
      </c>
      <c r="B1487" t="s">
        <v>43</v>
      </c>
      <c r="C1487" t="s">
        <v>8</v>
      </c>
      <c r="D1487">
        <v>1670000</v>
      </c>
    </row>
    <row r="1488" spans="1:4" x14ac:dyDescent="0.25">
      <c r="A1488">
        <v>2023</v>
      </c>
      <c r="B1488" t="s">
        <v>44</v>
      </c>
      <c r="C1488" t="s">
        <v>5</v>
      </c>
      <c r="D1488">
        <v>68643000</v>
      </c>
    </row>
    <row r="1489" spans="1:4" x14ac:dyDescent="0.25">
      <c r="A1489">
        <v>2023</v>
      </c>
      <c r="B1489" t="s">
        <v>44</v>
      </c>
      <c r="C1489" t="s">
        <v>6</v>
      </c>
      <c r="D1489">
        <v>19630000</v>
      </c>
    </row>
    <row r="1490" spans="1:4" x14ac:dyDescent="0.25">
      <c r="A1490">
        <v>2023</v>
      </c>
      <c r="B1490" t="s">
        <v>44</v>
      </c>
      <c r="C1490" t="s">
        <v>19</v>
      </c>
      <c r="D1490">
        <v>70000</v>
      </c>
    </row>
    <row r="1491" spans="1:4" x14ac:dyDescent="0.25">
      <c r="A1491">
        <v>2023</v>
      </c>
      <c r="B1491" t="s">
        <v>44</v>
      </c>
      <c r="C1491" t="s">
        <v>8</v>
      </c>
      <c r="D1491">
        <v>600000</v>
      </c>
    </row>
    <row r="1492" spans="1:4" x14ac:dyDescent="0.25">
      <c r="A1492">
        <v>2023</v>
      </c>
      <c r="B1492" t="s">
        <v>45</v>
      </c>
      <c r="C1492" t="s">
        <v>5</v>
      </c>
      <c r="D1492">
        <v>1394018</v>
      </c>
    </row>
    <row r="1493" spans="1:4" x14ac:dyDescent="0.25">
      <c r="A1493">
        <v>2023</v>
      </c>
      <c r="B1493" t="s">
        <v>45</v>
      </c>
      <c r="C1493" t="s">
        <v>5</v>
      </c>
      <c r="D1493">
        <v>54946982</v>
      </c>
    </row>
    <row r="1494" spans="1:4" x14ac:dyDescent="0.25">
      <c r="A1494">
        <v>2023</v>
      </c>
      <c r="B1494" t="s">
        <v>45</v>
      </c>
      <c r="C1494" t="s">
        <v>6</v>
      </c>
      <c r="D1494">
        <v>35100814</v>
      </c>
    </row>
    <row r="1495" spans="1:4" x14ac:dyDescent="0.25">
      <c r="A1495">
        <v>2023</v>
      </c>
      <c r="B1495" t="s">
        <v>45</v>
      </c>
      <c r="C1495" t="s">
        <v>6</v>
      </c>
      <c r="D1495">
        <v>5026186</v>
      </c>
    </row>
    <row r="1496" spans="1:4" x14ac:dyDescent="0.25">
      <c r="A1496">
        <v>2023</v>
      </c>
      <c r="B1496" t="s">
        <v>45</v>
      </c>
      <c r="C1496" t="s">
        <v>19</v>
      </c>
      <c r="D1496">
        <v>20000</v>
      </c>
    </row>
    <row r="1497" spans="1:4" x14ac:dyDescent="0.25">
      <c r="A1497">
        <v>2023</v>
      </c>
      <c r="B1497" t="s">
        <v>45</v>
      </c>
      <c r="C1497" t="s">
        <v>8</v>
      </c>
      <c r="D1497">
        <v>156108000</v>
      </c>
    </row>
    <row r="1498" spans="1:4" x14ac:dyDescent="0.25">
      <c r="A1498">
        <v>2023</v>
      </c>
      <c r="B1498" t="s">
        <v>46</v>
      </c>
      <c r="C1498" t="s">
        <v>5</v>
      </c>
      <c r="D1498">
        <v>803996</v>
      </c>
    </row>
    <row r="1499" spans="1:4" x14ac:dyDescent="0.25">
      <c r="A1499">
        <v>2023</v>
      </c>
      <c r="B1499" t="s">
        <v>46</v>
      </c>
      <c r="C1499" t="s">
        <v>5</v>
      </c>
      <c r="D1499">
        <v>141729545</v>
      </c>
    </row>
    <row r="1500" spans="1:4" x14ac:dyDescent="0.25">
      <c r="A1500">
        <v>2023</v>
      </c>
      <c r="B1500" t="s">
        <v>46</v>
      </c>
      <c r="C1500" t="s">
        <v>5</v>
      </c>
      <c r="D1500">
        <v>894116</v>
      </c>
    </row>
    <row r="1501" spans="1:4" x14ac:dyDescent="0.25">
      <c r="A1501">
        <v>2023</v>
      </c>
      <c r="B1501" t="s">
        <v>46</v>
      </c>
      <c r="C1501" t="s">
        <v>5</v>
      </c>
      <c r="D1501">
        <v>23697016</v>
      </c>
    </row>
    <row r="1502" spans="1:4" x14ac:dyDescent="0.25">
      <c r="A1502">
        <v>2023</v>
      </c>
      <c r="B1502" t="s">
        <v>46</v>
      </c>
      <c r="C1502" t="s">
        <v>5</v>
      </c>
      <c r="D1502">
        <v>25603852</v>
      </c>
    </row>
    <row r="1503" spans="1:4" x14ac:dyDescent="0.25">
      <c r="A1503">
        <v>2023</v>
      </c>
      <c r="B1503" t="s">
        <v>46</v>
      </c>
      <c r="C1503" t="s">
        <v>5</v>
      </c>
      <c r="D1503">
        <v>20526364</v>
      </c>
    </row>
    <row r="1504" spans="1:4" x14ac:dyDescent="0.25">
      <c r="A1504">
        <v>2023</v>
      </c>
      <c r="B1504" t="s">
        <v>46</v>
      </c>
      <c r="C1504" t="s">
        <v>5</v>
      </c>
      <c r="D1504">
        <v>50823907</v>
      </c>
    </row>
    <row r="1505" spans="1:4" x14ac:dyDescent="0.25">
      <c r="A1505">
        <v>2023</v>
      </c>
      <c r="B1505" t="s">
        <v>46</v>
      </c>
      <c r="C1505" t="s">
        <v>5</v>
      </c>
      <c r="D1505">
        <v>15512024</v>
      </c>
    </row>
    <row r="1506" spans="1:4" x14ac:dyDescent="0.25">
      <c r="A1506">
        <v>2023</v>
      </c>
      <c r="B1506" t="s">
        <v>46</v>
      </c>
      <c r="C1506" t="s">
        <v>5</v>
      </c>
      <c r="D1506">
        <v>74651524</v>
      </c>
    </row>
    <row r="1507" spans="1:4" x14ac:dyDescent="0.25">
      <c r="A1507">
        <v>2023</v>
      </c>
      <c r="B1507" t="s">
        <v>46</v>
      </c>
      <c r="C1507" t="s">
        <v>5</v>
      </c>
      <c r="D1507">
        <v>16466656</v>
      </c>
    </row>
    <row r="1508" spans="1:4" x14ac:dyDescent="0.25">
      <c r="A1508">
        <v>2023</v>
      </c>
      <c r="B1508" t="s">
        <v>46</v>
      </c>
      <c r="C1508" t="s">
        <v>6</v>
      </c>
      <c r="D1508">
        <v>32077700</v>
      </c>
    </row>
    <row r="1509" spans="1:4" x14ac:dyDescent="0.25">
      <c r="A1509">
        <v>2023</v>
      </c>
      <c r="B1509" t="s">
        <v>46</v>
      </c>
      <c r="C1509" t="s">
        <v>6</v>
      </c>
      <c r="D1509">
        <v>124000</v>
      </c>
    </row>
    <row r="1510" spans="1:4" x14ac:dyDescent="0.25">
      <c r="A1510">
        <v>2023</v>
      </c>
      <c r="B1510" t="s">
        <v>46</v>
      </c>
      <c r="C1510" t="s">
        <v>6</v>
      </c>
      <c r="D1510">
        <v>10545450</v>
      </c>
    </row>
    <row r="1511" spans="1:4" x14ac:dyDescent="0.25">
      <c r="A1511">
        <v>2023</v>
      </c>
      <c r="B1511" t="s">
        <v>46</v>
      </c>
      <c r="C1511" t="s">
        <v>6</v>
      </c>
      <c r="D1511">
        <v>15785450</v>
      </c>
    </row>
    <row r="1512" spans="1:4" x14ac:dyDescent="0.25">
      <c r="A1512">
        <v>2023</v>
      </c>
      <c r="B1512" t="s">
        <v>46</v>
      </c>
      <c r="C1512" t="s">
        <v>6</v>
      </c>
      <c r="D1512">
        <v>16906150</v>
      </c>
    </row>
    <row r="1513" spans="1:4" x14ac:dyDescent="0.25">
      <c r="A1513">
        <v>2023</v>
      </c>
      <c r="B1513" t="s">
        <v>46</v>
      </c>
      <c r="C1513" t="s">
        <v>6</v>
      </c>
      <c r="D1513">
        <v>43069850</v>
      </c>
    </row>
    <row r="1514" spans="1:4" x14ac:dyDescent="0.25">
      <c r="A1514">
        <v>2023</v>
      </c>
      <c r="B1514" t="s">
        <v>46</v>
      </c>
      <c r="C1514" t="s">
        <v>6</v>
      </c>
      <c r="D1514">
        <v>12024700</v>
      </c>
    </row>
    <row r="1515" spans="1:4" x14ac:dyDescent="0.25">
      <c r="A1515">
        <v>2023</v>
      </c>
      <c r="B1515" t="s">
        <v>46</v>
      </c>
      <c r="C1515" t="s">
        <v>6</v>
      </c>
      <c r="D1515">
        <v>916500</v>
      </c>
    </row>
    <row r="1516" spans="1:4" x14ac:dyDescent="0.25">
      <c r="A1516">
        <v>2023</v>
      </c>
      <c r="B1516" t="s">
        <v>46</v>
      </c>
      <c r="C1516" t="s">
        <v>6</v>
      </c>
      <c r="D1516">
        <v>342200</v>
      </c>
    </row>
    <row r="1517" spans="1:4" x14ac:dyDescent="0.25">
      <c r="A1517">
        <v>2023</v>
      </c>
      <c r="B1517" t="s">
        <v>46</v>
      </c>
      <c r="C1517" t="s">
        <v>19</v>
      </c>
      <c r="D1517">
        <v>75000</v>
      </c>
    </row>
    <row r="1518" spans="1:4" x14ac:dyDescent="0.25">
      <c r="A1518">
        <v>2023</v>
      </c>
      <c r="B1518" t="s">
        <v>46</v>
      </c>
      <c r="C1518" t="s">
        <v>8</v>
      </c>
      <c r="D1518">
        <v>1555000</v>
      </c>
    </row>
    <row r="1519" spans="1:4" x14ac:dyDescent="0.25">
      <c r="A1519">
        <v>2023</v>
      </c>
      <c r="B1519" t="s">
        <v>47</v>
      </c>
      <c r="C1519" t="s">
        <v>5</v>
      </c>
      <c r="D1519">
        <v>70788</v>
      </c>
    </row>
    <row r="1520" spans="1:4" x14ac:dyDescent="0.25">
      <c r="A1520">
        <v>2023</v>
      </c>
      <c r="B1520" t="s">
        <v>47</v>
      </c>
      <c r="C1520" t="s">
        <v>5</v>
      </c>
      <c r="D1520">
        <v>5445408</v>
      </c>
    </row>
    <row r="1521" spans="1:4" x14ac:dyDescent="0.25">
      <c r="A1521">
        <v>2023</v>
      </c>
      <c r="B1521" t="s">
        <v>47</v>
      </c>
      <c r="C1521" t="s">
        <v>5</v>
      </c>
      <c r="D1521">
        <v>51562804</v>
      </c>
    </row>
    <row r="1522" spans="1:4" x14ac:dyDescent="0.25">
      <c r="A1522">
        <v>2023</v>
      </c>
      <c r="B1522" t="s">
        <v>47</v>
      </c>
      <c r="C1522" t="s">
        <v>6</v>
      </c>
      <c r="D1522">
        <v>15744000</v>
      </c>
    </row>
    <row r="1523" spans="1:4" x14ac:dyDescent="0.25">
      <c r="A1523">
        <v>2023</v>
      </c>
      <c r="B1523" t="s">
        <v>47</v>
      </c>
      <c r="C1523" t="s">
        <v>19</v>
      </c>
      <c r="D1523">
        <v>6000</v>
      </c>
    </row>
    <row r="1524" spans="1:4" x14ac:dyDescent="0.25">
      <c r="A1524">
        <v>2023</v>
      </c>
      <c r="B1524" t="s">
        <v>47</v>
      </c>
      <c r="C1524" t="s">
        <v>8</v>
      </c>
      <c r="D1524">
        <v>2025000</v>
      </c>
    </row>
    <row r="1525" spans="1:4" x14ac:dyDescent="0.25">
      <c r="A1525">
        <v>2023</v>
      </c>
      <c r="B1525" t="s">
        <v>48</v>
      </c>
      <c r="C1525" t="s">
        <v>5</v>
      </c>
      <c r="D1525">
        <v>883575000</v>
      </c>
    </row>
    <row r="1526" spans="1:4" x14ac:dyDescent="0.25">
      <c r="A1526">
        <v>2023</v>
      </c>
      <c r="B1526" t="s">
        <v>48</v>
      </c>
      <c r="C1526" t="s">
        <v>6</v>
      </c>
      <c r="D1526">
        <v>461118000</v>
      </c>
    </row>
    <row r="1527" spans="1:4" x14ac:dyDescent="0.25">
      <c r="A1527">
        <v>2023</v>
      </c>
      <c r="B1527" t="s">
        <v>48</v>
      </c>
      <c r="C1527" t="s">
        <v>19</v>
      </c>
      <c r="D1527">
        <v>54000</v>
      </c>
    </row>
    <row r="1528" spans="1:4" x14ac:dyDescent="0.25">
      <c r="A1528">
        <v>2023</v>
      </c>
      <c r="B1528" t="s">
        <v>48</v>
      </c>
      <c r="C1528" t="s">
        <v>8</v>
      </c>
      <c r="D1528">
        <v>48522000</v>
      </c>
    </row>
    <row r="1529" spans="1:4" x14ac:dyDescent="0.25">
      <c r="A1529">
        <v>2023</v>
      </c>
      <c r="B1529" t="s">
        <v>49</v>
      </c>
      <c r="C1529" t="s">
        <v>5</v>
      </c>
      <c r="D1529">
        <v>12000000</v>
      </c>
    </row>
    <row r="1530" spans="1:4" x14ac:dyDescent="0.25">
      <c r="A1530">
        <v>2023</v>
      </c>
      <c r="B1530" t="s">
        <v>49</v>
      </c>
      <c r="C1530" t="s">
        <v>5</v>
      </c>
      <c r="D1530">
        <v>259230064</v>
      </c>
    </row>
    <row r="1531" spans="1:4" x14ac:dyDescent="0.25">
      <c r="A1531">
        <v>2023</v>
      </c>
      <c r="B1531" t="s">
        <v>49</v>
      </c>
      <c r="C1531" t="s">
        <v>5</v>
      </c>
      <c r="D1531">
        <v>116964684</v>
      </c>
    </row>
    <row r="1532" spans="1:4" x14ac:dyDescent="0.25">
      <c r="A1532">
        <v>2023</v>
      </c>
      <c r="B1532" t="s">
        <v>49</v>
      </c>
      <c r="C1532" t="s">
        <v>5</v>
      </c>
      <c r="D1532">
        <v>110453304</v>
      </c>
    </row>
    <row r="1533" spans="1:4" x14ac:dyDescent="0.25">
      <c r="A1533">
        <v>2023</v>
      </c>
      <c r="B1533" t="s">
        <v>49</v>
      </c>
      <c r="C1533" t="s">
        <v>5</v>
      </c>
      <c r="D1533">
        <v>66231528</v>
      </c>
    </row>
    <row r="1534" spans="1:4" x14ac:dyDescent="0.25">
      <c r="A1534">
        <v>2023</v>
      </c>
      <c r="B1534" t="s">
        <v>49</v>
      </c>
      <c r="C1534" t="s">
        <v>5</v>
      </c>
      <c r="D1534">
        <v>64161504</v>
      </c>
    </row>
    <row r="1535" spans="1:4" x14ac:dyDescent="0.25">
      <c r="A1535">
        <v>2023</v>
      </c>
      <c r="B1535" t="s">
        <v>49</v>
      </c>
      <c r="C1535" t="s">
        <v>5</v>
      </c>
      <c r="D1535">
        <v>54550188</v>
      </c>
    </row>
    <row r="1536" spans="1:4" x14ac:dyDescent="0.25">
      <c r="A1536">
        <v>2023</v>
      </c>
      <c r="B1536" t="s">
        <v>49</v>
      </c>
      <c r="C1536" t="s">
        <v>5</v>
      </c>
      <c r="D1536">
        <v>23008728</v>
      </c>
    </row>
    <row r="1537" spans="1:4" x14ac:dyDescent="0.25">
      <c r="A1537">
        <v>2023</v>
      </c>
      <c r="B1537" t="s">
        <v>49</v>
      </c>
      <c r="C1537" t="s">
        <v>6</v>
      </c>
      <c r="D1537">
        <v>187984000</v>
      </c>
    </row>
    <row r="1538" spans="1:4" x14ac:dyDescent="0.25">
      <c r="A1538">
        <v>2023</v>
      </c>
      <c r="B1538" t="s">
        <v>49</v>
      </c>
      <c r="C1538" t="s">
        <v>6</v>
      </c>
      <c r="D1538">
        <v>1101000</v>
      </c>
    </row>
    <row r="1539" spans="1:4" x14ac:dyDescent="0.25">
      <c r="A1539">
        <v>2023</v>
      </c>
      <c r="B1539" t="s">
        <v>49</v>
      </c>
      <c r="C1539" t="s">
        <v>8</v>
      </c>
      <c r="D1539">
        <v>59400000</v>
      </c>
    </row>
    <row r="1540" spans="1:4" x14ac:dyDescent="0.25">
      <c r="A1540">
        <v>2023</v>
      </c>
      <c r="B1540" t="s">
        <v>50</v>
      </c>
      <c r="C1540" t="s">
        <v>5</v>
      </c>
      <c r="D1540">
        <v>236467469</v>
      </c>
    </row>
    <row r="1541" spans="1:4" x14ac:dyDescent="0.25">
      <c r="A1541">
        <v>2023</v>
      </c>
      <c r="B1541" t="s">
        <v>50</v>
      </c>
      <c r="C1541" t="s">
        <v>5</v>
      </c>
      <c r="D1541">
        <v>218532531</v>
      </c>
    </row>
    <row r="1542" spans="1:4" x14ac:dyDescent="0.25">
      <c r="A1542">
        <v>2023</v>
      </c>
      <c r="B1542" t="s">
        <v>50</v>
      </c>
      <c r="C1542" t="s">
        <v>6</v>
      </c>
      <c r="D1542">
        <v>7050000</v>
      </c>
    </row>
    <row r="1543" spans="1:4" x14ac:dyDescent="0.25">
      <c r="A1543">
        <v>2023</v>
      </c>
      <c r="B1543" t="s">
        <v>50</v>
      </c>
      <c r="C1543" t="s">
        <v>6</v>
      </c>
      <c r="D1543">
        <v>7050000</v>
      </c>
    </row>
    <row r="1544" spans="1:4" x14ac:dyDescent="0.25">
      <c r="A1544">
        <v>2023</v>
      </c>
      <c r="B1544" t="s">
        <v>51</v>
      </c>
      <c r="C1544" t="s">
        <v>5</v>
      </c>
      <c r="D1544">
        <v>20888000</v>
      </c>
    </row>
    <row r="1545" spans="1:4" x14ac:dyDescent="0.25">
      <c r="A1545">
        <v>2023</v>
      </c>
      <c r="B1545" t="s">
        <v>51</v>
      </c>
      <c r="C1545" t="s">
        <v>6</v>
      </c>
      <c r="D1545">
        <v>7160000</v>
      </c>
    </row>
    <row r="1546" spans="1:4" x14ac:dyDescent="0.25">
      <c r="A1546">
        <v>2023</v>
      </c>
      <c r="B1546" t="s">
        <v>51</v>
      </c>
      <c r="C1546" t="s">
        <v>19</v>
      </c>
      <c r="D1546">
        <v>3000</v>
      </c>
    </row>
    <row r="1547" spans="1:4" x14ac:dyDescent="0.25">
      <c r="A1547">
        <v>2023</v>
      </c>
      <c r="B1547" t="s">
        <v>51</v>
      </c>
      <c r="C1547" t="s">
        <v>8</v>
      </c>
      <c r="D1547">
        <v>343000</v>
      </c>
    </row>
    <row r="1548" spans="1:4" x14ac:dyDescent="0.25">
      <c r="A1548">
        <v>2023</v>
      </c>
      <c r="B1548" t="s">
        <v>52</v>
      </c>
      <c r="C1548" t="s">
        <v>5</v>
      </c>
      <c r="D1548">
        <v>3500000</v>
      </c>
    </row>
    <row r="1549" spans="1:4" x14ac:dyDescent="0.25">
      <c r="A1549">
        <v>2023</v>
      </c>
      <c r="B1549" t="s">
        <v>52</v>
      </c>
      <c r="C1549" t="s">
        <v>5</v>
      </c>
      <c r="D1549">
        <v>78584749</v>
      </c>
    </row>
    <row r="1550" spans="1:4" x14ac:dyDescent="0.25">
      <c r="A1550">
        <v>2023</v>
      </c>
      <c r="B1550" t="s">
        <v>52</v>
      </c>
      <c r="C1550" t="s">
        <v>5</v>
      </c>
      <c r="D1550">
        <v>69915251</v>
      </c>
    </row>
    <row r="1551" spans="1:4" x14ac:dyDescent="0.25">
      <c r="A1551">
        <v>2023</v>
      </c>
      <c r="B1551" t="s">
        <v>52</v>
      </c>
      <c r="C1551" t="s">
        <v>6</v>
      </c>
      <c r="D1551">
        <v>11235000</v>
      </c>
    </row>
    <row r="1552" spans="1:4" x14ac:dyDescent="0.25">
      <c r="A1552">
        <v>2023</v>
      </c>
      <c r="B1552" t="s">
        <v>52</v>
      </c>
      <c r="C1552" t="s">
        <v>6</v>
      </c>
      <c r="D1552">
        <v>3705000</v>
      </c>
    </row>
    <row r="1553" spans="1:4" x14ac:dyDescent="0.25">
      <c r="A1553">
        <v>2023</v>
      </c>
      <c r="B1553" t="s">
        <v>52</v>
      </c>
      <c r="C1553" t="s">
        <v>30</v>
      </c>
      <c r="D1553">
        <v>260000</v>
      </c>
    </row>
    <row r="1554" spans="1:4" x14ac:dyDescent="0.25">
      <c r="A1554">
        <v>2023</v>
      </c>
      <c r="B1554" t="s">
        <v>52</v>
      </c>
      <c r="C1554" t="s">
        <v>8</v>
      </c>
      <c r="D1554">
        <v>2800000</v>
      </c>
    </row>
    <row r="1555" spans="1:4" x14ac:dyDescent="0.25">
      <c r="A1555">
        <v>2023</v>
      </c>
      <c r="B1555" t="s">
        <v>56</v>
      </c>
      <c r="C1555" t="s">
        <v>5</v>
      </c>
      <c r="D1555">
        <v>248673000</v>
      </c>
    </row>
    <row r="1556" spans="1:4" x14ac:dyDescent="0.25">
      <c r="A1556">
        <v>2023</v>
      </c>
      <c r="B1556" t="s">
        <v>56</v>
      </c>
      <c r="C1556" t="s">
        <v>6</v>
      </c>
      <c r="D1556">
        <v>583221000</v>
      </c>
    </row>
    <row r="1557" spans="1:4" x14ac:dyDescent="0.25">
      <c r="A1557">
        <v>2023</v>
      </c>
      <c r="B1557" t="s">
        <v>56</v>
      </c>
      <c r="C1557" t="s">
        <v>30</v>
      </c>
      <c r="D1557">
        <v>398420000</v>
      </c>
    </row>
    <row r="1558" spans="1:4" x14ac:dyDescent="0.25">
      <c r="A1558">
        <v>2023</v>
      </c>
      <c r="B1558" t="s">
        <v>56</v>
      </c>
      <c r="C1558" t="s">
        <v>19</v>
      </c>
      <c r="D1558">
        <v>2147000</v>
      </c>
    </row>
    <row r="1559" spans="1:4" x14ac:dyDescent="0.25">
      <c r="A1559">
        <v>2023</v>
      </c>
      <c r="B1559" t="s">
        <v>56</v>
      </c>
      <c r="C1559" t="s">
        <v>8</v>
      </c>
      <c r="D1559">
        <v>118092000</v>
      </c>
    </row>
    <row r="1560" spans="1:4" x14ac:dyDescent="0.25">
      <c r="A1560">
        <v>2023</v>
      </c>
      <c r="B1560" t="s">
        <v>57</v>
      </c>
      <c r="C1560" t="s">
        <v>5</v>
      </c>
      <c r="D1560">
        <v>248630000</v>
      </c>
    </row>
    <row r="1561" spans="1:4" x14ac:dyDescent="0.25">
      <c r="A1561">
        <v>2023</v>
      </c>
      <c r="B1561" t="s">
        <v>57</v>
      </c>
      <c r="C1561" t="s">
        <v>6</v>
      </c>
      <c r="D1561">
        <v>63651000</v>
      </c>
    </row>
    <row r="1562" spans="1:4" x14ac:dyDescent="0.25">
      <c r="A1562">
        <v>2023</v>
      </c>
      <c r="B1562" t="s">
        <v>57</v>
      </c>
      <c r="C1562" t="s">
        <v>19</v>
      </c>
      <c r="D1562">
        <v>50000</v>
      </c>
    </row>
    <row r="1563" spans="1:4" x14ac:dyDescent="0.25">
      <c r="A1563">
        <v>2023</v>
      </c>
      <c r="B1563" t="s">
        <v>57</v>
      </c>
      <c r="C1563" t="s">
        <v>8</v>
      </c>
      <c r="D1563">
        <v>2863000</v>
      </c>
    </row>
    <row r="1564" spans="1:4" x14ac:dyDescent="0.25">
      <c r="A1564">
        <v>2023</v>
      </c>
      <c r="B1564" t="s">
        <v>53</v>
      </c>
      <c r="C1564" t="s">
        <v>5</v>
      </c>
      <c r="D1564">
        <v>0</v>
      </c>
    </row>
    <row r="1565" spans="1:4" x14ac:dyDescent="0.25">
      <c r="A1565">
        <v>2023</v>
      </c>
      <c r="B1565" t="s">
        <v>53</v>
      </c>
      <c r="C1565" t="s">
        <v>5</v>
      </c>
      <c r="D1565">
        <v>42500000</v>
      </c>
    </row>
    <row r="1566" spans="1:4" x14ac:dyDescent="0.25">
      <c r="A1566">
        <v>2023</v>
      </c>
      <c r="B1566" t="s">
        <v>53</v>
      </c>
      <c r="C1566" t="s">
        <v>6</v>
      </c>
      <c r="D1566">
        <v>22389000</v>
      </c>
    </row>
    <row r="1567" spans="1:4" x14ac:dyDescent="0.25">
      <c r="A1567">
        <v>2023</v>
      </c>
      <c r="B1567" t="s">
        <v>53</v>
      </c>
      <c r="C1567" t="s">
        <v>8</v>
      </c>
      <c r="D1567">
        <v>100000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439E-D232-4FEC-AEE5-E74422094A1F}">
  <dimension ref="A1:D156"/>
  <sheetViews>
    <sheetView topLeftCell="A7" workbookViewId="0">
      <selection activeCell="B28" sqref="B28:D30"/>
    </sheetView>
  </sheetViews>
  <sheetFormatPr defaultRowHeight="15" x14ac:dyDescent="0.25"/>
  <cols>
    <col min="1" max="1" width="8" bestFit="1" customWidth="1"/>
    <col min="2" max="2" width="81.140625" bestFit="1" customWidth="1"/>
    <col min="3" max="3" width="22" bestFit="1" customWidth="1"/>
    <col min="4" max="4" width="20.42578125" bestFit="1" customWidth="1"/>
  </cols>
  <sheetData>
    <row r="1" spans="1:4" x14ac:dyDescent="0.25">
      <c r="A1" t="s">
        <v>0</v>
      </c>
      <c r="B1" t="s">
        <v>1</v>
      </c>
      <c r="C1" t="s">
        <v>2</v>
      </c>
      <c r="D1" t="s">
        <v>58</v>
      </c>
    </row>
    <row r="2" spans="1:4" x14ac:dyDescent="0.25">
      <c r="A2">
        <v>2023</v>
      </c>
      <c r="B2" t="s">
        <v>4</v>
      </c>
      <c r="C2" t="s">
        <v>59</v>
      </c>
      <c r="D2">
        <v>542285000</v>
      </c>
    </row>
    <row r="3" spans="1:4" x14ac:dyDescent="0.25">
      <c r="A3">
        <v>2023</v>
      </c>
      <c r="B3" t="s">
        <v>4</v>
      </c>
      <c r="C3" t="s">
        <v>59</v>
      </c>
      <c r="D3">
        <v>0</v>
      </c>
    </row>
    <row r="4" spans="1:4" x14ac:dyDescent="0.25">
      <c r="A4">
        <v>2023</v>
      </c>
      <c r="B4" t="s">
        <v>4</v>
      </c>
      <c r="C4" t="s">
        <v>59</v>
      </c>
      <c r="D4">
        <v>0</v>
      </c>
    </row>
    <row r="5" spans="1:4" x14ac:dyDescent="0.25">
      <c r="A5">
        <v>2023</v>
      </c>
      <c r="B5" t="s">
        <v>4</v>
      </c>
      <c r="C5" t="s">
        <v>59</v>
      </c>
      <c r="D5">
        <v>0</v>
      </c>
    </row>
    <row r="6" spans="1:4" x14ac:dyDescent="0.25">
      <c r="A6">
        <v>2023</v>
      </c>
      <c r="B6" t="s">
        <v>9</v>
      </c>
      <c r="C6" t="s">
        <v>59</v>
      </c>
      <c r="D6">
        <v>39845000</v>
      </c>
    </row>
    <row r="7" spans="1:4" x14ac:dyDescent="0.25">
      <c r="A7">
        <v>2023</v>
      </c>
      <c r="B7" t="s">
        <v>9</v>
      </c>
      <c r="C7" t="s">
        <v>59</v>
      </c>
      <c r="D7">
        <v>0</v>
      </c>
    </row>
    <row r="8" spans="1:4" x14ac:dyDescent="0.25">
      <c r="A8">
        <v>2023</v>
      </c>
      <c r="B8" t="s">
        <v>9</v>
      </c>
      <c r="C8" t="s">
        <v>59</v>
      </c>
      <c r="D8">
        <v>0</v>
      </c>
    </row>
    <row r="9" spans="1:4" x14ac:dyDescent="0.25">
      <c r="A9">
        <v>2023</v>
      </c>
      <c r="B9" t="s">
        <v>9</v>
      </c>
      <c r="C9" t="s">
        <v>59</v>
      </c>
      <c r="D9">
        <v>0</v>
      </c>
    </row>
    <row r="10" spans="1:4" x14ac:dyDescent="0.25">
      <c r="A10">
        <v>2023</v>
      </c>
      <c r="B10" t="s">
        <v>9</v>
      </c>
      <c r="C10" t="s">
        <v>59</v>
      </c>
      <c r="D10">
        <v>0</v>
      </c>
    </row>
    <row r="11" spans="1:4" x14ac:dyDescent="0.25">
      <c r="A11">
        <v>2023</v>
      </c>
      <c r="B11" t="s">
        <v>10</v>
      </c>
      <c r="C11" t="s">
        <v>59</v>
      </c>
      <c r="D11">
        <v>1244423000</v>
      </c>
    </row>
    <row r="12" spans="1:4" x14ac:dyDescent="0.25">
      <c r="A12">
        <v>2023</v>
      </c>
      <c r="B12" t="s">
        <v>10</v>
      </c>
      <c r="C12" t="s">
        <v>59</v>
      </c>
      <c r="D12">
        <v>0</v>
      </c>
    </row>
    <row r="13" spans="1:4" x14ac:dyDescent="0.25">
      <c r="A13">
        <v>2023</v>
      </c>
      <c r="B13" t="s">
        <v>10</v>
      </c>
      <c r="C13" t="s">
        <v>59</v>
      </c>
      <c r="D13">
        <v>0</v>
      </c>
    </row>
    <row r="14" spans="1:4" x14ac:dyDescent="0.25">
      <c r="A14">
        <v>2023</v>
      </c>
      <c r="B14" t="s">
        <v>11</v>
      </c>
      <c r="C14" t="s">
        <v>59</v>
      </c>
      <c r="D14">
        <v>158000000</v>
      </c>
    </row>
    <row r="15" spans="1:4" x14ac:dyDescent="0.25">
      <c r="A15">
        <v>2023</v>
      </c>
      <c r="B15" t="s">
        <v>11</v>
      </c>
      <c r="C15" t="s">
        <v>60</v>
      </c>
      <c r="D15">
        <v>0</v>
      </c>
    </row>
    <row r="16" spans="1:4" x14ac:dyDescent="0.25">
      <c r="A16">
        <v>2023</v>
      </c>
      <c r="B16" t="s">
        <v>11</v>
      </c>
      <c r="C16" t="s">
        <v>60</v>
      </c>
      <c r="D16">
        <v>0</v>
      </c>
    </row>
    <row r="17" spans="1:4" x14ac:dyDescent="0.25">
      <c r="A17">
        <v>2023</v>
      </c>
      <c r="B17" t="s">
        <v>11</v>
      </c>
      <c r="C17" t="s">
        <v>59</v>
      </c>
      <c r="D17">
        <v>0</v>
      </c>
    </row>
    <row r="18" spans="1:4" x14ac:dyDescent="0.25">
      <c r="A18">
        <v>2023</v>
      </c>
      <c r="B18" t="s">
        <v>11</v>
      </c>
      <c r="C18" t="s">
        <v>59</v>
      </c>
      <c r="D18">
        <v>0</v>
      </c>
    </row>
    <row r="19" spans="1:4" x14ac:dyDescent="0.25">
      <c r="A19">
        <v>2023</v>
      </c>
      <c r="B19" t="s">
        <v>11</v>
      </c>
      <c r="C19" t="s">
        <v>59</v>
      </c>
      <c r="D19">
        <v>0</v>
      </c>
    </row>
    <row r="20" spans="1:4" x14ac:dyDescent="0.25">
      <c r="A20">
        <v>2023</v>
      </c>
      <c r="B20" t="s">
        <v>11</v>
      </c>
      <c r="C20" t="s">
        <v>59</v>
      </c>
      <c r="D20">
        <v>0</v>
      </c>
    </row>
    <row r="21" spans="1:4" x14ac:dyDescent="0.25">
      <c r="A21">
        <v>2023</v>
      </c>
      <c r="B21" t="s">
        <v>11</v>
      </c>
      <c r="C21" t="s">
        <v>59</v>
      </c>
      <c r="D21">
        <v>0</v>
      </c>
    </row>
    <row r="22" spans="1:4" x14ac:dyDescent="0.25">
      <c r="A22">
        <v>2023</v>
      </c>
      <c r="B22" t="s">
        <v>11</v>
      </c>
      <c r="C22" t="s">
        <v>59</v>
      </c>
      <c r="D22">
        <v>0</v>
      </c>
    </row>
    <row r="23" spans="1:4" x14ac:dyDescent="0.25">
      <c r="A23">
        <v>2023</v>
      </c>
      <c r="B23" t="s">
        <v>11</v>
      </c>
      <c r="C23" t="s">
        <v>59</v>
      </c>
      <c r="D23">
        <v>0</v>
      </c>
    </row>
    <row r="24" spans="1:4" x14ac:dyDescent="0.25">
      <c r="A24">
        <v>2023</v>
      </c>
      <c r="B24" t="s">
        <v>12</v>
      </c>
      <c r="C24" t="s">
        <v>59</v>
      </c>
      <c r="D24">
        <v>10780000</v>
      </c>
    </row>
    <row r="25" spans="1:4" x14ac:dyDescent="0.25">
      <c r="A25">
        <v>2023</v>
      </c>
      <c r="B25" t="s">
        <v>12</v>
      </c>
      <c r="C25" t="s">
        <v>59</v>
      </c>
      <c r="D25">
        <v>0</v>
      </c>
    </row>
    <row r="26" spans="1:4" x14ac:dyDescent="0.25">
      <c r="A26">
        <v>2023</v>
      </c>
      <c r="B26" t="s">
        <v>12</v>
      </c>
      <c r="C26" t="s">
        <v>59</v>
      </c>
      <c r="D26">
        <v>0</v>
      </c>
    </row>
    <row r="27" spans="1:4" x14ac:dyDescent="0.25">
      <c r="A27">
        <v>2023</v>
      </c>
      <c r="B27" t="s">
        <v>12</v>
      </c>
      <c r="C27" t="s">
        <v>59</v>
      </c>
      <c r="D27">
        <v>0</v>
      </c>
    </row>
    <row r="28" spans="1:4" x14ac:dyDescent="0.25">
      <c r="A28">
        <v>2023</v>
      </c>
      <c r="B28" t="s">
        <v>14</v>
      </c>
      <c r="C28" t="s">
        <v>59</v>
      </c>
      <c r="D28">
        <v>42230000</v>
      </c>
    </row>
    <row r="29" spans="1:4" x14ac:dyDescent="0.25">
      <c r="A29">
        <v>2023</v>
      </c>
      <c r="B29" t="s">
        <v>14</v>
      </c>
      <c r="C29" t="s">
        <v>59</v>
      </c>
      <c r="D29">
        <v>0</v>
      </c>
    </row>
    <row r="30" spans="1:4" x14ac:dyDescent="0.25">
      <c r="A30">
        <v>2023</v>
      </c>
      <c r="B30" t="s">
        <v>14</v>
      </c>
      <c r="C30" t="s">
        <v>59</v>
      </c>
      <c r="D30">
        <v>0</v>
      </c>
    </row>
    <row r="31" spans="1:4" x14ac:dyDescent="0.25">
      <c r="A31">
        <v>2023</v>
      </c>
      <c r="B31" t="s">
        <v>15</v>
      </c>
      <c r="C31" t="s">
        <v>59</v>
      </c>
      <c r="D31">
        <v>335820000</v>
      </c>
    </row>
    <row r="32" spans="1:4" x14ac:dyDescent="0.25">
      <c r="A32">
        <v>2023</v>
      </c>
      <c r="B32" t="s">
        <v>15</v>
      </c>
      <c r="C32" t="s">
        <v>61</v>
      </c>
      <c r="D32">
        <v>0</v>
      </c>
    </row>
    <row r="33" spans="1:4" x14ac:dyDescent="0.25">
      <c r="A33">
        <v>2023</v>
      </c>
      <c r="B33" t="s">
        <v>15</v>
      </c>
      <c r="C33" t="s">
        <v>61</v>
      </c>
      <c r="D33">
        <v>0</v>
      </c>
    </row>
    <row r="34" spans="1:4" x14ac:dyDescent="0.25">
      <c r="A34">
        <v>2023</v>
      </c>
      <c r="B34" t="s">
        <v>15</v>
      </c>
      <c r="C34" t="s">
        <v>59</v>
      </c>
      <c r="D34">
        <v>0</v>
      </c>
    </row>
    <row r="35" spans="1:4" x14ac:dyDescent="0.25">
      <c r="A35">
        <v>2023</v>
      </c>
      <c r="B35" t="s">
        <v>15</v>
      </c>
      <c r="C35" t="s">
        <v>59</v>
      </c>
      <c r="D35">
        <v>0</v>
      </c>
    </row>
    <row r="36" spans="1:4" x14ac:dyDescent="0.25">
      <c r="A36">
        <v>2023</v>
      </c>
      <c r="B36" t="s">
        <v>15</v>
      </c>
      <c r="C36" t="s">
        <v>59</v>
      </c>
      <c r="D36">
        <v>0</v>
      </c>
    </row>
    <row r="37" spans="1:4" x14ac:dyDescent="0.25">
      <c r="A37">
        <v>2023</v>
      </c>
      <c r="B37" t="s">
        <v>15</v>
      </c>
      <c r="C37" t="s">
        <v>59</v>
      </c>
      <c r="D37">
        <v>0</v>
      </c>
    </row>
    <row r="38" spans="1:4" x14ac:dyDescent="0.25">
      <c r="A38">
        <v>2023</v>
      </c>
      <c r="B38" t="s">
        <v>15</v>
      </c>
      <c r="C38" t="s">
        <v>59</v>
      </c>
      <c r="D38">
        <v>0</v>
      </c>
    </row>
    <row r="39" spans="1:4" x14ac:dyDescent="0.25">
      <c r="A39">
        <v>2023</v>
      </c>
      <c r="B39" t="s">
        <v>15</v>
      </c>
      <c r="C39" t="s">
        <v>59</v>
      </c>
      <c r="D39">
        <v>0</v>
      </c>
    </row>
    <row r="40" spans="1:4" x14ac:dyDescent="0.25">
      <c r="A40">
        <v>2023</v>
      </c>
      <c r="B40" t="s">
        <v>15</v>
      </c>
      <c r="C40" t="s">
        <v>59</v>
      </c>
      <c r="D40">
        <v>0</v>
      </c>
    </row>
    <row r="41" spans="1:4" x14ac:dyDescent="0.25">
      <c r="A41">
        <v>2023</v>
      </c>
      <c r="B41" t="s">
        <v>15</v>
      </c>
      <c r="C41" t="s">
        <v>59</v>
      </c>
      <c r="D41">
        <v>0</v>
      </c>
    </row>
    <row r="42" spans="1:4" x14ac:dyDescent="0.25">
      <c r="A42">
        <v>2023</v>
      </c>
      <c r="B42" t="s">
        <v>16</v>
      </c>
      <c r="C42" t="s">
        <v>59</v>
      </c>
      <c r="D42">
        <v>80555000</v>
      </c>
    </row>
    <row r="43" spans="1:4" x14ac:dyDescent="0.25">
      <c r="A43">
        <v>2023</v>
      </c>
      <c r="B43" t="s">
        <v>16</v>
      </c>
      <c r="C43" t="s">
        <v>59</v>
      </c>
      <c r="D43">
        <v>0</v>
      </c>
    </row>
    <row r="44" spans="1:4" x14ac:dyDescent="0.25">
      <c r="A44">
        <v>2023</v>
      </c>
      <c r="B44" t="s">
        <v>16</v>
      </c>
      <c r="C44" t="s">
        <v>59</v>
      </c>
      <c r="D44">
        <v>0</v>
      </c>
    </row>
    <row r="45" spans="1:4" x14ac:dyDescent="0.25">
      <c r="A45">
        <v>2023</v>
      </c>
      <c r="B45" t="s">
        <v>16</v>
      </c>
      <c r="C45" t="s">
        <v>59</v>
      </c>
      <c r="D45">
        <v>0</v>
      </c>
    </row>
    <row r="46" spans="1:4" x14ac:dyDescent="0.25">
      <c r="A46">
        <v>2023</v>
      </c>
      <c r="B46" t="s">
        <v>16</v>
      </c>
      <c r="C46" t="s">
        <v>59</v>
      </c>
      <c r="D46">
        <v>0</v>
      </c>
    </row>
    <row r="47" spans="1:4" x14ac:dyDescent="0.25">
      <c r="A47">
        <v>2023</v>
      </c>
      <c r="B47" t="s">
        <v>17</v>
      </c>
      <c r="C47" t="s">
        <v>59</v>
      </c>
      <c r="D47">
        <v>1130000</v>
      </c>
    </row>
    <row r="48" spans="1:4" x14ac:dyDescent="0.25">
      <c r="A48">
        <v>2023</v>
      </c>
      <c r="B48" t="s">
        <v>17</v>
      </c>
      <c r="C48" t="s">
        <v>59</v>
      </c>
      <c r="D48">
        <v>0</v>
      </c>
    </row>
    <row r="49" spans="1:4" x14ac:dyDescent="0.25">
      <c r="A49">
        <v>2023</v>
      </c>
      <c r="B49" t="s">
        <v>17</v>
      </c>
      <c r="C49" t="s">
        <v>59</v>
      </c>
      <c r="D49">
        <v>0</v>
      </c>
    </row>
    <row r="50" spans="1:4" x14ac:dyDescent="0.25">
      <c r="A50">
        <v>2023</v>
      </c>
      <c r="B50" t="s">
        <v>18</v>
      </c>
      <c r="C50" t="s">
        <v>59</v>
      </c>
      <c r="D50">
        <v>456000000</v>
      </c>
    </row>
    <row r="51" spans="1:4" x14ac:dyDescent="0.25">
      <c r="A51">
        <v>2023</v>
      </c>
      <c r="B51" t="s">
        <v>18</v>
      </c>
      <c r="C51" t="s">
        <v>59</v>
      </c>
      <c r="D51">
        <v>0</v>
      </c>
    </row>
    <row r="52" spans="1:4" x14ac:dyDescent="0.25">
      <c r="A52">
        <v>2023</v>
      </c>
      <c r="B52" t="s">
        <v>18</v>
      </c>
      <c r="C52" t="s">
        <v>59</v>
      </c>
      <c r="D52">
        <v>0</v>
      </c>
    </row>
    <row r="53" spans="1:4" x14ac:dyDescent="0.25">
      <c r="A53">
        <v>2023</v>
      </c>
      <c r="B53" t="s">
        <v>21</v>
      </c>
      <c r="C53" t="s">
        <v>59</v>
      </c>
      <c r="D53">
        <v>4800000000</v>
      </c>
    </row>
    <row r="54" spans="1:4" x14ac:dyDescent="0.25">
      <c r="A54">
        <v>2023</v>
      </c>
      <c r="B54" t="s">
        <v>21</v>
      </c>
      <c r="C54" t="s">
        <v>61</v>
      </c>
      <c r="D54">
        <v>0</v>
      </c>
    </row>
    <row r="55" spans="1:4" x14ac:dyDescent="0.25">
      <c r="A55">
        <v>2023</v>
      </c>
      <c r="B55" t="s">
        <v>21</v>
      </c>
      <c r="C55" t="s">
        <v>59</v>
      </c>
      <c r="D55">
        <v>0</v>
      </c>
    </row>
    <row r="56" spans="1:4" x14ac:dyDescent="0.25">
      <c r="A56">
        <v>2023</v>
      </c>
      <c r="B56" t="s">
        <v>21</v>
      </c>
      <c r="C56" t="s">
        <v>59</v>
      </c>
      <c r="D56">
        <v>0</v>
      </c>
    </row>
    <row r="57" spans="1:4" x14ac:dyDescent="0.25">
      <c r="A57">
        <v>2023</v>
      </c>
      <c r="B57" t="s">
        <v>21</v>
      </c>
      <c r="C57" t="s">
        <v>59</v>
      </c>
      <c r="D57">
        <v>0</v>
      </c>
    </row>
    <row r="58" spans="1:4" x14ac:dyDescent="0.25">
      <c r="A58">
        <v>2023</v>
      </c>
      <c r="B58" t="s">
        <v>21</v>
      </c>
      <c r="C58" t="s">
        <v>59</v>
      </c>
      <c r="D58">
        <v>0</v>
      </c>
    </row>
    <row r="59" spans="1:4" x14ac:dyDescent="0.25">
      <c r="A59">
        <v>2023</v>
      </c>
      <c r="B59" t="s">
        <v>21</v>
      </c>
      <c r="C59" t="s">
        <v>59</v>
      </c>
      <c r="D59">
        <v>0</v>
      </c>
    </row>
    <row r="60" spans="1:4" x14ac:dyDescent="0.25">
      <c r="A60">
        <v>2023</v>
      </c>
      <c r="B60" t="s">
        <v>21</v>
      </c>
      <c r="C60" t="s">
        <v>59</v>
      </c>
      <c r="D60">
        <v>0</v>
      </c>
    </row>
    <row r="61" spans="1:4" x14ac:dyDescent="0.25">
      <c r="A61">
        <v>2023</v>
      </c>
      <c r="B61" t="s">
        <v>21</v>
      </c>
      <c r="C61" t="s">
        <v>59</v>
      </c>
      <c r="D61">
        <v>0</v>
      </c>
    </row>
    <row r="62" spans="1:4" x14ac:dyDescent="0.25">
      <c r="A62">
        <v>2023</v>
      </c>
      <c r="B62" t="s">
        <v>21</v>
      </c>
      <c r="C62" t="s">
        <v>59</v>
      </c>
      <c r="D62">
        <v>0</v>
      </c>
    </row>
    <row r="63" spans="1:4" x14ac:dyDescent="0.25">
      <c r="A63">
        <v>2023</v>
      </c>
      <c r="B63" t="s">
        <v>22</v>
      </c>
      <c r="C63" t="s">
        <v>59</v>
      </c>
      <c r="D63">
        <v>232000000</v>
      </c>
    </row>
    <row r="64" spans="1:4" x14ac:dyDescent="0.25">
      <c r="A64">
        <v>2023</v>
      </c>
      <c r="B64" t="s">
        <v>22</v>
      </c>
      <c r="C64" t="s">
        <v>59</v>
      </c>
      <c r="D64">
        <v>0</v>
      </c>
    </row>
    <row r="65" spans="1:4" x14ac:dyDescent="0.25">
      <c r="A65">
        <v>2023</v>
      </c>
      <c r="B65" t="s">
        <v>22</v>
      </c>
      <c r="C65" t="s">
        <v>59</v>
      </c>
      <c r="D65">
        <v>0</v>
      </c>
    </row>
    <row r="66" spans="1:4" x14ac:dyDescent="0.25">
      <c r="A66">
        <v>2023</v>
      </c>
      <c r="B66" t="s">
        <v>23</v>
      </c>
      <c r="C66" t="s">
        <v>59</v>
      </c>
      <c r="D66">
        <v>97329000</v>
      </c>
    </row>
    <row r="67" spans="1:4" x14ac:dyDescent="0.25">
      <c r="A67">
        <v>2023</v>
      </c>
      <c r="B67" t="s">
        <v>23</v>
      </c>
      <c r="C67" t="s">
        <v>59</v>
      </c>
      <c r="D67">
        <v>0</v>
      </c>
    </row>
    <row r="68" spans="1:4" x14ac:dyDescent="0.25">
      <c r="A68">
        <v>2023</v>
      </c>
      <c r="B68" t="s">
        <v>23</v>
      </c>
      <c r="C68" t="s">
        <v>59</v>
      </c>
      <c r="D68">
        <v>0</v>
      </c>
    </row>
    <row r="69" spans="1:4" x14ac:dyDescent="0.25">
      <c r="A69">
        <v>2023</v>
      </c>
      <c r="B69" t="s">
        <v>24</v>
      </c>
      <c r="C69" t="s">
        <v>59</v>
      </c>
      <c r="D69">
        <v>850000</v>
      </c>
    </row>
    <row r="70" spans="1:4" x14ac:dyDescent="0.25">
      <c r="A70">
        <v>2023</v>
      </c>
      <c r="B70" t="s">
        <v>24</v>
      </c>
      <c r="C70" t="s">
        <v>59</v>
      </c>
      <c r="D70">
        <v>0</v>
      </c>
    </row>
    <row r="71" spans="1:4" x14ac:dyDescent="0.25">
      <c r="A71">
        <v>2023</v>
      </c>
      <c r="B71" t="s">
        <v>25</v>
      </c>
      <c r="C71" t="s">
        <v>59</v>
      </c>
      <c r="D71">
        <v>0</v>
      </c>
    </row>
    <row r="72" spans="1:4" x14ac:dyDescent="0.25">
      <c r="A72">
        <v>2023</v>
      </c>
      <c r="B72" t="s">
        <v>25</v>
      </c>
      <c r="C72" t="s">
        <v>59</v>
      </c>
      <c r="D72">
        <v>0</v>
      </c>
    </row>
    <row r="73" spans="1:4" x14ac:dyDescent="0.25">
      <c r="A73">
        <v>2023</v>
      </c>
      <c r="B73" t="s">
        <v>28</v>
      </c>
      <c r="C73" t="s">
        <v>61</v>
      </c>
      <c r="D73">
        <v>9653400000</v>
      </c>
    </row>
    <row r="74" spans="1:4" x14ac:dyDescent="0.25">
      <c r="A74">
        <v>2023</v>
      </c>
      <c r="B74" t="s">
        <v>28</v>
      </c>
      <c r="C74" t="s">
        <v>60</v>
      </c>
      <c r="D74">
        <v>450000000</v>
      </c>
    </row>
    <row r="75" spans="1:4" x14ac:dyDescent="0.25">
      <c r="A75">
        <v>2023</v>
      </c>
      <c r="B75" t="s">
        <v>28</v>
      </c>
      <c r="C75" t="s">
        <v>62</v>
      </c>
      <c r="D75">
        <v>19000919000</v>
      </c>
    </row>
    <row r="76" spans="1:4" x14ac:dyDescent="0.25">
      <c r="A76">
        <v>2023</v>
      </c>
      <c r="B76" t="s">
        <v>28</v>
      </c>
      <c r="C76" t="s">
        <v>59</v>
      </c>
      <c r="D76">
        <v>23892735000</v>
      </c>
    </row>
    <row r="77" spans="1:4" x14ac:dyDescent="0.25">
      <c r="A77">
        <v>2023</v>
      </c>
      <c r="B77" t="s">
        <v>28</v>
      </c>
      <c r="C77" t="s">
        <v>61</v>
      </c>
      <c r="D77">
        <v>0</v>
      </c>
    </row>
    <row r="78" spans="1:4" x14ac:dyDescent="0.25">
      <c r="A78">
        <v>2023</v>
      </c>
      <c r="B78" t="s">
        <v>28</v>
      </c>
      <c r="C78" t="s">
        <v>60</v>
      </c>
      <c r="D78">
        <v>0</v>
      </c>
    </row>
    <row r="79" spans="1:4" x14ac:dyDescent="0.25">
      <c r="A79">
        <v>2023</v>
      </c>
      <c r="B79" t="s">
        <v>28</v>
      </c>
      <c r="C79" t="s">
        <v>60</v>
      </c>
      <c r="D79">
        <v>0</v>
      </c>
    </row>
    <row r="80" spans="1:4" x14ac:dyDescent="0.25">
      <c r="A80">
        <v>2023</v>
      </c>
      <c r="B80" t="s">
        <v>28</v>
      </c>
      <c r="C80" t="s">
        <v>60</v>
      </c>
      <c r="D80">
        <v>0</v>
      </c>
    </row>
    <row r="81" spans="1:4" x14ac:dyDescent="0.25">
      <c r="A81">
        <v>2023</v>
      </c>
      <c r="B81" t="s">
        <v>28</v>
      </c>
      <c r="C81" t="s">
        <v>60</v>
      </c>
      <c r="D81">
        <v>0</v>
      </c>
    </row>
    <row r="82" spans="1:4" x14ac:dyDescent="0.25">
      <c r="A82">
        <v>2023</v>
      </c>
      <c r="B82" t="s">
        <v>28</v>
      </c>
      <c r="C82" t="s">
        <v>60</v>
      </c>
      <c r="D82">
        <v>0</v>
      </c>
    </row>
    <row r="83" spans="1:4" x14ac:dyDescent="0.25">
      <c r="A83">
        <v>2023</v>
      </c>
      <c r="B83" t="s">
        <v>28</v>
      </c>
      <c r="C83" t="s">
        <v>60</v>
      </c>
      <c r="D83">
        <v>0</v>
      </c>
    </row>
    <row r="84" spans="1:4" x14ac:dyDescent="0.25">
      <c r="A84">
        <v>2023</v>
      </c>
      <c r="B84" t="s">
        <v>28</v>
      </c>
      <c r="C84" t="s">
        <v>60</v>
      </c>
      <c r="D84">
        <v>0</v>
      </c>
    </row>
    <row r="85" spans="1:4" x14ac:dyDescent="0.25">
      <c r="A85">
        <v>2023</v>
      </c>
      <c r="B85" t="s">
        <v>28</v>
      </c>
      <c r="C85" t="s">
        <v>60</v>
      </c>
      <c r="D85">
        <v>0</v>
      </c>
    </row>
    <row r="86" spans="1:4" x14ac:dyDescent="0.25">
      <c r="A86">
        <v>2023</v>
      </c>
      <c r="B86" t="s">
        <v>28</v>
      </c>
      <c r="C86" t="s">
        <v>60</v>
      </c>
      <c r="D86">
        <v>0</v>
      </c>
    </row>
    <row r="87" spans="1:4" x14ac:dyDescent="0.25">
      <c r="A87">
        <v>2023</v>
      </c>
      <c r="B87" t="s">
        <v>28</v>
      </c>
      <c r="C87" t="s">
        <v>60</v>
      </c>
      <c r="D87">
        <v>0</v>
      </c>
    </row>
    <row r="88" spans="1:4" x14ac:dyDescent="0.25">
      <c r="A88">
        <v>2023</v>
      </c>
      <c r="B88" t="s">
        <v>28</v>
      </c>
      <c r="C88" t="s">
        <v>60</v>
      </c>
      <c r="D88">
        <v>0</v>
      </c>
    </row>
    <row r="89" spans="1:4" x14ac:dyDescent="0.25">
      <c r="A89">
        <v>2023</v>
      </c>
      <c r="B89" t="s">
        <v>28</v>
      </c>
      <c r="C89" t="s">
        <v>60</v>
      </c>
      <c r="D89">
        <v>0</v>
      </c>
    </row>
    <row r="90" spans="1:4" x14ac:dyDescent="0.25">
      <c r="A90">
        <v>2023</v>
      </c>
      <c r="B90" t="s">
        <v>28</v>
      </c>
      <c r="C90" t="s">
        <v>62</v>
      </c>
      <c r="D90">
        <v>0</v>
      </c>
    </row>
    <row r="91" spans="1:4" x14ac:dyDescent="0.25">
      <c r="A91">
        <v>2023</v>
      </c>
      <c r="B91" t="s">
        <v>28</v>
      </c>
      <c r="C91" t="s">
        <v>59</v>
      </c>
      <c r="D91">
        <v>0</v>
      </c>
    </row>
    <row r="92" spans="1:4" x14ac:dyDescent="0.25">
      <c r="A92">
        <v>2023</v>
      </c>
      <c r="B92" t="s">
        <v>28</v>
      </c>
      <c r="C92" t="s">
        <v>59</v>
      </c>
      <c r="D92">
        <v>0</v>
      </c>
    </row>
    <row r="93" spans="1:4" x14ac:dyDescent="0.25">
      <c r="A93">
        <v>2023</v>
      </c>
      <c r="B93" t="s">
        <v>28</v>
      </c>
      <c r="C93" t="s">
        <v>59</v>
      </c>
      <c r="D93">
        <v>0</v>
      </c>
    </row>
    <row r="94" spans="1:4" x14ac:dyDescent="0.25">
      <c r="A94">
        <v>2023</v>
      </c>
      <c r="B94" t="s">
        <v>28</v>
      </c>
      <c r="C94" t="s">
        <v>59</v>
      </c>
      <c r="D94">
        <v>0</v>
      </c>
    </row>
    <row r="95" spans="1:4" x14ac:dyDescent="0.25">
      <c r="A95">
        <v>2023</v>
      </c>
      <c r="B95" t="s">
        <v>28</v>
      </c>
      <c r="C95" t="s">
        <v>59</v>
      </c>
      <c r="D95">
        <v>0</v>
      </c>
    </row>
    <row r="96" spans="1:4" x14ac:dyDescent="0.25">
      <c r="A96">
        <v>2023</v>
      </c>
      <c r="B96" t="s">
        <v>28</v>
      </c>
      <c r="C96" t="s">
        <v>59</v>
      </c>
      <c r="D96">
        <v>0</v>
      </c>
    </row>
    <row r="97" spans="1:4" x14ac:dyDescent="0.25">
      <c r="A97">
        <v>2023</v>
      </c>
      <c r="B97" t="s">
        <v>28</v>
      </c>
      <c r="C97" t="s">
        <v>59</v>
      </c>
      <c r="D97">
        <v>0</v>
      </c>
    </row>
    <row r="98" spans="1:4" x14ac:dyDescent="0.25">
      <c r="A98">
        <v>2023</v>
      </c>
      <c r="B98" t="s">
        <v>28</v>
      </c>
      <c r="C98" t="s">
        <v>59</v>
      </c>
      <c r="D98">
        <v>0</v>
      </c>
    </row>
    <row r="99" spans="1:4" x14ac:dyDescent="0.25">
      <c r="A99">
        <v>2023</v>
      </c>
      <c r="B99" t="s">
        <v>28</v>
      </c>
      <c r="C99" t="s">
        <v>59</v>
      </c>
      <c r="D99">
        <v>0</v>
      </c>
    </row>
    <row r="100" spans="1:4" x14ac:dyDescent="0.25">
      <c r="A100">
        <v>2023</v>
      </c>
      <c r="B100" t="s">
        <v>32</v>
      </c>
      <c r="C100" t="s">
        <v>62</v>
      </c>
      <c r="D100">
        <v>0</v>
      </c>
    </row>
    <row r="101" spans="1:4" x14ac:dyDescent="0.25">
      <c r="A101">
        <v>2023</v>
      </c>
      <c r="B101" t="s">
        <v>33</v>
      </c>
      <c r="C101" t="s">
        <v>59</v>
      </c>
      <c r="D101">
        <v>41366000</v>
      </c>
    </row>
    <row r="102" spans="1:4" x14ac:dyDescent="0.25">
      <c r="A102">
        <v>2023</v>
      </c>
      <c r="B102" t="s">
        <v>33</v>
      </c>
      <c r="C102" t="s">
        <v>62</v>
      </c>
      <c r="D102">
        <v>0</v>
      </c>
    </row>
    <row r="103" spans="1:4" x14ac:dyDescent="0.25">
      <c r="A103">
        <v>2023</v>
      </c>
      <c r="B103" t="s">
        <v>33</v>
      </c>
      <c r="C103" t="s">
        <v>59</v>
      </c>
      <c r="D103">
        <v>0</v>
      </c>
    </row>
    <row r="104" spans="1:4" x14ac:dyDescent="0.25">
      <c r="A104">
        <v>2023</v>
      </c>
      <c r="B104" t="s">
        <v>34</v>
      </c>
      <c r="C104" t="s">
        <v>59</v>
      </c>
      <c r="D104">
        <v>505760000</v>
      </c>
    </row>
    <row r="105" spans="1:4" x14ac:dyDescent="0.25">
      <c r="A105">
        <v>2023</v>
      </c>
      <c r="B105" t="s">
        <v>34</v>
      </c>
      <c r="C105" t="s">
        <v>62</v>
      </c>
      <c r="D105">
        <v>0</v>
      </c>
    </row>
    <row r="106" spans="1:4" x14ac:dyDescent="0.25">
      <c r="A106">
        <v>2023</v>
      </c>
      <c r="B106" t="s">
        <v>34</v>
      </c>
      <c r="C106" t="s">
        <v>59</v>
      </c>
      <c r="D106">
        <v>0</v>
      </c>
    </row>
    <row r="107" spans="1:4" x14ac:dyDescent="0.25">
      <c r="A107">
        <v>2023</v>
      </c>
      <c r="B107" t="s">
        <v>34</v>
      </c>
      <c r="C107" t="s">
        <v>59</v>
      </c>
      <c r="D107">
        <v>0</v>
      </c>
    </row>
    <row r="108" spans="1:4" x14ac:dyDescent="0.25">
      <c r="A108">
        <v>2023</v>
      </c>
      <c r="B108" t="s">
        <v>34</v>
      </c>
      <c r="C108" t="s">
        <v>59</v>
      </c>
      <c r="D108">
        <v>0</v>
      </c>
    </row>
    <row r="109" spans="1:4" x14ac:dyDescent="0.25">
      <c r="A109">
        <v>2023</v>
      </c>
      <c r="B109" t="s">
        <v>34</v>
      </c>
      <c r="C109" t="s">
        <v>59</v>
      </c>
      <c r="D109">
        <v>0</v>
      </c>
    </row>
    <row r="110" spans="1:4" x14ac:dyDescent="0.25">
      <c r="A110">
        <v>2023</v>
      </c>
      <c r="B110" t="s">
        <v>34</v>
      </c>
      <c r="C110" t="s">
        <v>59</v>
      </c>
      <c r="D110">
        <v>0</v>
      </c>
    </row>
    <row r="111" spans="1:4" x14ac:dyDescent="0.25">
      <c r="A111">
        <v>2023</v>
      </c>
      <c r="B111" t="s">
        <v>34</v>
      </c>
      <c r="C111" t="s">
        <v>59</v>
      </c>
      <c r="D111">
        <v>0</v>
      </c>
    </row>
    <row r="112" spans="1:4" x14ac:dyDescent="0.25">
      <c r="A112">
        <v>2023</v>
      </c>
      <c r="B112" t="s">
        <v>34</v>
      </c>
      <c r="C112" t="s">
        <v>59</v>
      </c>
      <c r="D112">
        <v>0</v>
      </c>
    </row>
    <row r="113" spans="1:4" x14ac:dyDescent="0.25">
      <c r="A113">
        <v>2023</v>
      </c>
      <c r="B113" t="s">
        <v>34</v>
      </c>
      <c r="C113" t="s">
        <v>59</v>
      </c>
      <c r="D113">
        <v>0</v>
      </c>
    </row>
    <row r="114" spans="1:4" x14ac:dyDescent="0.25">
      <c r="A114">
        <v>2023</v>
      </c>
      <c r="B114" t="s">
        <v>35</v>
      </c>
      <c r="C114" t="s">
        <v>62</v>
      </c>
      <c r="D114">
        <v>0</v>
      </c>
    </row>
    <row r="115" spans="1:4" x14ac:dyDescent="0.25">
      <c r="A115">
        <v>2023</v>
      </c>
      <c r="B115" t="s">
        <v>35</v>
      </c>
      <c r="C115" t="s">
        <v>59</v>
      </c>
      <c r="D115">
        <v>0</v>
      </c>
    </row>
    <row r="116" spans="1:4" x14ac:dyDescent="0.25">
      <c r="A116">
        <v>2023</v>
      </c>
      <c r="B116" t="s">
        <v>37</v>
      </c>
      <c r="C116" t="s">
        <v>62</v>
      </c>
      <c r="D116">
        <v>0</v>
      </c>
    </row>
    <row r="117" spans="1:4" x14ac:dyDescent="0.25">
      <c r="A117">
        <v>2023</v>
      </c>
      <c r="B117" t="s">
        <v>38</v>
      </c>
      <c r="C117" t="s">
        <v>59</v>
      </c>
      <c r="D117">
        <v>7100000</v>
      </c>
    </row>
    <row r="118" spans="1:4" x14ac:dyDescent="0.25">
      <c r="A118">
        <v>2023</v>
      </c>
      <c r="B118" t="s">
        <v>38</v>
      </c>
      <c r="C118" t="s">
        <v>62</v>
      </c>
      <c r="D118">
        <v>0</v>
      </c>
    </row>
    <row r="119" spans="1:4" x14ac:dyDescent="0.25">
      <c r="A119">
        <v>2023</v>
      </c>
      <c r="B119" t="s">
        <v>38</v>
      </c>
      <c r="C119" t="s">
        <v>59</v>
      </c>
      <c r="D119">
        <v>0</v>
      </c>
    </row>
    <row r="120" spans="1:4" x14ac:dyDescent="0.25">
      <c r="A120">
        <v>2023</v>
      </c>
      <c r="B120" t="s">
        <v>38</v>
      </c>
      <c r="C120" t="s">
        <v>59</v>
      </c>
      <c r="D120">
        <v>0</v>
      </c>
    </row>
    <row r="121" spans="1:4" x14ac:dyDescent="0.25">
      <c r="A121">
        <v>2023</v>
      </c>
      <c r="B121" t="s">
        <v>40</v>
      </c>
      <c r="C121" t="s">
        <v>62</v>
      </c>
      <c r="D121">
        <v>0</v>
      </c>
    </row>
    <row r="122" spans="1:4" x14ac:dyDescent="0.25">
      <c r="A122">
        <v>2023</v>
      </c>
      <c r="B122" t="s">
        <v>40</v>
      </c>
      <c r="C122" t="s">
        <v>59</v>
      </c>
      <c r="D122">
        <v>0</v>
      </c>
    </row>
    <row r="123" spans="1:4" x14ac:dyDescent="0.25">
      <c r="A123">
        <v>2023</v>
      </c>
      <c r="B123" t="s">
        <v>41</v>
      </c>
      <c r="C123" t="s">
        <v>60</v>
      </c>
      <c r="D123">
        <v>0</v>
      </c>
    </row>
    <row r="124" spans="1:4" x14ac:dyDescent="0.25">
      <c r="A124">
        <v>2023</v>
      </c>
      <c r="B124" t="s">
        <v>41</v>
      </c>
      <c r="C124" t="s">
        <v>62</v>
      </c>
      <c r="D124">
        <v>0</v>
      </c>
    </row>
    <row r="125" spans="1:4" x14ac:dyDescent="0.25">
      <c r="A125">
        <v>2023</v>
      </c>
      <c r="B125" t="s">
        <v>41</v>
      </c>
      <c r="C125" t="s">
        <v>59</v>
      </c>
      <c r="D125">
        <v>0</v>
      </c>
    </row>
    <row r="126" spans="1:4" x14ac:dyDescent="0.25">
      <c r="A126">
        <v>2023</v>
      </c>
      <c r="B126" t="s">
        <v>43</v>
      </c>
      <c r="C126" t="s">
        <v>59</v>
      </c>
      <c r="D126">
        <v>600000</v>
      </c>
    </row>
    <row r="127" spans="1:4" x14ac:dyDescent="0.25">
      <c r="A127">
        <v>2023</v>
      </c>
      <c r="B127" t="s">
        <v>44</v>
      </c>
      <c r="C127" t="s">
        <v>62</v>
      </c>
      <c r="D127">
        <v>0</v>
      </c>
    </row>
    <row r="128" spans="1:4" x14ac:dyDescent="0.25">
      <c r="A128">
        <v>2023</v>
      </c>
      <c r="B128" t="s">
        <v>45</v>
      </c>
      <c r="C128" t="s">
        <v>62</v>
      </c>
      <c r="D128">
        <v>0</v>
      </c>
    </row>
    <row r="129" spans="1:4" x14ac:dyDescent="0.25">
      <c r="A129">
        <v>2023</v>
      </c>
      <c r="B129" t="s">
        <v>45</v>
      </c>
      <c r="C129" t="s">
        <v>59</v>
      </c>
      <c r="D129">
        <v>0</v>
      </c>
    </row>
    <row r="130" spans="1:4" x14ac:dyDescent="0.25">
      <c r="A130">
        <v>2023</v>
      </c>
      <c r="B130" t="s">
        <v>46</v>
      </c>
      <c r="C130" t="s">
        <v>59</v>
      </c>
      <c r="D130">
        <v>9559000</v>
      </c>
    </row>
    <row r="131" spans="1:4" x14ac:dyDescent="0.25">
      <c r="A131">
        <v>2023</v>
      </c>
      <c r="B131" t="s">
        <v>46</v>
      </c>
      <c r="C131" t="s">
        <v>61</v>
      </c>
      <c r="D131">
        <v>0</v>
      </c>
    </row>
    <row r="132" spans="1:4" x14ac:dyDescent="0.25">
      <c r="A132">
        <v>2023</v>
      </c>
      <c r="B132" t="s">
        <v>46</v>
      </c>
      <c r="C132" t="s">
        <v>62</v>
      </c>
      <c r="D132">
        <v>0</v>
      </c>
    </row>
    <row r="133" spans="1:4" x14ac:dyDescent="0.25">
      <c r="A133">
        <v>2023</v>
      </c>
      <c r="B133" t="s">
        <v>46</v>
      </c>
      <c r="C133" t="s">
        <v>59</v>
      </c>
      <c r="D133">
        <v>0</v>
      </c>
    </row>
    <row r="134" spans="1:4" x14ac:dyDescent="0.25">
      <c r="A134">
        <v>2023</v>
      </c>
      <c r="B134" t="s">
        <v>47</v>
      </c>
      <c r="C134" t="s">
        <v>62</v>
      </c>
      <c r="D134">
        <v>0</v>
      </c>
    </row>
    <row r="135" spans="1:4" x14ac:dyDescent="0.25">
      <c r="A135">
        <v>2023</v>
      </c>
      <c r="B135" t="s">
        <v>47</v>
      </c>
      <c r="C135" t="s">
        <v>59</v>
      </c>
      <c r="D135">
        <v>70000</v>
      </c>
    </row>
    <row r="136" spans="1:4" x14ac:dyDescent="0.25">
      <c r="A136">
        <v>2023</v>
      </c>
      <c r="B136" t="s">
        <v>47</v>
      </c>
      <c r="C136" t="s">
        <v>62</v>
      </c>
      <c r="D136">
        <v>0</v>
      </c>
    </row>
    <row r="137" spans="1:4" x14ac:dyDescent="0.25">
      <c r="A137">
        <v>2023</v>
      </c>
      <c r="B137" t="s">
        <v>47</v>
      </c>
      <c r="C137" t="s">
        <v>59</v>
      </c>
      <c r="D137">
        <v>0</v>
      </c>
    </row>
    <row r="138" spans="1:4" x14ac:dyDescent="0.25">
      <c r="A138">
        <v>2023</v>
      </c>
      <c r="B138" t="s">
        <v>63</v>
      </c>
      <c r="C138" t="s">
        <v>60</v>
      </c>
      <c r="D138">
        <v>0</v>
      </c>
    </row>
    <row r="139" spans="1:4" x14ac:dyDescent="0.25">
      <c r="A139">
        <v>2023</v>
      </c>
      <c r="B139" t="s">
        <v>63</v>
      </c>
      <c r="C139" t="s">
        <v>59</v>
      </c>
      <c r="D139">
        <v>0</v>
      </c>
    </row>
    <row r="140" spans="1:4" x14ac:dyDescent="0.25">
      <c r="A140">
        <v>2023</v>
      </c>
      <c r="B140" t="s">
        <v>64</v>
      </c>
      <c r="C140" t="s">
        <v>59</v>
      </c>
      <c r="D140">
        <v>0</v>
      </c>
    </row>
    <row r="141" spans="1:4" x14ac:dyDescent="0.25">
      <c r="A141">
        <v>2023</v>
      </c>
      <c r="B141" t="s">
        <v>65</v>
      </c>
      <c r="C141" t="s">
        <v>62</v>
      </c>
      <c r="D141">
        <v>0</v>
      </c>
    </row>
    <row r="142" spans="1:4" x14ac:dyDescent="0.25">
      <c r="A142">
        <v>2023</v>
      </c>
      <c r="B142" t="s">
        <v>65</v>
      </c>
      <c r="C142" t="s">
        <v>59</v>
      </c>
      <c r="D142">
        <v>0</v>
      </c>
    </row>
    <row r="143" spans="1:4" x14ac:dyDescent="0.25">
      <c r="A143">
        <v>2023</v>
      </c>
      <c r="B143" t="s">
        <v>48</v>
      </c>
      <c r="C143" t="s">
        <v>59</v>
      </c>
      <c r="D143">
        <v>102144000</v>
      </c>
    </row>
    <row r="144" spans="1:4" x14ac:dyDescent="0.25">
      <c r="A144">
        <v>2023</v>
      </c>
      <c r="B144" t="s">
        <v>49</v>
      </c>
      <c r="C144" t="s">
        <v>59</v>
      </c>
      <c r="D144">
        <v>22053000</v>
      </c>
    </row>
    <row r="145" spans="1:4" x14ac:dyDescent="0.25">
      <c r="A145">
        <v>2023</v>
      </c>
      <c r="B145" t="s">
        <v>50</v>
      </c>
      <c r="C145" t="s">
        <v>59</v>
      </c>
      <c r="D145">
        <v>50000000</v>
      </c>
    </row>
    <row r="146" spans="1:4" x14ac:dyDescent="0.25">
      <c r="A146">
        <v>2023</v>
      </c>
      <c r="B146" t="s">
        <v>51</v>
      </c>
      <c r="C146" t="s">
        <v>59</v>
      </c>
      <c r="D146">
        <v>300000</v>
      </c>
    </row>
    <row r="147" spans="1:4" x14ac:dyDescent="0.25">
      <c r="A147">
        <v>2023</v>
      </c>
      <c r="B147" t="s">
        <v>70</v>
      </c>
      <c r="C147" t="s">
        <v>59</v>
      </c>
      <c r="D147">
        <v>0</v>
      </c>
    </row>
    <row r="148" spans="1:4" x14ac:dyDescent="0.25">
      <c r="A148">
        <v>2023</v>
      </c>
      <c r="B148" t="s">
        <v>68</v>
      </c>
      <c r="C148" t="s">
        <v>62</v>
      </c>
      <c r="D148">
        <v>0</v>
      </c>
    </row>
    <row r="149" spans="1:4" x14ac:dyDescent="0.25">
      <c r="A149">
        <v>2023</v>
      </c>
      <c r="B149" t="s">
        <v>68</v>
      </c>
      <c r="C149" t="s">
        <v>59</v>
      </c>
      <c r="D149">
        <v>0</v>
      </c>
    </row>
    <row r="150" spans="1:4" x14ac:dyDescent="0.25">
      <c r="A150">
        <v>2023</v>
      </c>
      <c r="B150" t="s">
        <v>52</v>
      </c>
      <c r="C150" t="s">
        <v>59</v>
      </c>
      <c r="D150">
        <v>170000000</v>
      </c>
    </row>
    <row r="151" spans="1:4" x14ac:dyDescent="0.25">
      <c r="A151">
        <v>2023</v>
      </c>
      <c r="B151" t="s">
        <v>56</v>
      </c>
      <c r="C151" t="s">
        <v>59</v>
      </c>
      <c r="D151">
        <v>1350553000</v>
      </c>
    </row>
    <row r="152" spans="1:4" x14ac:dyDescent="0.25">
      <c r="A152">
        <v>2023</v>
      </c>
      <c r="B152" t="s">
        <v>57</v>
      </c>
      <c r="C152" t="s">
        <v>62</v>
      </c>
      <c r="D152">
        <v>21935440</v>
      </c>
    </row>
    <row r="153" spans="1:4" x14ac:dyDescent="0.25">
      <c r="A153">
        <v>2023</v>
      </c>
      <c r="B153" t="s">
        <v>57</v>
      </c>
      <c r="C153" t="s">
        <v>59</v>
      </c>
      <c r="D153">
        <v>293258560</v>
      </c>
    </row>
    <row r="154" spans="1:4" x14ac:dyDescent="0.25">
      <c r="A154">
        <v>2023</v>
      </c>
      <c r="B154" t="s">
        <v>69</v>
      </c>
      <c r="C154" t="s">
        <v>59</v>
      </c>
      <c r="D154">
        <v>0</v>
      </c>
    </row>
    <row r="155" spans="1:4" x14ac:dyDescent="0.25">
      <c r="A155">
        <v>2023</v>
      </c>
      <c r="B155" t="s">
        <v>71</v>
      </c>
      <c r="C155" t="s">
        <v>62</v>
      </c>
      <c r="D155">
        <v>0</v>
      </c>
    </row>
    <row r="156" spans="1:4" x14ac:dyDescent="0.25">
      <c r="A156">
        <v>2023</v>
      </c>
      <c r="B156" t="s">
        <v>72</v>
      </c>
      <c r="C156" t="s">
        <v>59</v>
      </c>
      <c r="D156">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093C2-1EEA-4434-B536-7FD71C2DE45B}">
  <dimension ref="A1:D176"/>
  <sheetViews>
    <sheetView workbookViewId="0"/>
  </sheetViews>
  <sheetFormatPr defaultRowHeight="15" x14ac:dyDescent="0.25"/>
  <cols>
    <col min="1" max="1" width="8" bestFit="1" customWidth="1"/>
    <col min="2" max="2" width="81.140625" bestFit="1" customWidth="1"/>
    <col min="3" max="3" width="22" bestFit="1" customWidth="1"/>
    <col min="4" max="4" width="20.42578125" bestFit="1" customWidth="1"/>
  </cols>
  <sheetData>
    <row r="1" spans="1:4" x14ac:dyDescent="0.25">
      <c r="A1" t="s">
        <v>0</v>
      </c>
      <c r="B1" t="s">
        <v>1</v>
      </c>
      <c r="C1" t="s">
        <v>2</v>
      </c>
      <c r="D1" t="s">
        <v>58</v>
      </c>
    </row>
    <row r="2" spans="1:4" x14ac:dyDescent="0.25">
      <c r="A2">
        <v>2022</v>
      </c>
      <c r="B2" t="s">
        <v>4</v>
      </c>
      <c r="C2" t="s">
        <v>59</v>
      </c>
      <c r="D2">
        <v>94411000</v>
      </c>
    </row>
    <row r="3" spans="1:4" x14ac:dyDescent="0.25">
      <c r="A3">
        <v>2022</v>
      </c>
      <c r="B3" t="s">
        <v>4</v>
      </c>
      <c r="C3" t="s">
        <v>59</v>
      </c>
      <c r="D3">
        <v>0</v>
      </c>
    </row>
    <row r="4" spans="1:4" x14ac:dyDescent="0.25">
      <c r="A4">
        <v>2022</v>
      </c>
      <c r="B4" t="s">
        <v>4</v>
      </c>
      <c r="C4" t="s">
        <v>59</v>
      </c>
      <c r="D4">
        <v>0</v>
      </c>
    </row>
    <row r="5" spans="1:4" x14ac:dyDescent="0.25">
      <c r="A5">
        <v>2022</v>
      </c>
      <c r="B5" t="s">
        <v>4</v>
      </c>
      <c r="C5" t="s">
        <v>59</v>
      </c>
      <c r="D5">
        <v>0</v>
      </c>
    </row>
    <row r="6" spans="1:4" x14ac:dyDescent="0.25">
      <c r="A6">
        <v>2022</v>
      </c>
      <c r="B6" t="s">
        <v>4</v>
      </c>
      <c r="C6" t="s">
        <v>59</v>
      </c>
      <c r="D6">
        <v>0</v>
      </c>
    </row>
    <row r="7" spans="1:4" x14ac:dyDescent="0.25">
      <c r="A7">
        <v>2022</v>
      </c>
      <c r="B7" t="s">
        <v>4</v>
      </c>
      <c r="C7" t="s">
        <v>59</v>
      </c>
      <c r="D7">
        <v>0</v>
      </c>
    </row>
    <row r="8" spans="1:4" x14ac:dyDescent="0.25">
      <c r="A8">
        <v>2022</v>
      </c>
      <c r="B8" t="s">
        <v>9</v>
      </c>
      <c r="C8" t="s">
        <v>59</v>
      </c>
      <c r="D8">
        <v>39600000</v>
      </c>
    </row>
    <row r="9" spans="1:4" x14ac:dyDescent="0.25">
      <c r="A9">
        <v>2022</v>
      </c>
      <c r="B9" t="s">
        <v>9</v>
      </c>
      <c r="C9" t="s">
        <v>59</v>
      </c>
      <c r="D9">
        <v>0</v>
      </c>
    </row>
    <row r="10" spans="1:4" x14ac:dyDescent="0.25">
      <c r="A10">
        <v>2022</v>
      </c>
      <c r="B10" t="s">
        <v>9</v>
      </c>
      <c r="C10" t="s">
        <v>59</v>
      </c>
      <c r="D10">
        <v>0</v>
      </c>
    </row>
    <row r="11" spans="1:4" x14ac:dyDescent="0.25">
      <c r="A11">
        <v>2022</v>
      </c>
      <c r="B11" t="s">
        <v>10</v>
      </c>
      <c r="C11" t="s">
        <v>59</v>
      </c>
      <c r="D11">
        <v>621000000</v>
      </c>
    </row>
    <row r="12" spans="1:4" x14ac:dyDescent="0.25">
      <c r="A12">
        <v>2022</v>
      </c>
      <c r="B12" t="s">
        <v>10</v>
      </c>
      <c r="C12" t="s">
        <v>59</v>
      </c>
      <c r="D12">
        <v>0</v>
      </c>
    </row>
    <row r="13" spans="1:4" x14ac:dyDescent="0.25">
      <c r="A13">
        <v>2022</v>
      </c>
      <c r="B13" t="s">
        <v>10</v>
      </c>
      <c r="C13" t="s">
        <v>59</v>
      </c>
      <c r="D13">
        <v>0</v>
      </c>
    </row>
    <row r="14" spans="1:4" x14ac:dyDescent="0.25">
      <c r="A14">
        <v>2022</v>
      </c>
      <c r="B14" t="s">
        <v>11</v>
      </c>
      <c r="C14" t="s">
        <v>59</v>
      </c>
      <c r="D14">
        <v>150705000</v>
      </c>
    </row>
    <row r="15" spans="1:4" x14ac:dyDescent="0.25">
      <c r="A15">
        <v>2022</v>
      </c>
      <c r="B15" t="s">
        <v>11</v>
      </c>
      <c r="C15" t="s">
        <v>60</v>
      </c>
      <c r="D15">
        <v>0</v>
      </c>
    </row>
    <row r="16" spans="1:4" x14ac:dyDescent="0.25">
      <c r="A16">
        <v>2022</v>
      </c>
      <c r="B16" t="s">
        <v>11</v>
      </c>
      <c r="C16" t="s">
        <v>60</v>
      </c>
      <c r="D16">
        <v>0</v>
      </c>
    </row>
    <row r="17" spans="1:4" x14ac:dyDescent="0.25">
      <c r="A17">
        <v>2022</v>
      </c>
      <c r="B17" t="s">
        <v>11</v>
      </c>
      <c r="C17" t="s">
        <v>59</v>
      </c>
      <c r="D17">
        <v>0</v>
      </c>
    </row>
    <row r="18" spans="1:4" x14ac:dyDescent="0.25">
      <c r="A18">
        <v>2022</v>
      </c>
      <c r="B18" t="s">
        <v>11</v>
      </c>
      <c r="C18" t="s">
        <v>59</v>
      </c>
      <c r="D18">
        <v>0</v>
      </c>
    </row>
    <row r="19" spans="1:4" x14ac:dyDescent="0.25">
      <c r="A19">
        <v>2022</v>
      </c>
      <c r="B19" t="s">
        <v>11</v>
      </c>
      <c r="C19" t="s">
        <v>59</v>
      </c>
      <c r="D19">
        <v>0</v>
      </c>
    </row>
    <row r="20" spans="1:4" x14ac:dyDescent="0.25">
      <c r="A20">
        <v>2022</v>
      </c>
      <c r="B20" t="s">
        <v>11</v>
      </c>
      <c r="C20" t="s">
        <v>59</v>
      </c>
      <c r="D20">
        <v>0</v>
      </c>
    </row>
    <row r="21" spans="1:4" x14ac:dyDescent="0.25">
      <c r="A21">
        <v>2022</v>
      </c>
      <c r="B21" t="s">
        <v>11</v>
      </c>
      <c r="C21" t="s">
        <v>59</v>
      </c>
      <c r="D21">
        <v>0</v>
      </c>
    </row>
    <row r="22" spans="1:4" x14ac:dyDescent="0.25">
      <c r="A22">
        <v>2022</v>
      </c>
      <c r="B22" t="s">
        <v>11</v>
      </c>
      <c r="C22" t="s">
        <v>59</v>
      </c>
      <c r="D22">
        <v>0</v>
      </c>
    </row>
    <row r="23" spans="1:4" x14ac:dyDescent="0.25">
      <c r="A23">
        <v>2022</v>
      </c>
      <c r="B23" t="s">
        <v>11</v>
      </c>
      <c r="C23" t="s">
        <v>59</v>
      </c>
      <c r="D23">
        <v>0</v>
      </c>
    </row>
    <row r="24" spans="1:4" x14ac:dyDescent="0.25">
      <c r="A24">
        <v>2022</v>
      </c>
      <c r="B24" t="s">
        <v>11</v>
      </c>
      <c r="C24" t="s">
        <v>59</v>
      </c>
      <c r="D24">
        <v>0</v>
      </c>
    </row>
    <row r="25" spans="1:4" x14ac:dyDescent="0.25">
      <c r="A25">
        <v>2022</v>
      </c>
      <c r="B25" t="s">
        <v>12</v>
      </c>
      <c r="C25" t="s">
        <v>59</v>
      </c>
      <c r="D25">
        <v>8310000</v>
      </c>
    </row>
    <row r="26" spans="1:4" x14ac:dyDescent="0.25">
      <c r="A26">
        <v>2022</v>
      </c>
      <c r="B26" t="s">
        <v>12</v>
      </c>
      <c r="C26" t="s">
        <v>59</v>
      </c>
      <c r="D26">
        <v>0</v>
      </c>
    </row>
    <row r="27" spans="1:4" x14ac:dyDescent="0.25">
      <c r="A27">
        <v>2022</v>
      </c>
      <c r="B27" t="s">
        <v>12</v>
      </c>
      <c r="C27" t="s">
        <v>59</v>
      </c>
      <c r="D27">
        <v>0</v>
      </c>
    </row>
    <row r="28" spans="1:4" x14ac:dyDescent="0.25">
      <c r="A28">
        <v>2022</v>
      </c>
      <c r="B28" t="s">
        <v>14</v>
      </c>
      <c r="C28" t="s">
        <v>59</v>
      </c>
      <c r="D28">
        <v>18250000</v>
      </c>
    </row>
    <row r="29" spans="1:4" x14ac:dyDescent="0.25">
      <c r="A29">
        <v>2022</v>
      </c>
      <c r="B29" t="s">
        <v>14</v>
      </c>
      <c r="C29" t="s">
        <v>59</v>
      </c>
      <c r="D29">
        <v>0</v>
      </c>
    </row>
    <row r="30" spans="1:4" x14ac:dyDescent="0.25">
      <c r="A30">
        <v>2022</v>
      </c>
      <c r="B30" t="s">
        <v>14</v>
      </c>
      <c r="C30" t="s">
        <v>59</v>
      </c>
      <c r="D30">
        <v>0</v>
      </c>
    </row>
    <row r="31" spans="1:4" x14ac:dyDescent="0.25">
      <c r="A31">
        <v>2022</v>
      </c>
      <c r="B31" t="s">
        <v>15</v>
      </c>
      <c r="C31" t="s">
        <v>59</v>
      </c>
      <c r="D31">
        <v>216763000</v>
      </c>
    </row>
    <row r="32" spans="1:4" x14ac:dyDescent="0.25">
      <c r="A32">
        <v>2022</v>
      </c>
      <c r="B32" t="s">
        <v>15</v>
      </c>
      <c r="C32" t="s">
        <v>61</v>
      </c>
      <c r="D32">
        <v>0</v>
      </c>
    </row>
    <row r="33" spans="1:4" x14ac:dyDescent="0.25">
      <c r="A33">
        <v>2022</v>
      </c>
      <c r="B33" t="s">
        <v>15</v>
      </c>
      <c r="C33" t="s">
        <v>61</v>
      </c>
      <c r="D33">
        <v>0</v>
      </c>
    </row>
    <row r="34" spans="1:4" x14ac:dyDescent="0.25">
      <c r="A34">
        <v>2022</v>
      </c>
      <c r="B34" t="s">
        <v>15</v>
      </c>
      <c r="C34" t="s">
        <v>59</v>
      </c>
      <c r="D34">
        <v>0</v>
      </c>
    </row>
    <row r="35" spans="1:4" x14ac:dyDescent="0.25">
      <c r="A35">
        <v>2022</v>
      </c>
      <c r="B35" t="s">
        <v>15</v>
      </c>
      <c r="C35" t="s">
        <v>59</v>
      </c>
      <c r="D35">
        <v>0</v>
      </c>
    </row>
    <row r="36" spans="1:4" x14ac:dyDescent="0.25">
      <c r="A36">
        <v>2022</v>
      </c>
      <c r="B36" t="s">
        <v>15</v>
      </c>
      <c r="C36" t="s">
        <v>59</v>
      </c>
      <c r="D36">
        <v>0</v>
      </c>
    </row>
    <row r="37" spans="1:4" x14ac:dyDescent="0.25">
      <c r="A37">
        <v>2022</v>
      </c>
      <c r="B37" t="s">
        <v>15</v>
      </c>
      <c r="C37" t="s">
        <v>59</v>
      </c>
      <c r="D37">
        <v>0</v>
      </c>
    </row>
    <row r="38" spans="1:4" x14ac:dyDescent="0.25">
      <c r="A38">
        <v>2022</v>
      </c>
      <c r="B38" t="s">
        <v>15</v>
      </c>
      <c r="C38" t="s">
        <v>59</v>
      </c>
      <c r="D38">
        <v>0</v>
      </c>
    </row>
    <row r="39" spans="1:4" x14ac:dyDescent="0.25">
      <c r="A39">
        <v>2022</v>
      </c>
      <c r="B39" t="s">
        <v>15</v>
      </c>
      <c r="C39" t="s">
        <v>59</v>
      </c>
      <c r="D39">
        <v>0</v>
      </c>
    </row>
    <row r="40" spans="1:4" x14ac:dyDescent="0.25">
      <c r="A40">
        <v>2022</v>
      </c>
      <c r="B40" t="s">
        <v>15</v>
      </c>
      <c r="C40" t="s">
        <v>59</v>
      </c>
      <c r="D40">
        <v>0</v>
      </c>
    </row>
    <row r="41" spans="1:4" x14ac:dyDescent="0.25">
      <c r="A41">
        <v>2022</v>
      </c>
      <c r="B41" t="s">
        <v>15</v>
      </c>
      <c r="C41" t="s">
        <v>59</v>
      </c>
      <c r="D41">
        <v>0</v>
      </c>
    </row>
    <row r="42" spans="1:4" x14ac:dyDescent="0.25">
      <c r="A42">
        <v>2022</v>
      </c>
      <c r="B42" t="s">
        <v>16</v>
      </c>
      <c r="C42" t="s">
        <v>59</v>
      </c>
      <c r="D42">
        <v>80280000</v>
      </c>
    </row>
    <row r="43" spans="1:4" x14ac:dyDescent="0.25">
      <c r="A43">
        <v>2022</v>
      </c>
      <c r="B43" t="s">
        <v>16</v>
      </c>
      <c r="C43" t="s">
        <v>59</v>
      </c>
      <c r="D43">
        <v>0</v>
      </c>
    </row>
    <row r="44" spans="1:4" x14ac:dyDescent="0.25">
      <c r="A44">
        <v>2022</v>
      </c>
      <c r="B44" t="s">
        <v>16</v>
      </c>
      <c r="C44" t="s">
        <v>59</v>
      </c>
      <c r="D44">
        <v>0</v>
      </c>
    </row>
    <row r="45" spans="1:4" x14ac:dyDescent="0.25">
      <c r="A45">
        <v>2022</v>
      </c>
      <c r="B45" t="s">
        <v>16</v>
      </c>
      <c r="C45" t="s">
        <v>59</v>
      </c>
      <c r="D45">
        <v>0</v>
      </c>
    </row>
    <row r="46" spans="1:4" x14ac:dyDescent="0.25">
      <c r="A46">
        <v>2022</v>
      </c>
      <c r="B46" t="s">
        <v>16</v>
      </c>
      <c r="C46" t="s">
        <v>59</v>
      </c>
      <c r="D46">
        <v>0</v>
      </c>
    </row>
    <row r="47" spans="1:4" x14ac:dyDescent="0.25">
      <c r="A47">
        <v>2022</v>
      </c>
      <c r="B47" t="s">
        <v>16</v>
      </c>
      <c r="C47" t="s">
        <v>59</v>
      </c>
      <c r="D47">
        <v>0</v>
      </c>
    </row>
    <row r="48" spans="1:4" x14ac:dyDescent="0.25">
      <c r="A48">
        <v>2022</v>
      </c>
      <c r="B48" t="s">
        <v>17</v>
      </c>
      <c r="C48" t="s">
        <v>59</v>
      </c>
      <c r="D48">
        <v>1650000</v>
      </c>
    </row>
    <row r="49" spans="1:4" x14ac:dyDescent="0.25">
      <c r="A49">
        <v>2022</v>
      </c>
      <c r="B49" t="s">
        <v>17</v>
      </c>
      <c r="C49" t="s">
        <v>62</v>
      </c>
      <c r="D49">
        <v>0</v>
      </c>
    </row>
    <row r="50" spans="1:4" x14ac:dyDescent="0.25">
      <c r="A50">
        <v>2022</v>
      </c>
      <c r="B50" t="s">
        <v>17</v>
      </c>
      <c r="C50" t="s">
        <v>62</v>
      </c>
      <c r="D50">
        <v>0</v>
      </c>
    </row>
    <row r="51" spans="1:4" x14ac:dyDescent="0.25">
      <c r="A51">
        <v>2022</v>
      </c>
      <c r="B51" t="s">
        <v>17</v>
      </c>
      <c r="C51" t="s">
        <v>59</v>
      </c>
      <c r="D51">
        <v>0</v>
      </c>
    </row>
    <row r="52" spans="1:4" x14ac:dyDescent="0.25">
      <c r="A52">
        <v>2022</v>
      </c>
      <c r="B52" t="s">
        <v>17</v>
      </c>
      <c r="C52" t="s">
        <v>59</v>
      </c>
      <c r="D52">
        <v>0</v>
      </c>
    </row>
    <row r="53" spans="1:4" x14ac:dyDescent="0.25">
      <c r="A53">
        <v>2022</v>
      </c>
      <c r="B53" t="s">
        <v>17</v>
      </c>
      <c r="C53" t="s">
        <v>59</v>
      </c>
      <c r="D53">
        <v>0</v>
      </c>
    </row>
    <row r="54" spans="1:4" x14ac:dyDescent="0.25">
      <c r="A54">
        <v>2022</v>
      </c>
      <c r="B54" t="s">
        <v>17</v>
      </c>
      <c r="C54" t="s">
        <v>59</v>
      </c>
      <c r="D54">
        <v>0</v>
      </c>
    </row>
    <row r="55" spans="1:4" x14ac:dyDescent="0.25">
      <c r="A55">
        <v>2022</v>
      </c>
      <c r="B55" t="s">
        <v>18</v>
      </c>
      <c r="C55" t="s">
        <v>59</v>
      </c>
      <c r="D55">
        <v>379000000</v>
      </c>
    </row>
    <row r="56" spans="1:4" x14ac:dyDescent="0.25">
      <c r="A56">
        <v>2022</v>
      </c>
      <c r="B56" t="s">
        <v>18</v>
      </c>
      <c r="C56" t="s">
        <v>59</v>
      </c>
      <c r="D56">
        <v>0</v>
      </c>
    </row>
    <row r="57" spans="1:4" x14ac:dyDescent="0.25">
      <c r="A57">
        <v>2022</v>
      </c>
      <c r="B57" t="s">
        <v>18</v>
      </c>
      <c r="C57" t="s">
        <v>59</v>
      </c>
      <c r="D57">
        <v>0</v>
      </c>
    </row>
    <row r="58" spans="1:4" x14ac:dyDescent="0.25">
      <c r="A58">
        <v>2022</v>
      </c>
      <c r="B58" t="s">
        <v>18</v>
      </c>
      <c r="C58" t="s">
        <v>59</v>
      </c>
      <c r="D58">
        <v>0</v>
      </c>
    </row>
    <row r="59" spans="1:4" x14ac:dyDescent="0.25">
      <c r="A59">
        <v>2022</v>
      </c>
      <c r="B59" t="s">
        <v>18</v>
      </c>
      <c r="C59" t="s">
        <v>59</v>
      </c>
      <c r="D59">
        <v>0</v>
      </c>
    </row>
    <row r="60" spans="1:4" x14ac:dyDescent="0.25">
      <c r="A60">
        <v>2022</v>
      </c>
      <c r="B60" t="s">
        <v>18</v>
      </c>
      <c r="C60" t="s">
        <v>59</v>
      </c>
      <c r="D60">
        <v>0</v>
      </c>
    </row>
    <row r="61" spans="1:4" x14ac:dyDescent="0.25">
      <c r="A61">
        <v>2022</v>
      </c>
      <c r="B61" t="s">
        <v>21</v>
      </c>
      <c r="C61" t="s">
        <v>59</v>
      </c>
      <c r="D61">
        <v>3879000000</v>
      </c>
    </row>
    <row r="62" spans="1:4" x14ac:dyDescent="0.25">
      <c r="A62">
        <v>2022</v>
      </c>
      <c r="B62" t="s">
        <v>21</v>
      </c>
      <c r="C62" t="s">
        <v>61</v>
      </c>
      <c r="D62">
        <v>0</v>
      </c>
    </row>
    <row r="63" spans="1:4" x14ac:dyDescent="0.25">
      <c r="A63">
        <v>2022</v>
      </c>
      <c r="B63" t="s">
        <v>21</v>
      </c>
      <c r="C63" t="s">
        <v>59</v>
      </c>
      <c r="D63">
        <v>0</v>
      </c>
    </row>
    <row r="64" spans="1:4" x14ac:dyDescent="0.25">
      <c r="A64">
        <v>2022</v>
      </c>
      <c r="B64" t="s">
        <v>21</v>
      </c>
      <c r="C64" t="s">
        <v>59</v>
      </c>
      <c r="D64">
        <v>0</v>
      </c>
    </row>
    <row r="65" spans="1:4" x14ac:dyDescent="0.25">
      <c r="A65">
        <v>2022</v>
      </c>
      <c r="B65" t="s">
        <v>21</v>
      </c>
      <c r="C65" t="s">
        <v>59</v>
      </c>
      <c r="D65">
        <v>0</v>
      </c>
    </row>
    <row r="66" spans="1:4" x14ac:dyDescent="0.25">
      <c r="A66">
        <v>2022</v>
      </c>
      <c r="B66" t="s">
        <v>21</v>
      </c>
      <c r="C66" t="s">
        <v>59</v>
      </c>
      <c r="D66">
        <v>0</v>
      </c>
    </row>
    <row r="67" spans="1:4" x14ac:dyDescent="0.25">
      <c r="A67">
        <v>2022</v>
      </c>
      <c r="B67" t="s">
        <v>21</v>
      </c>
      <c r="C67" t="s">
        <v>59</v>
      </c>
      <c r="D67">
        <v>0</v>
      </c>
    </row>
    <row r="68" spans="1:4" x14ac:dyDescent="0.25">
      <c r="A68">
        <v>2022</v>
      </c>
      <c r="B68" t="s">
        <v>21</v>
      </c>
      <c r="C68" t="s">
        <v>59</v>
      </c>
      <c r="D68">
        <v>0</v>
      </c>
    </row>
    <row r="69" spans="1:4" x14ac:dyDescent="0.25">
      <c r="A69">
        <v>2022</v>
      </c>
      <c r="B69" t="s">
        <v>21</v>
      </c>
      <c r="C69" t="s">
        <v>59</v>
      </c>
      <c r="D69">
        <v>0</v>
      </c>
    </row>
    <row r="70" spans="1:4" x14ac:dyDescent="0.25">
      <c r="A70">
        <v>2022</v>
      </c>
      <c r="B70" t="s">
        <v>21</v>
      </c>
      <c r="C70" t="s">
        <v>59</v>
      </c>
      <c r="D70">
        <v>0</v>
      </c>
    </row>
    <row r="71" spans="1:4" x14ac:dyDescent="0.25">
      <c r="A71">
        <v>2022</v>
      </c>
      <c r="B71" t="s">
        <v>22</v>
      </c>
      <c r="C71" t="s">
        <v>59</v>
      </c>
      <c r="D71">
        <v>197290000</v>
      </c>
    </row>
    <row r="72" spans="1:4" x14ac:dyDescent="0.25">
      <c r="A72">
        <v>2022</v>
      </c>
      <c r="B72" t="s">
        <v>22</v>
      </c>
      <c r="C72" t="s">
        <v>59</v>
      </c>
      <c r="D72">
        <v>0</v>
      </c>
    </row>
    <row r="73" spans="1:4" x14ac:dyDescent="0.25">
      <c r="A73">
        <v>2022</v>
      </c>
      <c r="B73" t="s">
        <v>22</v>
      </c>
      <c r="C73" t="s">
        <v>59</v>
      </c>
      <c r="D73">
        <v>0</v>
      </c>
    </row>
    <row r="74" spans="1:4" x14ac:dyDescent="0.25">
      <c r="A74">
        <v>2022</v>
      </c>
      <c r="B74" t="s">
        <v>22</v>
      </c>
      <c r="C74" t="s">
        <v>59</v>
      </c>
      <c r="D74">
        <v>0</v>
      </c>
    </row>
    <row r="75" spans="1:4" x14ac:dyDescent="0.25">
      <c r="A75">
        <v>2022</v>
      </c>
      <c r="B75" t="s">
        <v>22</v>
      </c>
      <c r="C75" t="s">
        <v>59</v>
      </c>
      <c r="D75">
        <v>0</v>
      </c>
    </row>
    <row r="76" spans="1:4" x14ac:dyDescent="0.25">
      <c r="A76">
        <v>2022</v>
      </c>
      <c r="B76" t="s">
        <v>22</v>
      </c>
      <c r="C76" t="s">
        <v>59</v>
      </c>
      <c r="D76">
        <v>0</v>
      </c>
    </row>
    <row r="77" spans="1:4" x14ac:dyDescent="0.25">
      <c r="A77">
        <v>2022</v>
      </c>
      <c r="B77" t="s">
        <v>23</v>
      </c>
      <c r="C77" t="s">
        <v>59</v>
      </c>
      <c r="D77">
        <v>93675000</v>
      </c>
    </row>
    <row r="78" spans="1:4" x14ac:dyDescent="0.25">
      <c r="A78">
        <v>2022</v>
      </c>
      <c r="B78" t="s">
        <v>23</v>
      </c>
      <c r="C78" t="s">
        <v>59</v>
      </c>
      <c r="D78">
        <v>0</v>
      </c>
    </row>
    <row r="79" spans="1:4" x14ac:dyDescent="0.25">
      <c r="A79">
        <v>2022</v>
      </c>
      <c r="B79" t="s">
        <v>23</v>
      </c>
      <c r="C79" t="s">
        <v>59</v>
      </c>
      <c r="D79">
        <v>0</v>
      </c>
    </row>
    <row r="80" spans="1:4" x14ac:dyDescent="0.25">
      <c r="A80">
        <v>2022</v>
      </c>
      <c r="B80" t="s">
        <v>23</v>
      </c>
      <c r="C80" t="s">
        <v>59</v>
      </c>
      <c r="D80">
        <v>0</v>
      </c>
    </row>
    <row r="81" spans="1:4" x14ac:dyDescent="0.25">
      <c r="A81">
        <v>2022</v>
      </c>
      <c r="B81" t="s">
        <v>24</v>
      </c>
      <c r="C81" t="s">
        <v>59</v>
      </c>
      <c r="D81">
        <v>493000</v>
      </c>
    </row>
    <row r="82" spans="1:4" x14ac:dyDescent="0.25">
      <c r="A82">
        <v>2022</v>
      </c>
      <c r="B82" t="s">
        <v>24</v>
      </c>
      <c r="C82" t="s">
        <v>59</v>
      </c>
      <c r="D82">
        <v>0</v>
      </c>
    </row>
    <row r="83" spans="1:4" x14ac:dyDescent="0.25">
      <c r="A83">
        <v>2022</v>
      </c>
      <c r="B83" t="s">
        <v>24</v>
      </c>
      <c r="C83" t="s">
        <v>59</v>
      </c>
      <c r="D83">
        <v>0</v>
      </c>
    </row>
    <row r="84" spans="1:4" x14ac:dyDescent="0.25">
      <c r="A84">
        <v>2022</v>
      </c>
      <c r="B84" t="s">
        <v>25</v>
      </c>
      <c r="C84" t="s">
        <v>62</v>
      </c>
      <c r="D84">
        <v>0</v>
      </c>
    </row>
    <row r="85" spans="1:4" x14ac:dyDescent="0.25">
      <c r="A85">
        <v>2022</v>
      </c>
      <c r="B85" t="s">
        <v>25</v>
      </c>
      <c r="C85" t="s">
        <v>59</v>
      </c>
      <c r="D85">
        <v>0</v>
      </c>
    </row>
    <row r="86" spans="1:4" x14ac:dyDescent="0.25">
      <c r="A86">
        <v>2022</v>
      </c>
      <c r="B86" t="s">
        <v>27</v>
      </c>
      <c r="C86" t="s">
        <v>59</v>
      </c>
      <c r="D86">
        <v>0</v>
      </c>
    </row>
    <row r="87" spans="1:4" x14ac:dyDescent="0.25">
      <c r="A87">
        <v>2022</v>
      </c>
      <c r="B87" t="s">
        <v>28</v>
      </c>
      <c r="C87" t="s">
        <v>61</v>
      </c>
      <c r="D87">
        <v>9163600000</v>
      </c>
    </row>
    <row r="88" spans="1:4" x14ac:dyDescent="0.25">
      <c r="A88">
        <v>2022</v>
      </c>
      <c r="B88" t="s">
        <v>28</v>
      </c>
      <c r="C88" t="s">
        <v>60</v>
      </c>
      <c r="D88">
        <v>350000000</v>
      </c>
    </row>
    <row r="89" spans="1:4" x14ac:dyDescent="0.25">
      <c r="A89">
        <v>2022</v>
      </c>
      <c r="B89" t="s">
        <v>28</v>
      </c>
      <c r="C89" t="s">
        <v>62</v>
      </c>
      <c r="D89">
        <v>18401257000</v>
      </c>
    </row>
    <row r="90" spans="1:4" x14ac:dyDescent="0.25">
      <c r="A90">
        <v>2022</v>
      </c>
      <c r="B90" t="s">
        <v>28</v>
      </c>
      <c r="C90" t="s">
        <v>59</v>
      </c>
      <c r="D90">
        <v>22198340000</v>
      </c>
    </row>
    <row r="91" spans="1:4" x14ac:dyDescent="0.25">
      <c r="A91">
        <v>2022</v>
      </c>
      <c r="B91" t="s">
        <v>28</v>
      </c>
      <c r="C91" t="s">
        <v>61</v>
      </c>
      <c r="D91">
        <v>0</v>
      </c>
    </row>
    <row r="92" spans="1:4" x14ac:dyDescent="0.25">
      <c r="A92">
        <v>2022</v>
      </c>
      <c r="B92" t="s">
        <v>28</v>
      </c>
      <c r="C92" t="s">
        <v>60</v>
      </c>
      <c r="D92">
        <v>0</v>
      </c>
    </row>
    <row r="93" spans="1:4" x14ac:dyDescent="0.25">
      <c r="A93">
        <v>2022</v>
      </c>
      <c r="B93" t="s">
        <v>28</v>
      </c>
      <c r="C93" t="s">
        <v>60</v>
      </c>
      <c r="D93">
        <v>0</v>
      </c>
    </row>
    <row r="94" spans="1:4" x14ac:dyDescent="0.25">
      <c r="A94">
        <v>2022</v>
      </c>
      <c r="B94" t="s">
        <v>28</v>
      </c>
      <c r="C94" t="s">
        <v>60</v>
      </c>
      <c r="D94">
        <v>0</v>
      </c>
    </row>
    <row r="95" spans="1:4" x14ac:dyDescent="0.25">
      <c r="A95">
        <v>2022</v>
      </c>
      <c r="B95" t="s">
        <v>28</v>
      </c>
      <c r="C95" t="s">
        <v>60</v>
      </c>
      <c r="D95">
        <v>0</v>
      </c>
    </row>
    <row r="96" spans="1:4" x14ac:dyDescent="0.25">
      <c r="A96">
        <v>2022</v>
      </c>
      <c r="B96" t="s">
        <v>28</v>
      </c>
      <c r="C96" t="s">
        <v>60</v>
      </c>
      <c r="D96">
        <v>0</v>
      </c>
    </row>
    <row r="97" spans="1:4" x14ac:dyDescent="0.25">
      <c r="A97">
        <v>2022</v>
      </c>
      <c r="B97" t="s">
        <v>28</v>
      </c>
      <c r="C97" t="s">
        <v>60</v>
      </c>
      <c r="D97">
        <v>0</v>
      </c>
    </row>
    <row r="98" spans="1:4" x14ac:dyDescent="0.25">
      <c r="A98">
        <v>2022</v>
      </c>
      <c r="B98" t="s">
        <v>28</v>
      </c>
      <c r="C98" t="s">
        <v>60</v>
      </c>
      <c r="D98">
        <v>0</v>
      </c>
    </row>
    <row r="99" spans="1:4" x14ac:dyDescent="0.25">
      <c r="A99">
        <v>2022</v>
      </c>
      <c r="B99" t="s">
        <v>28</v>
      </c>
      <c r="C99" t="s">
        <v>60</v>
      </c>
      <c r="D99">
        <v>0</v>
      </c>
    </row>
    <row r="100" spans="1:4" x14ac:dyDescent="0.25">
      <c r="A100">
        <v>2022</v>
      </c>
      <c r="B100" t="s">
        <v>28</v>
      </c>
      <c r="C100" t="s">
        <v>60</v>
      </c>
      <c r="D100">
        <v>0</v>
      </c>
    </row>
    <row r="101" spans="1:4" x14ac:dyDescent="0.25">
      <c r="A101">
        <v>2022</v>
      </c>
      <c r="B101" t="s">
        <v>28</v>
      </c>
      <c r="C101" t="s">
        <v>60</v>
      </c>
      <c r="D101">
        <v>0</v>
      </c>
    </row>
    <row r="102" spans="1:4" x14ac:dyDescent="0.25">
      <c r="A102">
        <v>2022</v>
      </c>
      <c r="B102" t="s">
        <v>28</v>
      </c>
      <c r="C102" t="s">
        <v>60</v>
      </c>
      <c r="D102">
        <v>0</v>
      </c>
    </row>
    <row r="103" spans="1:4" x14ac:dyDescent="0.25">
      <c r="A103">
        <v>2022</v>
      </c>
      <c r="B103" t="s">
        <v>28</v>
      </c>
      <c r="C103" t="s">
        <v>60</v>
      </c>
      <c r="D103">
        <v>0</v>
      </c>
    </row>
    <row r="104" spans="1:4" x14ac:dyDescent="0.25">
      <c r="A104">
        <v>2022</v>
      </c>
      <c r="B104" t="s">
        <v>28</v>
      </c>
      <c r="C104" t="s">
        <v>62</v>
      </c>
      <c r="D104">
        <v>0</v>
      </c>
    </row>
    <row r="105" spans="1:4" x14ac:dyDescent="0.25">
      <c r="A105">
        <v>2022</v>
      </c>
      <c r="B105" t="s">
        <v>28</v>
      </c>
      <c r="C105" t="s">
        <v>62</v>
      </c>
      <c r="D105">
        <v>0</v>
      </c>
    </row>
    <row r="106" spans="1:4" x14ac:dyDescent="0.25">
      <c r="A106">
        <v>2022</v>
      </c>
      <c r="B106" t="s">
        <v>28</v>
      </c>
      <c r="C106" t="s">
        <v>62</v>
      </c>
      <c r="D106">
        <v>0</v>
      </c>
    </row>
    <row r="107" spans="1:4" x14ac:dyDescent="0.25">
      <c r="A107">
        <v>2022</v>
      </c>
      <c r="B107" t="s">
        <v>28</v>
      </c>
      <c r="C107" t="s">
        <v>62</v>
      </c>
      <c r="D107">
        <v>0</v>
      </c>
    </row>
    <row r="108" spans="1:4" x14ac:dyDescent="0.25">
      <c r="A108">
        <v>2022</v>
      </c>
      <c r="B108" t="s">
        <v>28</v>
      </c>
      <c r="C108" t="s">
        <v>62</v>
      </c>
      <c r="D108">
        <v>0</v>
      </c>
    </row>
    <row r="109" spans="1:4" x14ac:dyDescent="0.25">
      <c r="A109">
        <v>2022</v>
      </c>
      <c r="B109" t="s">
        <v>28</v>
      </c>
      <c r="C109" t="s">
        <v>59</v>
      </c>
      <c r="D109">
        <v>0</v>
      </c>
    </row>
    <row r="110" spans="1:4" x14ac:dyDescent="0.25">
      <c r="A110">
        <v>2022</v>
      </c>
      <c r="B110" t="s">
        <v>28</v>
      </c>
      <c r="C110" t="s">
        <v>59</v>
      </c>
      <c r="D110">
        <v>0</v>
      </c>
    </row>
    <row r="111" spans="1:4" x14ac:dyDescent="0.25">
      <c r="A111">
        <v>2022</v>
      </c>
      <c r="B111" t="s">
        <v>28</v>
      </c>
      <c r="C111" t="s">
        <v>59</v>
      </c>
      <c r="D111">
        <v>0</v>
      </c>
    </row>
    <row r="112" spans="1:4" x14ac:dyDescent="0.25">
      <c r="A112">
        <v>2022</v>
      </c>
      <c r="B112" t="s">
        <v>28</v>
      </c>
      <c r="C112" t="s">
        <v>59</v>
      </c>
      <c r="D112">
        <v>0</v>
      </c>
    </row>
    <row r="113" spans="1:4" x14ac:dyDescent="0.25">
      <c r="A113">
        <v>2022</v>
      </c>
      <c r="B113" t="s">
        <v>28</v>
      </c>
      <c r="C113" t="s">
        <v>59</v>
      </c>
      <c r="D113">
        <v>0</v>
      </c>
    </row>
    <row r="114" spans="1:4" x14ac:dyDescent="0.25">
      <c r="A114">
        <v>2022</v>
      </c>
      <c r="B114" t="s">
        <v>28</v>
      </c>
      <c r="C114" t="s">
        <v>59</v>
      </c>
      <c r="D114">
        <v>0</v>
      </c>
    </row>
    <row r="115" spans="1:4" x14ac:dyDescent="0.25">
      <c r="A115">
        <v>2022</v>
      </c>
      <c r="B115" t="s">
        <v>28</v>
      </c>
      <c r="C115" t="s">
        <v>59</v>
      </c>
      <c r="D115">
        <v>0</v>
      </c>
    </row>
    <row r="116" spans="1:4" x14ac:dyDescent="0.25">
      <c r="A116">
        <v>2022</v>
      </c>
      <c r="B116" t="s">
        <v>28</v>
      </c>
      <c r="C116" t="s">
        <v>59</v>
      </c>
      <c r="D116">
        <v>0</v>
      </c>
    </row>
    <row r="117" spans="1:4" x14ac:dyDescent="0.25">
      <c r="A117">
        <v>2022</v>
      </c>
      <c r="B117" t="s">
        <v>32</v>
      </c>
      <c r="C117" t="s">
        <v>62</v>
      </c>
      <c r="D117">
        <v>0</v>
      </c>
    </row>
    <row r="118" spans="1:4" x14ac:dyDescent="0.25">
      <c r="A118">
        <v>2022</v>
      </c>
      <c r="B118" t="s">
        <v>32</v>
      </c>
      <c r="C118" t="s">
        <v>62</v>
      </c>
      <c r="D118">
        <v>0</v>
      </c>
    </row>
    <row r="119" spans="1:4" x14ac:dyDescent="0.25">
      <c r="A119">
        <v>2022</v>
      </c>
      <c r="B119" t="s">
        <v>33</v>
      </c>
      <c r="C119" t="s">
        <v>59</v>
      </c>
      <c r="D119">
        <v>47690000</v>
      </c>
    </row>
    <row r="120" spans="1:4" x14ac:dyDescent="0.25">
      <c r="A120">
        <v>2022</v>
      </c>
      <c r="B120" t="s">
        <v>33</v>
      </c>
      <c r="C120" t="s">
        <v>62</v>
      </c>
      <c r="D120">
        <v>0</v>
      </c>
    </row>
    <row r="121" spans="1:4" x14ac:dyDescent="0.25">
      <c r="A121">
        <v>2022</v>
      </c>
      <c r="B121" t="s">
        <v>33</v>
      </c>
      <c r="C121" t="s">
        <v>59</v>
      </c>
      <c r="D121">
        <v>0</v>
      </c>
    </row>
    <row r="122" spans="1:4" x14ac:dyDescent="0.25">
      <c r="A122">
        <v>2022</v>
      </c>
      <c r="B122" t="s">
        <v>33</v>
      </c>
      <c r="C122" t="s">
        <v>59</v>
      </c>
      <c r="D122">
        <v>0</v>
      </c>
    </row>
    <row r="123" spans="1:4" x14ac:dyDescent="0.25">
      <c r="A123">
        <v>2022</v>
      </c>
      <c r="B123" t="s">
        <v>34</v>
      </c>
      <c r="C123" t="s">
        <v>59</v>
      </c>
      <c r="D123">
        <v>383453000</v>
      </c>
    </row>
    <row r="124" spans="1:4" x14ac:dyDescent="0.25">
      <c r="A124">
        <v>2022</v>
      </c>
      <c r="B124" t="s">
        <v>34</v>
      </c>
      <c r="C124" t="s">
        <v>62</v>
      </c>
      <c r="D124">
        <v>0</v>
      </c>
    </row>
    <row r="125" spans="1:4" x14ac:dyDescent="0.25">
      <c r="A125">
        <v>2022</v>
      </c>
      <c r="B125" t="s">
        <v>34</v>
      </c>
      <c r="C125" t="s">
        <v>59</v>
      </c>
      <c r="D125">
        <v>0</v>
      </c>
    </row>
    <row r="126" spans="1:4" x14ac:dyDescent="0.25">
      <c r="A126">
        <v>2022</v>
      </c>
      <c r="B126" t="s">
        <v>34</v>
      </c>
      <c r="C126" t="s">
        <v>59</v>
      </c>
      <c r="D126">
        <v>0</v>
      </c>
    </row>
    <row r="127" spans="1:4" x14ac:dyDescent="0.25">
      <c r="A127">
        <v>2022</v>
      </c>
      <c r="B127" t="s">
        <v>34</v>
      </c>
      <c r="C127" t="s">
        <v>59</v>
      </c>
      <c r="D127">
        <v>0</v>
      </c>
    </row>
    <row r="128" spans="1:4" x14ac:dyDescent="0.25">
      <c r="A128">
        <v>2022</v>
      </c>
      <c r="B128" t="s">
        <v>34</v>
      </c>
      <c r="C128" t="s">
        <v>59</v>
      </c>
      <c r="D128">
        <v>0</v>
      </c>
    </row>
    <row r="129" spans="1:4" x14ac:dyDescent="0.25">
      <c r="A129">
        <v>2022</v>
      </c>
      <c r="B129" t="s">
        <v>34</v>
      </c>
      <c r="C129" t="s">
        <v>59</v>
      </c>
      <c r="D129">
        <v>0</v>
      </c>
    </row>
    <row r="130" spans="1:4" x14ac:dyDescent="0.25">
      <c r="A130">
        <v>2022</v>
      </c>
      <c r="B130" t="s">
        <v>34</v>
      </c>
      <c r="C130" t="s">
        <v>59</v>
      </c>
      <c r="D130">
        <v>0</v>
      </c>
    </row>
    <row r="131" spans="1:4" x14ac:dyDescent="0.25">
      <c r="A131">
        <v>2022</v>
      </c>
      <c r="B131" t="s">
        <v>34</v>
      </c>
      <c r="C131" t="s">
        <v>59</v>
      </c>
      <c r="D131">
        <v>0</v>
      </c>
    </row>
    <row r="132" spans="1:4" x14ac:dyDescent="0.25">
      <c r="A132">
        <v>2022</v>
      </c>
      <c r="B132" t="s">
        <v>34</v>
      </c>
      <c r="C132" t="s">
        <v>59</v>
      </c>
      <c r="D132">
        <v>0</v>
      </c>
    </row>
    <row r="133" spans="1:4" x14ac:dyDescent="0.25">
      <c r="A133">
        <v>2022</v>
      </c>
      <c r="B133" t="s">
        <v>35</v>
      </c>
      <c r="C133" t="s">
        <v>62</v>
      </c>
      <c r="D133">
        <v>0</v>
      </c>
    </row>
    <row r="134" spans="1:4" x14ac:dyDescent="0.25">
      <c r="A134">
        <v>2022</v>
      </c>
      <c r="B134" t="s">
        <v>35</v>
      </c>
      <c r="C134" t="s">
        <v>59</v>
      </c>
      <c r="D134">
        <v>0</v>
      </c>
    </row>
    <row r="135" spans="1:4" x14ac:dyDescent="0.25">
      <c r="A135">
        <v>2022</v>
      </c>
      <c r="B135" t="s">
        <v>36</v>
      </c>
      <c r="C135" t="s">
        <v>62</v>
      </c>
      <c r="D135">
        <v>0</v>
      </c>
    </row>
    <row r="136" spans="1:4" x14ac:dyDescent="0.25">
      <c r="A136">
        <v>2022</v>
      </c>
      <c r="B136" t="s">
        <v>36</v>
      </c>
      <c r="C136" t="s">
        <v>59</v>
      </c>
      <c r="D136">
        <v>0</v>
      </c>
    </row>
    <row r="137" spans="1:4" x14ac:dyDescent="0.25">
      <c r="A137">
        <v>2022</v>
      </c>
      <c r="B137" t="s">
        <v>36</v>
      </c>
      <c r="C137" t="s">
        <v>59</v>
      </c>
      <c r="D137">
        <v>100000</v>
      </c>
    </row>
    <row r="138" spans="1:4" x14ac:dyDescent="0.25">
      <c r="A138">
        <v>2022</v>
      </c>
      <c r="B138" t="s">
        <v>37</v>
      </c>
      <c r="C138" t="s">
        <v>62</v>
      </c>
      <c r="D138">
        <v>0</v>
      </c>
    </row>
    <row r="139" spans="1:4" x14ac:dyDescent="0.25">
      <c r="A139">
        <v>2022</v>
      </c>
      <c r="B139" t="s">
        <v>38</v>
      </c>
      <c r="C139" t="s">
        <v>59</v>
      </c>
      <c r="D139">
        <v>7100000</v>
      </c>
    </row>
    <row r="140" spans="1:4" x14ac:dyDescent="0.25">
      <c r="A140">
        <v>2022</v>
      </c>
      <c r="B140" t="s">
        <v>38</v>
      </c>
      <c r="C140" t="s">
        <v>62</v>
      </c>
      <c r="D140">
        <v>0</v>
      </c>
    </row>
    <row r="141" spans="1:4" x14ac:dyDescent="0.25">
      <c r="A141">
        <v>2022</v>
      </c>
      <c r="B141" t="s">
        <v>38</v>
      </c>
      <c r="C141" t="s">
        <v>59</v>
      </c>
      <c r="D141">
        <v>0</v>
      </c>
    </row>
    <row r="142" spans="1:4" x14ac:dyDescent="0.25">
      <c r="A142">
        <v>2022</v>
      </c>
      <c r="B142" t="s">
        <v>38</v>
      </c>
      <c r="C142" t="s">
        <v>59</v>
      </c>
      <c r="D142">
        <v>0</v>
      </c>
    </row>
    <row r="143" spans="1:4" x14ac:dyDescent="0.25">
      <c r="A143">
        <v>2022</v>
      </c>
      <c r="B143" t="s">
        <v>39</v>
      </c>
      <c r="C143" t="s">
        <v>62</v>
      </c>
      <c r="D143">
        <v>0</v>
      </c>
    </row>
    <row r="144" spans="1:4" x14ac:dyDescent="0.25">
      <c r="A144">
        <v>2022</v>
      </c>
      <c r="B144" t="s">
        <v>39</v>
      </c>
      <c r="C144" t="s">
        <v>59</v>
      </c>
      <c r="D144">
        <v>0</v>
      </c>
    </row>
    <row r="145" spans="1:4" x14ac:dyDescent="0.25">
      <c r="A145">
        <v>2022</v>
      </c>
      <c r="B145" t="s">
        <v>40</v>
      </c>
      <c r="C145" t="s">
        <v>62</v>
      </c>
      <c r="D145">
        <v>0</v>
      </c>
    </row>
    <row r="146" spans="1:4" x14ac:dyDescent="0.25">
      <c r="A146">
        <v>2022</v>
      </c>
      <c r="B146" t="s">
        <v>40</v>
      </c>
      <c r="C146" t="s">
        <v>59</v>
      </c>
      <c r="D146">
        <v>0</v>
      </c>
    </row>
    <row r="147" spans="1:4" x14ac:dyDescent="0.25">
      <c r="A147">
        <v>2022</v>
      </c>
      <c r="B147" t="s">
        <v>41</v>
      </c>
      <c r="C147" t="s">
        <v>60</v>
      </c>
      <c r="D147">
        <v>0</v>
      </c>
    </row>
    <row r="148" spans="1:4" x14ac:dyDescent="0.25">
      <c r="A148">
        <v>2022</v>
      </c>
      <c r="B148" t="s">
        <v>41</v>
      </c>
      <c r="C148" t="s">
        <v>62</v>
      </c>
      <c r="D148">
        <v>0</v>
      </c>
    </row>
    <row r="149" spans="1:4" x14ac:dyDescent="0.25">
      <c r="A149">
        <v>2022</v>
      </c>
      <c r="B149" t="s">
        <v>41</v>
      </c>
      <c r="C149" t="s">
        <v>59</v>
      </c>
      <c r="D149">
        <v>0</v>
      </c>
    </row>
    <row r="150" spans="1:4" x14ac:dyDescent="0.25">
      <c r="A150">
        <v>2022</v>
      </c>
      <c r="B150" t="s">
        <v>42</v>
      </c>
      <c r="C150" t="s">
        <v>62</v>
      </c>
      <c r="D150">
        <v>0</v>
      </c>
    </row>
    <row r="151" spans="1:4" x14ac:dyDescent="0.25">
      <c r="A151">
        <v>2022</v>
      </c>
      <c r="B151" t="s">
        <v>44</v>
      </c>
      <c r="C151" t="s">
        <v>62</v>
      </c>
      <c r="D151">
        <v>0</v>
      </c>
    </row>
    <row r="152" spans="1:4" x14ac:dyDescent="0.25">
      <c r="A152">
        <v>2022</v>
      </c>
      <c r="B152" t="s">
        <v>45</v>
      </c>
      <c r="C152" t="s">
        <v>62</v>
      </c>
      <c r="D152">
        <v>0</v>
      </c>
    </row>
    <row r="153" spans="1:4" x14ac:dyDescent="0.25">
      <c r="A153">
        <v>2022</v>
      </c>
      <c r="B153" t="s">
        <v>45</v>
      </c>
      <c r="C153" t="s">
        <v>59</v>
      </c>
      <c r="D153">
        <v>0</v>
      </c>
    </row>
    <row r="154" spans="1:4" x14ac:dyDescent="0.25">
      <c r="A154">
        <v>2022</v>
      </c>
      <c r="B154" t="s">
        <v>46</v>
      </c>
      <c r="C154" t="s">
        <v>59</v>
      </c>
      <c r="D154">
        <v>8697000</v>
      </c>
    </row>
    <row r="155" spans="1:4" x14ac:dyDescent="0.25">
      <c r="A155">
        <v>2022</v>
      </c>
      <c r="B155" t="s">
        <v>46</v>
      </c>
      <c r="C155" t="s">
        <v>62</v>
      </c>
      <c r="D155">
        <v>0</v>
      </c>
    </row>
    <row r="156" spans="1:4" x14ac:dyDescent="0.25">
      <c r="A156">
        <v>2022</v>
      </c>
      <c r="B156" t="s">
        <v>46</v>
      </c>
      <c r="C156" t="s">
        <v>59</v>
      </c>
      <c r="D156">
        <v>0</v>
      </c>
    </row>
    <row r="157" spans="1:4" x14ac:dyDescent="0.25">
      <c r="A157">
        <v>2022</v>
      </c>
      <c r="B157" t="s">
        <v>47</v>
      </c>
      <c r="C157" t="s">
        <v>59</v>
      </c>
      <c r="D157">
        <v>70000</v>
      </c>
    </row>
    <row r="158" spans="1:4" x14ac:dyDescent="0.25">
      <c r="A158">
        <v>2022</v>
      </c>
      <c r="B158" t="s">
        <v>47</v>
      </c>
      <c r="C158" t="s">
        <v>62</v>
      </c>
      <c r="D158">
        <v>0</v>
      </c>
    </row>
    <row r="159" spans="1:4" x14ac:dyDescent="0.25">
      <c r="A159">
        <v>2022</v>
      </c>
      <c r="B159" t="s">
        <v>47</v>
      </c>
      <c r="C159" t="s">
        <v>59</v>
      </c>
      <c r="D159">
        <v>0</v>
      </c>
    </row>
    <row r="160" spans="1:4" x14ac:dyDescent="0.25">
      <c r="A160">
        <v>2022</v>
      </c>
      <c r="B160" t="s">
        <v>63</v>
      </c>
      <c r="C160" t="s">
        <v>60</v>
      </c>
      <c r="D160">
        <v>0</v>
      </c>
    </row>
    <row r="161" spans="1:4" x14ac:dyDescent="0.25">
      <c r="A161">
        <v>2022</v>
      </c>
      <c r="B161" t="s">
        <v>64</v>
      </c>
      <c r="C161" t="s">
        <v>59</v>
      </c>
      <c r="D161">
        <v>0</v>
      </c>
    </row>
    <row r="162" spans="1:4" x14ac:dyDescent="0.25">
      <c r="A162">
        <v>2022</v>
      </c>
      <c r="B162" t="s">
        <v>65</v>
      </c>
      <c r="C162" t="s">
        <v>62</v>
      </c>
      <c r="D162">
        <v>0</v>
      </c>
    </row>
    <row r="163" spans="1:4" x14ac:dyDescent="0.25">
      <c r="A163">
        <v>2022</v>
      </c>
      <c r="B163" t="s">
        <v>65</v>
      </c>
      <c r="C163" t="s">
        <v>59</v>
      </c>
      <c r="D163">
        <v>0</v>
      </c>
    </row>
    <row r="164" spans="1:4" x14ac:dyDescent="0.25">
      <c r="A164">
        <v>2022</v>
      </c>
      <c r="B164" t="s">
        <v>48</v>
      </c>
      <c r="C164" t="s">
        <v>59</v>
      </c>
      <c r="D164">
        <v>100000000</v>
      </c>
    </row>
    <row r="165" spans="1:4" x14ac:dyDescent="0.25">
      <c r="A165">
        <v>2022</v>
      </c>
      <c r="B165" t="s">
        <v>49</v>
      </c>
      <c r="C165" t="s">
        <v>59</v>
      </c>
      <c r="D165">
        <v>32966000</v>
      </c>
    </row>
    <row r="166" spans="1:4" x14ac:dyDescent="0.25">
      <c r="A166">
        <v>2022</v>
      </c>
      <c r="B166" t="s">
        <v>50</v>
      </c>
      <c r="C166" t="s">
        <v>59</v>
      </c>
      <c r="D166">
        <v>50000000</v>
      </c>
    </row>
    <row r="167" spans="1:4" x14ac:dyDescent="0.25">
      <c r="A167">
        <v>2022</v>
      </c>
      <c r="B167" t="s">
        <v>66</v>
      </c>
      <c r="C167" t="s">
        <v>59</v>
      </c>
      <c r="D167">
        <v>0</v>
      </c>
    </row>
    <row r="168" spans="1:4" x14ac:dyDescent="0.25">
      <c r="A168">
        <v>2022</v>
      </c>
      <c r="B168" t="s">
        <v>67</v>
      </c>
      <c r="C168" t="s">
        <v>59</v>
      </c>
      <c r="D168">
        <v>0</v>
      </c>
    </row>
    <row r="169" spans="1:4" x14ac:dyDescent="0.25">
      <c r="A169">
        <v>2022</v>
      </c>
      <c r="B169" t="s">
        <v>51</v>
      </c>
      <c r="C169" t="s">
        <v>59</v>
      </c>
      <c r="D169">
        <v>300000</v>
      </c>
    </row>
    <row r="170" spans="1:4" x14ac:dyDescent="0.25">
      <c r="A170">
        <v>2022</v>
      </c>
      <c r="B170" t="s">
        <v>68</v>
      </c>
      <c r="C170" t="s">
        <v>62</v>
      </c>
      <c r="D170">
        <v>0</v>
      </c>
    </row>
    <row r="171" spans="1:4" x14ac:dyDescent="0.25">
      <c r="A171">
        <v>2022</v>
      </c>
      <c r="B171" t="s">
        <v>68</v>
      </c>
      <c r="C171" t="s">
        <v>59</v>
      </c>
      <c r="D171">
        <v>0</v>
      </c>
    </row>
    <row r="172" spans="1:4" x14ac:dyDescent="0.25">
      <c r="A172">
        <v>2022</v>
      </c>
      <c r="B172" t="s">
        <v>52</v>
      </c>
      <c r="C172" t="s">
        <v>59</v>
      </c>
      <c r="D172">
        <v>183000000</v>
      </c>
    </row>
    <row r="173" spans="1:4" x14ac:dyDescent="0.25">
      <c r="A173">
        <v>2022</v>
      </c>
      <c r="B173" t="s">
        <v>56</v>
      </c>
      <c r="C173" t="s">
        <v>59</v>
      </c>
      <c r="D173">
        <v>0</v>
      </c>
    </row>
    <row r="174" spans="1:4" x14ac:dyDescent="0.25">
      <c r="A174">
        <v>2022</v>
      </c>
      <c r="B174" t="s">
        <v>57</v>
      </c>
      <c r="C174" t="s">
        <v>62</v>
      </c>
      <c r="D174">
        <v>0</v>
      </c>
    </row>
    <row r="175" spans="1:4" x14ac:dyDescent="0.25">
      <c r="A175">
        <v>2022</v>
      </c>
      <c r="B175" t="s">
        <v>57</v>
      </c>
      <c r="C175" t="s">
        <v>59</v>
      </c>
      <c r="D175">
        <v>0</v>
      </c>
    </row>
    <row r="176" spans="1:4" x14ac:dyDescent="0.25">
      <c r="A176">
        <v>2022</v>
      </c>
      <c r="B176" t="s">
        <v>69</v>
      </c>
      <c r="C176" t="s">
        <v>59</v>
      </c>
      <c r="D176">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9BCCA-7224-4987-8E97-7E3B5152C57E}">
  <dimension ref="A1:D857"/>
  <sheetViews>
    <sheetView workbookViewId="0"/>
  </sheetViews>
  <sheetFormatPr defaultRowHeight="15" x14ac:dyDescent="0.25"/>
  <cols>
    <col min="1" max="1" width="8" bestFit="1" customWidth="1"/>
    <col min="2" max="2" width="49.42578125" bestFit="1" customWidth="1"/>
    <col min="3" max="3" width="27.42578125" bestFit="1" customWidth="1"/>
    <col min="4" max="4" width="20.140625" bestFit="1" customWidth="1"/>
  </cols>
  <sheetData>
    <row r="1" spans="1:4" x14ac:dyDescent="0.25">
      <c r="A1" t="s">
        <v>0</v>
      </c>
      <c r="B1" t="s">
        <v>1</v>
      </c>
      <c r="C1" t="s">
        <v>2</v>
      </c>
      <c r="D1" t="s">
        <v>3</v>
      </c>
    </row>
    <row r="2" spans="1:4" x14ac:dyDescent="0.25">
      <c r="A2">
        <v>2023</v>
      </c>
      <c r="B2" t="s">
        <v>4</v>
      </c>
      <c r="C2" t="s">
        <v>5</v>
      </c>
      <c r="D2">
        <v>2553151</v>
      </c>
    </row>
    <row r="3" spans="1:4" x14ac:dyDescent="0.25">
      <c r="A3">
        <v>2023</v>
      </c>
      <c r="B3" t="s">
        <v>4</v>
      </c>
      <c r="C3" t="s">
        <v>5</v>
      </c>
      <c r="D3">
        <v>56602653</v>
      </c>
    </row>
    <row r="4" spans="1:4" x14ac:dyDescent="0.25">
      <c r="A4">
        <v>2023</v>
      </c>
      <c r="B4" t="s">
        <v>4</v>
      </c>
      <c r="C4" t="s">
        <v>5</v>
      </c>
      <c r="D4">
        <v>188391000</v>
      </c>
    </row>
    <row r="5" spans="1:4" x14ac:dyDescent="0.25">
      <c r="A5">
        <v>2023</v>
      </c>
      <c r="B5" t="s">
        <v>4</v>
      </c>
      <c r="C5" t="s">
        <v>5</v>
      </c>
      <c r="D5">
        <v>20897489</v>
      </c>
    </row>
    <row r="6" spans="1:4" x14ac:dyDescent="0.25">
      <c r="A6">
        <v>2023</v>
      </c>
      <c r="B6" t="s">
        <v>4</v>
      </c>
      <c r="C6" t="s">
        <v>5</v>
      </c>
      <c r="D6">
        <v>27017727</v>
      </c>
    </row>
    <row r="7" spans="1:4" x14ac:dyDescent="0.25">
      <c r="A7">
        <v>2023</v>
      </c>
      <c r="B7" t="s">
        <v>4</v>
      </c>
      <c r="C7" t="s">
        <v>5</v>
      </c>
      <c r="D7">
        <v>26403516</v>
      </c>
    </row>
    <row r="8" spans="1:4" x14ac:dyDescent="0.25">
      <c r="A8">
        <v>2023</v>
      </c>
      <c r="B8" t="s">
        <v>4</v>
      </c>
      <c r="C8" t="s">
        <v>5</v>
      </c>
      <c r="D8">
        <v>571464</v>
      </c>
    </row>
    <row r="9" spans="1:4" x14ac:dyDescent="0.25">
      <c r="A9">
        <v>2023</v>
      </c>
      <c r="B9" t="s">
        <v>4</v>
      </c>
      <c r="C9" t="s">
        <v>6</v>
      </c>
      <c r="D9">
        <v>12800000</v>
      </c>
    </row>
    <row r="10" spans="1:4" x14ac:dyDescent="0.25">
      <c r="A10">
        <v>2023</v>
      </c>
      <c r="B10" t="s">
        <v>4</v>
      </c>
      <c r="C10" t="s">
        <v>6</v>
      </c>
      <c r="D10">
        <v>104720000</v>
      </c>
    </row>
    <row r="11" spans="1:4" x14ac:dyDescent="0.25">
      <c r="A11">
        <v>2023</v>
      </c>
      <c r="B11" t="s">
        <v>4</v>
      </c>
      <c r="C11" t="s">
        <v>6</v>
      </c>
      <c r="D11">
        <v>100000</v>
      </c>
    </row>
    <row r="12" spans="1:4" x14ac:dyDescent="0.25">
      <c r="A12">
        <v>2023</v>
      </c>
      <c r="B12" t="s">
        <v>4</v>
      </c>
      <c r="C12" t="s">
        <v>7</v>
      </c>
      <c r="D12">
        <v>200000000</v>
      </c>
    </row>
    <row r="13" spans="1:4" x14ac:dyDescent="0.25">
      <c r="A13">
        <v>2023</v>
      </c>
      <c r="B13" t="s">
        <v>4</v>
      </c>
      <c r="C13" t="s">
        <v>19</v>
      </c>
      <c r="D13">
        <v>40000</v>
      </c>
    </row>
    <row r="14" spans="1:4" x14ac:dyDescent="0.25">
      <c r="A14">
        <v>2023</v>
      </c>
      <c r="B14" t="s">
        <v>4</v>
      </c>
      <c r="C14" t="s">
        <v>8</v>
      </c>
      <c r="D14">
        <v>580964000</v>
      </c>
    </row>
    <row r="15" spans="1:4" x14ac:dyDescent="0.25">
      <c r="A15">
        <v>2023</v>
      </c>
      <c r="B15" t="s">
        <v>4</v>
      </c>
      <c r="C15" t="s">
        <v>8</v>
      </c>
      <c r="D15">
        <v>2000000</v>
      </c>
    </row>
    <row r="16" spans="1:4" x14ac:dyDescent="0.25">
      <c r="A16">
        <v>2023</v>
      </c>
      <c r="B16" t="s">
        <v>4</v>
      </c>
      <c r="C16" t="s">
        <v>8</v>
      </c>
      <c r="D16">
        <v>15758000</v>
      </c>
    </row>
    <row r="17" spans="1:4" x14ac:dyDescent="0.25">
      <c r="A17">
        <v>2023</v>
      </c>
      <c r="B17" t="s">
        <v>9</v>
      </c>
      <c r="C17" t="s">
        <v>5</v>
      </c>
      <c r="D17">
        <v>650956</v>
      </c>
    </row>
    <row r="18" spans="1:4" x14ac:dyDescent="0.25">
      <c r="A18">
        <v>2023</v>
      </c>
      <c r="B18" t="s">
        <v>9</v>
      </c>
      <c r="C18" t="s">
        <v>5</v>
      </c>
      <c r="D18">
        <v>130584844</v>
      </c>
    </row>
    <row r="19" spans="1:4" x14ac:dyDescent="0.25">
      <c r="A19">
        <v>2023</v>
      </c>
      <c r="B19" t="s">
        <v>9</v>
      </c>
      <c r="C19" t="s">
        <v>5</v>
      </c>
      <c r="D19">
        <v>25845144</v>
      </c>
    </row>
    <row r="20" spans="1:4" x14ac:dyDescent="0.25">
      <c r="A20">
        <v>2023</v>
      </c>
      <c r="B20" t="s">
        <v>9</v>
      </c>
      <c r="C20" t="s">
        <v>5</v>
      </c>
      <c r="D20">
        <v>4605324</v>
      </c>
    </row>
    <row r="21" spans="1:4" x14ac:dyDescent="0.25">
      <c r="A21">
        <v>2023</v>
      </c>
      <c r="B21" t="s">
        <v>9</v>
      </c>
      <c r="C21" t="s">
        <v>5</v>
      </c>
      <c r="D21">
        <v>1556340</v>
      </c>
    </row>
    <row r="22" spans="1:4" x14ac:dyDescent="0.25">
      <c r="A22">
        <v>2023</v>
      </c>
      <c r="B22" t="s">
        <v>9</v>
      </c>
      <c r="C22" t="s">
        <v>5</v>
      </c>
      <c r="D22">
        <v>9481704</v>
      </c>
    </row>
    <row r="23" spans="1:4" x14ac:dyDescent="0.25">
      <c r="A23">
        <v>2023</v>
      </c>
      <c r="B23" t="s">
        <v>9</v>
      </c>
      <c r="C23" t="s">
        <v>5</v>
      </c>
      <c r="D23">
        <v>7860684</v>
      </c>
    </row>
    <row r="24" spans="1:4" x14ac:dyDescent="0.25">
      <c r="A24">
        <v>2023</v>
      </c>
      <c r="B24" t="s">
        <v>9</v>
      </c>
      <c r="C24" t="s">
        <v>5</v>
      </c>
      <c r="D24">
        <v>7929024</v>
      </c>
    </row>
    <row r="25" spans="1:4" x14ac:dyDescent="0.25">
      <c r="A25">
        <v>2023</v>
      </c>
      <c r="B25" t="s">
        <v>9</v>
      </c>
      <c r="C25" t="s">
        <v>5</v>
      </c>
      <c r="D25">
        <v>2262780</v>
      </c>
    </row>
    <row r="26" spans="1:4" x14ac:dyDescent="0.25">
      <c r="A26">
        <v>2023</v>
      </c>
      <c r="B26" t="s">
        <v>9</v>
      </c>
      <c r="C26" t="s">
        <v>5</v>
      </c>
      <c r="D26">
        <v>802200</v>
      </c>
    </row>
    <row r="27" spans="1:4" x14ac:dyDescent="0.25">
      <c r="A27">
        <v>2023</v>
      </c>
      <c r="B27" t="s">
        <v>9</v>
      </c>
      <c r="C27" t="s">
        <v>6</v>
      </c>
      <c r="D27">
        <v>112288000</v>
      </c>
    </row>
    <row r="28" spans="1:4" x14ac:dyDescent="0.25">
      <c r="A28">
        <v>2023</v>
      </c>
      <c r="B28" t="s">
        <v>9</v>
      </c>
      <c r="C28" t="s">
        <v>7</v>
      </c>
      <c r="D28">
        <v>4550000</v>
      </c>
    </row>
    <row r="29" spans="1:4" x14ac:dyDescent="0.25">
      <c r="A29">
        <v>2023</v>
      </c>
      <c r="B29" t="s">
        <v>9</v>
      </c>
      <c r="C29" t="s">
        <v>19</v>
      </c>
      <c r="D29">
        <v>500000</v>
      </c>
    </row>
    <row r="30" spans="1:4" x14ac:dyDescent="0.25">
      <c r="A30">
        <v>2023</v>
      </c>
      <c r="B30" t="s">
        <v>9</v>
      </c>
      <c r="C30" t="s">
        <v>8</v>
      </c>
      <c r="D30">
        <v>5750000</v>
      </c>
    </row>
    <row r="31" spans="1:4" x14ac:dyDescent="0.25">
      <c r="A31">
        <v>2023</v>
      </c>
      <c r="B31" t="s">
        <v>10</v>
      </c>
      <c r="C31" t="s">
        <v>5</v>
      </c>
      <c r="D31">
        <v>5242000</v>
      </c>
    </row>
    <row r="32" spans="1:4" x14ac:dyDescent="0.25">
      <c r="A32">
        <v>2023</v>
      </c>
      <c r="B32" t="s">
        <v>10</v>
      </c>
      <c r="C32" t="s">
        <v>5</v>
      </c>
      <c r="D32">
        <v>1243291328</v>
      </c>
    </row>
    <row r="33" spans="1:4" x14ac:dyDescent="0.25">
      <c r="A33">
        <v>2023</v>
      </c>
      <c r="B33" t="s">
        <v>10</v>
      </c>
      <c r="C33" t="s">
        <v>5</v>
      </c>
      <c r="D33">
        <v>6816968</v>
      </c>
    </row>
    <row r="34" spans="1:4" x14ac:dyDescent="0.25">
      <c r="A34">
        <v>2023</v>
      </c>
      <c r="B34" t="s">
        <v>10</v>
      </c>
      <c r="C34" t="s">
        <v>5</v>
      </c>
      <c r="D34">
        <v>2977124</v>
      </c>
    </row>
    <row r="35" spans="1:4" x14ac:dyDescent="0.25">
      <c r="A35">
        <v>2023</v>
      </c>
      <c r="B35" t="s">
        <v>10</v>
      </c>
      <c r="C35" t="s">
        <v>5</v>
      </c>
      <c r="D35">
        <v>358752</v>
      </c>
    </row>
    <row r="36" spans="1:4" x14ac:dyDescent="0.25">
      <c r="A36">
        <v>2023</v>
      </c>
      <c r="B36" t="s">
        <v>10</v>
      </c>
      <c r="C36" t="s">
        <v>5</v>
      </c>
      <c r="D36">
        <v>756228</v>
      </c>
    </row>
    <row r="37" spans="1:4" x14ac:dyDescent="0.25">
      <c r="A37">
        <v>2023</v>
      </c>
      <c r="B37" t="s">
        <v>10</v>
      </c>
      <c r="C37" t="s">
        <v>5</v>
      </c>
      <c r="D37">
        <v>493788</v>
      </c>
    </row>
    <row r="38" spans="1:4" x14ac:dyDescent="0.25">
      <c r="A38">
        <v>2023</v>
      </c>
      <c r="B38" t="s">
        <v>10</v>
      </c>
      <c r="C38" t="s">
        <v>5</v>
      </c>
      <c r="D38">
        <v>360000</v>
      </c>
    </row>
    <row r="39" spans="1:4" x14ac:dyDescent="0.25">
      <c r="A39">
        <v>2023</v>
      </c>
      <c r="B39" t="s">
        <v>10</v>
      </c>
      <c r="C39" t="s">
        <v>5</v>
      </c>
      <c r="D39">
        <v>3929688</v>
      </c>
    </row>
    <row r="40" spans="1:4" x14ac:dyDescent="0.25">
      <c r="A40">
        <v>2023</v>
      </c>
      <c r="B40" t="s">
        <v>10</v>
      </c>
      <c r="C40" t="s">
        <v>5</v>
      </c>
      <c r="D40">
        <v>3956524</v>
      </c>
    </row>
    <row r="41" spans="1:4" x14ac:dyDescent="0.25">
      <c r="A41">
        <v>2023</v>
      </c>
      <c r="B41" t="s">
        <v>10</v>
      </c>
      <c r="C41" t="s">
        <v>5</v>
      </c>
      <c r="D41">
        <v>625000</v>
      </c>
    </row>
    <row r="42" spans="1:4" x14ac:dyDescent="0.25">
      <c r="A42">
        <v>2023</v>
      </c>
      <c r="B42" t="s">
        <v>10</v>
      </c>
      <c r="C42" t="s">
        <v>5</v>
      </c>
      <c r="D42">
        <v>2872000</v>
      </c>
    </row>
    <row r="43" spans="1:4" x14ac:dyDescent="0.25">
      <c r="A43">
        <v>2023</v>
      </c>
      <c r="B43" t="s">
        <v>10</v>
      </c>
      <c r="C43" t="s">
        <v>5</v>
      </c>
      <c r="D43">
        <v>61000</v>
      </c>
    </row>
    <row r="44" spans="1:4" x14ac:dyDescent="0.25">
      <c r="A44">
        <v>2023</v>
      </c>
      <c r="B44" t="s">
        <v>10</v>
      </c>
      <c r="C44" t="s">
        <v>5</v>
      </c>
      <c r="D44">
        <v>865672</v>
      </c>
    </row>
    <row r="45" spans="1:4" x14ac:dyDescent="0.25">
      <c r="A45">
        <v>2023</v>
      </c>
      <c r="B45" t="s">
        <v>10</v>
      </c>
      <c r="C45" t="s">
        <v>5</v>
      </c>
      <c r="D45">
        <v>3143480</v>
      </c>
    </row>
    <row r="46" spans="1:4" x14ac:dyDescent="0.25">
      <c r="A46">
        <v>2023</v>
      </c>
      <c r="B46" t="s">
        <v>10</v>
      </c>
      <c r="C46" t="s">
        <v>5</v>
      </c>
      <c r="D46">
        <v>1015620</v>
      </c>
    </row>
    <row r="47" spans="1:4" x14ac:dyDescent="0.25">
      <c r="A47">
        <v>2023</v>
      </c>
      <c r="B47" t="s">
        <v>10</v>
      </c>
      <c r="C47" t="s">
        <v>5</v>
      </c>
      <c r="D47">
        <v>917000</v>
      </c>
    </row>
    <row r="48" spans="1:4" x14ac:dyDescent="0.25">
      <c r="A48">
        <v>2023</v>
      </c>
      <c r="B48" t="s">
        <v>10</v>
      </c>
      <c r="C48" t="s">
        <v>5</v>
      </c>
      <c r="D48">
        <v>2080712</v>
      </c>
    </row>
    <row r="49" spans="1:4" x14ac:dyDescent="0.25">
      <c r="A49">
        <v>2023</v>
      </c>
      <c r="B49" t="s">
        <v>10</v>
      </c>
      <c r="C49" t="s">
        <v>5</v>
      </c>
      <c r="D49">
        <v>1113736</v>
      </c>
    </row>
    <row r="50" spans="1:4" x14ac:dyDescent="0.25">
      <c r="A50">
        <v>2023</v>
      </c>
      <c r="B50" t="s">
        <v>10</v>
      </c>
      <c r="C50" t="s">
        <v>5</v>
      </c>
      <c r="D50">
        <v>1103492</v>
      </c>
    </row>
    <row r="51" spans="1:4" x14ac:dyDescent="0.25">
      <c r="A51">
        <v>2023</v>
      </c>
      <c r="B51" t="s">
        <v>10</v>
      </c>
      <c r="C51" t="s">
        <v>5</v>
      </c>
      <c r="D51">
        <v>3913676</v>
      </c>
    </row>
    <row r="52" spans="1:4" x14ac:dyDescent="0.25">
      <c r="A52">
        <v>2023</v>
      </c>
      <c r="B52" t="s">
        <v>10</v>
      </c>
      <c r="C52" t="s">
        <v>5</v>
      </c>
      <c r="D52">
        <v>3156380</v>
      </c>
    </row>
    <row r="53" spans="1:4" x14ac:dyDescent="0.25">
      <c r="A53">
        <v>2023</v>
      </c>
      <c r="B53" t="s">
        <v>10</v>
      </c>
      <c r="C53" t="s">
        <v>5</v>
      </c>
      <c r="D53">
        <v>1335200</v>
      </c>
    </row>
    <row r="54" spans="1:4" x14ac:dyDescent="0.25">
      <c r="A54">
        <v>2023</v>
      </c>
      <c r="B54" t="s">
        <v>10</v>
      </c>
      <c r="C54" t="s">
        <v>5</v>
      </c>
      <c r="D54">
        <v>2447000</v>
      </c>
    </row>
    <row r="55" spans="1:4" x14ac:dyDescent="0.25">
      <c r="A55">
        <v>2023</v>
      </c>
      <c r="B55" t="s">
        <v>10</v>
      </c>
      <c r="C55" t="s">
        <v>5</v>
      </c>
      <c r="D55">
        <v>1957432</v>
      </c>
    </row>
    <row r="56" spans="1:4" x14ac:dyDescent="0.25">
      <c r="A56">
        <v>2023</v>
      </c>
      <c r="B56" t="s">
        <v>10</v>
      </c>
      <c r="C56" t="s">
        <v>5</v>
      </c>
      <c r="D56">
        <v>1563492</v>
      </c>
    </row>
    <row r="57" spans="1:4" x14ac:dyDescent="0.25">
      <c r="A57">
        <v>2023</v>
      </c>
      <c r="B57" t="s">
        <v>10</v>
      </c>
      <c r="C57" t="s">
        <v>5</v>
      </c>
      <c r="D57">
        <v>4034748</v>
      </c>
    </row>
    <row r="58" spans="1:4" x14ac:dyDescent="0.25">
      <c r="A58">
        <v>2023</v>
      </c>
      <c r="B58" t="s">
        <v>10</v>
      </c>
      <c r="C58" t="s">
        <v>5</v>
      </c>
      <c r="D58">
        <v>1351952</v>
      </c>
    </row>
    <row r="59" spans="1:4" x14ac:dyDescent="0.25">
      <c r="A59">
        <v>2023</v>
      </c>
      <c r="B59" t="s">
        <v>10</v>
      </c>
      <c r="C59" t="s">
        <v>5</v>
      </c>
      <c r="D59">
        <v>2868476</v>
      </c>
    </row>
    <row r="60" spans="1:4" x14ac:dyDescent="0.25">
      <c r="A60">
        <v>2023</v>
      </c>
      <c r="B60" t="s">
        <v>10</v>
      </c>
      <c r="C60" t="s">
        <v>5</v>
      </c>
      <c r="D60">
        <v>275000</v>
      </c>
    </row>
    <row r="61" spans="1:4" x14ac:dyDescent="0.25">
      <c r="A61">
        <v>2023</v>
      </c>
      <c r="B61" t="s">
        <v>10</v>
      </c>
      <c r="C61" t="s">
        <v>5</v>
      </c>
      <c r="D61">
        <v>2376792</v>
      </c>
    </row>
    <row r="62" spans="1:4" x14ac:dyDescent="0.25">
      <c r="A62">
        <v>2023</v>
      </c>
      <c r="B62" t="s">
        <v>10</v>
      </c>
      <c r="C62" t="s">
        <v>5</v>
      </c>
      <c r="D62">
        <v>692800</v>
      </c>
    </row>
    <row r="63" spans="1:4" x14ac:dyDescent="0.25">
      <c r="A63">
        <v>2023</v>
      </c>
      <c r="B63" t="s">
        <v>10</v>
      </c>
      <c r="C63" t="s">
        <v>5</v>
      </c>
      <c r="D63">
        <v>2120000</v>
      </c>
    </row>
    <row r="64" spans="1:4" x14ac:dyDescent="0.25">
      <c r="A64">
        <v>2023</v>
      </c>
      <c r="B64" t="s">
        <v>10</v>
      </c>
      <c r="C64" t="s">
        <v>5</v>
      </c>
      <c r="D64">
        <v>2830000</v>
      </c>
    </row>
    <row r="65" spans="1:4" x14ac:dyDescent="0.25">
      <c r="A65">
        <v>2023</v>
      </c>
      <c r="B65" t="s">
        <v>10</v>
      </c>
      <c r="C65" t="s">
        <v>5</v>
      </c>
      <c r="D65">
        <v>1497996</v>
      </c>
    </row>
    <row r="66" spans="1:4" x14ac:dyDescent="0.25">
      <c r="A66">
        <v>2023</v>
      </c>
      <c r="B66" t="s">
        <v>10</v>
      </c>
      <c r="C66" t="s">
        <v>5</v>
      </c>
      <c r="D66">
        <v>3706540</v>
      </c>
    </row>
    <row r="67" spans="1:4" x14ac:dyDescent="0.25">
      <c r="A67">
        <v>2023</v>
      </c>
      <c r="B67" t="s">
        <v>10</v>
      </c>
      <c r="C67" t="s">
        <v>5</v>
      </c>
      <c r="D67">
        <v>2696212</v>
      </c>
    </row>
    <row r="68" spans="1:4" x14ac:dyDescent="0.25">
      <c r="A68">
        <v>2023</v>
      </c>
      <c r="B68" t="s">
        <v>10</v>
      </c>
      <c r="C68" t="s">
        <v>5</v>
      </c>
      <c r="D68">
        <v>270000</v>
      </c>
    </row>
    <row r="69" spans="1:4" x14ac:dyDescent="0.25">
      <c r="A69">
        <v>2023</v>
      </c>
      <c r="B69" t="s">
        <v>10</v>
      </c>
      <c r="C69" t="s">
        <v>5</v>
      </c>
      <c r="D69">
        <v>3072084</v>
      </c>
    </row>
    <row r="70" spans="1:4" x14ac:dyDescent="0.25">
      <c r="A70">
        <v>2023</v>
      </c>
      <c r="B70" t="s">
        <v>10</v>
      </c>
      <c r="C70" t="s">
        <v>5</v>
      </c>
      <c r="D70">
        <v>1330000</v>
      </c>
    </row>
    <row r="71" spans="1:4" x14ac:dyDescent="0.25">
      <c r="A71">
        <v>2023</v>
      </c>
      <c r="B71" t="s">
        <v>10</v>
      </c>
      <c r="C71" t="s">
        <v>5</v>
      </c>
      <c r="D71">
        <v>410000</v>
      </c>
    </row>
    <row r="72" spans="1:4" x14ac:dyDescent="0.25">
      <c r="A72">
        <v>2023</v>
      </c>
      <c r="B72" t="s">
        <v>10</v>
      </c>
      <c r="C72" t="s">
        <v>5</v>
      </c>
      <c r="D72">
        <v>240000</v>
      </c>
    </row>
    <row r="73" spans="1:4" x14ac:dyDescent="0.25">
      <c r="A73">
        <v>2023</v>
      </c>
      <c r="B73" t="s">
        <v>10</v>
      </c>
      <c r="C73" t="s">
        <v>5</v>
      </c>
      <c r="D73">
        <v>1330052</v>
      </c>
    </row>
    <row r="74" spans="1:4" x14ac:dyDescent="0.25">
      <c r="A74">
        <v>2023</v>
      </c>
      <c r="B74" t="s">
        <v>10</v>
      </c>
      <c r="C74" t="s">
        <v>5</v>
      </c>
      <c r="D74">
        <v>492001</v>
      </c>
    </row>
    <row r="75" spans="1:4" x14ac:dyDescent="0.25">
      <c r="A75">
        <v>2023</v>
      </c>
      <c r="B75" t="s">
        <v>10</v>
      </c>
      <c r="C75" t="s">
        <v>5</v>
      </c>
      <c r="D75">
        <v>1166488</v>
      </c>
    </row>
    <row r="76" spans="1:4" x14ac:dyDescent="0.25">
      <c r="A76">
        <v>2023</v>
      </c>
      <c r="B76" t="s">
        <v>10</v>
      </c>
      <c r="C76" t="s">
        <v>5</v>
      </c>
      <c r="D76">
        <v>155000</v>
      </c>
    </row>
    <row r="77" spans="1:4" x14ac:dyDescent="0.25">
      <c r="A77">
        <v>2023</v>
      </c>
      <c r="B77" t="s">
        <v>10</v>
      </c>
      <c r="C77" t="s">
        <v>5</v>
      </c>
      <c r="D77">
        <v>497500</v>
      </c>
    </row>
    <row r="78" spans="1:4" x14ac:dyDescent="0.25">
      <c r="A78">
        <v>2023</v>
      </c>
      <c r="B78" t="s">
        <v>10</v>
      </c>
      <c r="C78" t="s">
        <v>5</v>
      </c>
      <c r="D78">
        <v>300000</v>
      </c>
    </row>
    <row r="79" spans="1:4" x14ac:dyDescent="0.25">
      <c r="A79">
        <v>2023</v>
      </c>
      <c r="B79" t="s">
        <v>10</v>
      </c>
      <c r="C79" t="s">
        <v>5</v>
      </c>
      <c r="D79">
        <v>130000</v>
      </c>
    </row>
    <row r="80" spans="1:4" x14ac:dyDescent="0.25">
      <c r="A80">
        <v>2023</v>
      </c>
      <c r="B80" t="s">
        <v>10</v>
      </c>
      <c r="C80" t="s">
        <v>5</v>
      </c>
      <c r="D80">
        <v>645000</v>
      </c>
    </row>
    <row r="81" spans="1:4" x14ac:dyDescent="0.25">
      <c r="A81">
        <v>2023</v>
      </c>
      <c r="B81" t="s">
        <v>10</v>
      </c>
      <c r="C81" t="s">
        <v>5</v>
      </c>
      <c r="D81">
        <v>222000</v>
      </c>
    </row>
    <row r="82" spans="1:4" x14ac:dyDescent="0.25">
      <c r="A82">
        <v>2023</v>
      </c>
      <c r="B82" t="s">
        <v>10</v>
      </c>
      <c r="C82" t="s">
        <v>5</v>
      </c>
      <c r="D82">
        <v>260000</v>
      </c>
    </row>
    <row r="83" spans="1:4" x14ac:dyDescent="0.25">
      <c r="A83">
        <v>2023</v>
      </c>
      <c r="B83" t="s">
        <v>10</v>
      </c>
      <c r="C83" t="s">
        <v>5</v>
      </c>
      <c r="D83">
        <v>1320000</v>
      </c>
    </row>
    <row r="84" spans="1:4" x14ac:dyDescent="0.25">
      <c r="A84">
        <v>2023</v>
      </c>
      <c r="B84" t="s">
        <v>10</v>
      </c>
      <c r="C84" t="s">
        <v>5</v>
      </c>
      <c r="D84">
        <v>403696</v>
      </c>
    </row>
    <row r="85" spans="1:4" x14ac:dyDescent="0.25">
      <c r="A85">
        <v>2023</v>
      </c>
      <c r="B85" t="s">
        <v>10</v>
      </c>
      <c r="C85" t="s">
        <v>5</v>
      </c>
      <c r="D85">
        <v>20000</v>
      </c>
    </row>
    <row r="86" spans="1:4" x14ac:dyDescent="0.25">
      <c r="A86">
        <v>2023</v>
      </c>
      <c r="B86" t="s">
        <v>10</v>
      </c>
      <c r="C86" t="s">
        <v>5</v>
      </c>
      <c r="D86">
        <v>1952460</v>
      </c>
    </row>
    <row r="87" spans="1:4" x14ac:dyDescent="0.25">
      <c r="A87">
        <v>2023</v>
      </c>
      <c r="B87" t="s">
        <v>10</v>
      </c>
      <c r="C87" t="s">
        <v>5</v>
      </c>
      <c r="D87">
        <v>470000</v>
      </c>
    </row>
    <row r="88" spans="1:4" x14ac:dyDescent="0.25">
      <c r="A88">
        <v>2023</v>
      </c>
      <c r="B88" t="s">
        <v>10</v>
      </c>
      <c r="C88" t="s">
        <v>5</v>
      </c>
      <c r="D88">
        <v>1814572</v>
      </c>
    </row>
    <row r="89" spans="1:4" x14ac:dyDescent="0.25">
      <c r="A89">
        <v>2023</v>
      </c>
      <c r="B89" t="s">
        <v>10</v>
      </c>
      <c r="C89" t="s">
        <v>5</v>
      </c>
      <c r="D89">
        <v>975352</v>
      </c>
    </row>
    <row r="90" spans="1:4" x14ac:dyDescent="0.25">
      <c r="A90">
        <v>2023</v>
      </c>
      <c r="B90" t="s">
        <v>10</v>
      </c>
      <c r="C90" t="s">
        <v>5</v>
      </c>
      <c r="D90">
        <v>3596356</v>
      </c>
    </row>
    <row r="91" spans="1:4" x14ac:dyDescent="0.25">
      <c r="A91">
        <v>2023</v>
      </c>
      <c r="B91" t="s">
        <v>10</v>
      </c>
      <c r="C91" t="s">
        <v>5</v>
      </c>
      <c r="D91">
        <v>1163776</v>
      </c>
    </row>
    <row r="92" spans="1:4" x14ac:dyDescent="0.25">
      <c r="A92">
        <v>2023</v>
      </c>
      <c r="B92" t="s">
        <v>10</v>
      </c>
      <c r="C92" t="s">
        <v>5</v>
      </c>
      <c r="D92">
        <v>2293272</v>
      </c>
    </row>
    <row r="93" spans="1:4" x14ac:dyDescent="0.25">
      <c r="A93">
        <v>2023</v>
      </c>
      <c r="B93" t="s">
        <v>10</v>
      </c>
      <c r="C93" t="s">
        <v>5</v>
      </c>
      <c r="D93">
        <v>420000</v>
      </c>
    </row>
    <row r="94" spans="1:4" x14ac:dyDescent="0.25">
      <c r="A94">
        <v>2023</v>
      </c>
      <c r="B94" t="s">
        <v>10</v>
      </c>
      <c r="C94" t="s">
        <v>5</v>
      </c>
      <c r="D94">
        <v>850000</v>
      </c>
    </row>
    <row r="95" spans="1:4" x14ac:dyDescent="0.25">
      <c r="A95">
        <v>2023</v>
      </c>
      <c r="B95" t="s">
        <v>10</v>
      </c>
      <c r="C95" t="s">
        <v>5</v>
      </c>
      <c r="D95">
        <v>2036944</v>
      </c>
    </row>
    <row r="96" spans="1:4" x14ac:dyDescent="0.25">
      <c r="A96">
        <v>2023</v>
      </c>
      <c r="B96" t="s">
        <v>10</v>
      </c>
      <c r="C96" t="s">
        <v>5</v>
      </c>
      <c r="D96">
        <v>1017208</v>
      </c>
    </row>
    <row r="97" spans="1:4" x14ac:dyDescent="0.25">
      <c r="A97">
        <v>2023</v>
      </c>
      <c r="B97" t="s">
        <v>10</v>
      </c>
      <c r="C97" t="s">
        <v>5</v>
      </c>
      <c r="D97">
        <v>1080212</v>
      </c>
    </row>
    <row r="98" spans="1:4" x14ac:dyDescent="0.25">
      <c r="A98">
        <v>2023</v>
      </c>
      <c r="B98" t="s">
        <v>10</v>
      </c>
      <c r="C98" t="s">
        <v>5</v>
      </c>
      <c r="D98">
        <v>253000</v>
      </c>
    </row>
    <row r="99" spans="1:4" x14ac:dyDescent="0.25">
      <c r="A99">
        <v>2023</v>
      </c>
      <c r="B99" t="s">
        <v>10</v>
      </c>
      <c r="C99" t="s">
        <v>5</v>
      </c>
      <c r="D99">
        <v>1324744</v>
      </c>
    </row>
    <row r="100" spans="1:4" x14ac:dyDescent="0.25">
      <c r="A100">
        <v>2023</v>
      </c>
      <c r="B100" t="s">
        <v>10</v>
      </c>
      <c r="C100" t="s">
        <v>5</v>
      </c>
      <c r="D100">
        <v>1531669</v>
      </c>
    </row>
    <row r="101" spans="1:4" x14ac:dyDescent="0.25">
      <c r="A101">
        <v>2023</v>
      </c>
      <c r="B101" t="s">
        <v>10</v>
      </c>
      <c r="C101" t="s">
        <v>5</v>
      </c>
      <c r="D101">
        <v>4073360</v>
      </c>
    </row>
    <row r="102" spans="1:4" x14ac:dyDescent="0.25">
      <c r="A102">
        <v>2023</v>
      </c>
      <c r="B102" t="s">
        <v>10</v>
      </c>
      <c r="C102" t="s">
        <v>5</v>
      </c>
      <c r="D102">
        <v>2000</v>
      </c>
    </row>
    <row r="103" spans="1:4" x14ac:dyDescent="0.25">
      <c r="A103">
        <v>2023</v>
      </c>
      <c r="B103" t="s">
        <v>10</v>
      </c>
      <c r="C103" t="s">
        <v>5</v>
      </c>
      <c r="D103">
        <v>12000</v>
      </c>
    </row>
    <row r="104" spans="1:4" x14ac:dyDescent="0.25">
      <c r="A104">
        <v>2023</v>
      </c>
      <c r="B104" t="s">
        <v>10</v>
      </c>
      <c r="C104" t="s">
        <v>5</v>
      </c>
      <c r="D104">
        <v>15000</v>
      </c>
    </row>
    <row r="105" spans="1:4" x14ac:dyDescent="0.25">
      <c r="A105">
        <v>2023</v>
      </c>
      <c r="B105" t="s">
        <v>10</v>
      </c>
      <c r="C105" t="s">
        <v>5</v>
      </c>
      <c r="D105">
        <v>187000</v>
      </c>
    </row>
    <row r="106" spans="1:4" x14ac:dyDescent="0.25">
      <c r="A106">
        <v>2023</v>
      </c>
      <c r="B106" t="s">
        <v>10</v>
      </c>
      <c r="C106" t="s">
        <v>5</v>
      </c>
      <c r="D106">
        <v>12000</v>
      </c>
    </row>
    <row r="107" spans="1:4" x14ac:dyDescent="0.25">
      <c r="A107">
        <v>2023</v>
      </c>
      <c r="B107" t="s">
        <v>10</v>
      </c>
      <c r="C107" t="s">
        <v>5</v>
      </c>
      <c r="D107">
        <v>165000</v>
      </c>
    </row>
    <row r="108" spans="1:4" x14ac:dyDescent="0.25">
      <c r="A108">
        <v>2023</v>
      </c>
      <c r="B108" t="s">
        <v>10</v>
      </c>
      <c r="C108" t="s">
        <v>5</v>
      </c>
      <c r="D108">
        <v>406000</v>
      </c>
    </row>
    <row r="109" spans="1:4" x14ac:dyDescent="0.25">
      <c r="A109">
        <v>2023</v>
      </c>
      <c r="B109" t="s">
        <v>10</v>
      </c>
      <c r="C109" t="s">
        <v>5</v>
      </c>
      <c r="D109">
        <v>462000</v>
      </c>
    </row>
    <row r="110" spans="1:4" x14ac:dyDescent="0.25">
      <c r="A110">
        <v>2023</v>
      </c>
      <c r="B110" t="s">
        <v>10</v>
      </c>
      <c r="C110" t="s">
        <v>5</v>
      </c>
      <c r="D110">
        <v>416000</v>
      </c>
    </row>
    <row r="111" spans="1:4" x14ac:dyDescent="0.25">
      <c r="A111">
        <v>2023</v>
      </c>
      <c r="B111" t="s">
        <v>10</v>
      </c>
      <c r="C111" t="s">
        <v>5</v>
      </c>
      <c r="D111">
        <v>362000</v>
      </c>
    </row>
    <row r="112" spans="1:4" x14ac:dyDescent="0.25">
      <c r="A112">
        <v>2023</v>
      </c>
      <c r="B112" t="s">
        <v>10</v>
      </c>
      <c r="C112" t="s">
        <v>5</v>
      </c>
      <c r="D112">
        <v>120000</v>
      </c>
    </row>
    <row r="113" spans="1:4" x14ac:dyDescent="0.25">
      <c r="A113">
        <v>2023</v>
      </c>
      <c r="B113" t="s">
        <v>10</v>
      </c>
      <c r="C113" t="s">
        <v>5</v>
      </c>
      <c r="D113">
        <v>1770000</v>
      </c>
    </row>
    <row r="114" spans="1:4" x14ac:dyDescent="0.25">
      <c r="A114">
        <v>2023</v>
      </c>
      <c r="B114" t="s">
        <v>10</v>
      </c>
      <c r="C114" t="s">
        <v>5</v>
      </c>
      <c r="D114">
        <v>252000</v>
      </c>
    </row>
    <row r="115" spans="1:4" x14ac:dyDescent="0.25">
      <c r="A115">
        <v>2023</v>
      </c>
      <c r="B115" t="s">
        <v>10</v>
      </c>
      <c r="C115" t="s">
        <v>5</v>
      </c>
      <c r="D115">
        <v>120000</v>
      </c>
    </row>
    <row r="116" spans="1:4" x14ac:dyDescent="0.25">
      <c r="A116">
        <v>2023</v>
      </c>
      <c r="B116" t="s">
        <v>10</v>
      </c>
      <c r="C116" t="s">
        <v>5</v>
      </c>
      <c r="D116">
        <v>220380</v>
      </c>
    </row>
    <row r="117" spans="1:4" x14ac:dyDescent="0.25">
      <c r="A117">
        <v>2023</v>
      </c>
      <c r="B117" t="s">
        <v>10</v>
      </c>
      <c r="C117" t="s">
        <v>5</v>
      </c>
      <c r="D117">
        <v>868696</v>
      </c>
    </row>
    <row r="118" spans="1:4" x14ac:dyDescent="0.25">
      <c r="A118">
        <v>2023</v>
      </c>
      <c r="B118" t="s">
        <v>10</v>
      </c>
      <c r="C118" t="s">
        <v>5</v>
      </c>
      <c r="D118">
        <v>1847580</v>
      </c>
    </row>
    <row r="119" spans="1:4" x14ac:dyDescent="0.25">
      <c r="A119">
        <v>2023</v>
      </c>
      <c r="B119" t="s">
        <v>10</v>
      </c>
      <c r="C119" t="s">
        <v>5</v>
      </c>
      <c r="D119">
        <v>2394628</v>
      </c>
    </row>
    <row r="120" spans="1:4" x14ac:dyDescent="0.25">
      <c r="A120">
        <v>2023</v>
      </c>
      <c r="B120" t="s">
        <v>10</v>
      </c>
      <c r="C120" t="s">
        <v>5</v>
      </c>
      <c r="D120">
        <v>1487360</v>
      </c>
    </row>
    <row r="121" spans="1:4" x14ac:dyDescent="0.25">
      <c r="A121">
        <v>2023</v>
      </c>
      <c r="B121" t="s">
        <v>10</v>
      </c>
      <c r="C121" t="s">
        <v>5</v>
      </c>
      <c r="D121">
        <v>205000</v>
      </c>
    </row>
    <row r="122" spans="1:4" x14ac:dyDescent="0.25">
      <c r="A122">
        <v>2023</v>
      </c>
      <c r="B122" t="s">
        <v>10</v>
      </c>
      <c r="C122" t="s">
        <v>5</v>
      </c>
      <c r="D122">
        <v>5461452</v>
      </c>
    </row>
    <row r="123" spans="1:4" x14ac:dyDescent="0.25">
      <c r="A123">
        <v>2023</v>
      </c>
      <c r="B123" t="s">
        <v>10</v>
      </c>
      <c r="C123" t="s">
        <v>5</v>
      </c>
      <c r="D123">
        <v>4516264</v>
      </c>
    </row>
    <row r="124" spans="1:4" x14ac:dyDescent="0.25">
      <c r="A124">
        <v>2023</v>
      </c>
      <c r="B124" t="s">
        <v>10</v>
      </c>
      <c r="C124" t="s">
        <v>5</v>
      </c>
      <c r="D124">
        <v>3557564</v>
      </c>
    </row>
    <row r="125" spans="1:4" x14ac:dyDescent="0.25">
      <c r="A125">
        <v>2023</v>
      </c>
      <c r="B125" t="s">
        <v>10</v>
      </c>
      <c r="C125" t="s">
        <v>5</v>
      </c>
      <c r="D125">
        <v>1006512</v>
      </c>
    </row>
    <row r="126" spans="1:4" x14ac:dyDescent="0.25">
      <c r="A126">
        <v>2023</v>
      </c>
      <c r="B126" t="s">
        <v>10</v>
      </c>
      <c r="C126" t="s">
        <v>5</v>
      </c>
      <c r="D126">
        <v>957000</v>
      </c>
    </row>
    <row r="127" spans="1:4" x14ac:dyDescent="0.25">
      <c r="A127">
        <v>2023</v>
      </c>
      <c r="B127" t="s">
        <v>10</v>
      </c>
      <c r="C127" t="s">
        <v>5</v>
      </c>
      <c r="D127">
        <v>985628</v>
      </c>
    </row>
    <row r="128" spans="1:4" x14ac:dyDescent="0.25">
      <c r="A128">
        <v>2023</v>
      </c>
      <c r="B128" t="s">
        <v>10</v>
      </c>
      <c r="C128" t="s">
        <v>5</v>
      </c>
      <c r="D128">
        <v>3219692</v>
      </c>
    </row>
    <row r="129" spans="1:4" x14ac:dyDescent="0.25">
      <c r="A129">
        <v>2023</v>
      </c>
      <c r="B129" t="s">
        <v>10</v>
      </c>
      <c r="C129" t="s">
        <v>5</v>
      </c>
      <c r="D129">
        <v>240000</v>
      </c>
    </row>
    <row r="130" spans="1:4" x14ac:dyDescent="0.25">
      <c r="A130">
        <v>2023</v>
      </c>
      <c r="B130" t="s">
        <v>10</v>
      </c>
      <c r="C130" t="s">
        <v>5</v>
      </c>
      <c r="D130">
        <v>4437516</v>
      </c>
    </row>
    <row r="131" spans="1:4" x14ac:dyDescent="0.25">
      <c r="A131">
        <v>2023</v>
      </c>
      <c r="B131" t="s">
        <v>10</v>
      </c>
      <c r="C131" t="s">
        <v>5</v>
      </c>
      <c r="D131">
        <v>796000</v>
      </c>
    </row>
    <row r="132" spans="1:4" x14ac:dyDescent="0.25">
      <c r="A132">
        <v>2023</v>
      </c>
      <c r="B132" t="s">
        <v>10</v>
      </c>
      <c r="C132" t="s">
        <v>5</v>
      </c>
      <c r="D132">
        <v>775000</v>
      </c>
    </row>
    <row r="133" spans="1:4" x14ac:dyDescent="0.25">
      <c r="A133">
        <v>2023</v>
      </c>
      <c r="B133" t="s">
        <v>10</v>
      </c>
      <c r="C133" t="s">
        <v>5</v>
      </c>
      <c r="D133">
        <v>805368</v>
      </c>
    </row>
    <row r="134" spans="1:4" x14ac:dyDescent="0.25">
      <c r="A134">
        <v>2023</v>
      </c>
      <c r="B134" t="s">
        <v>10</v>
      </c>
      <c r="C134" t="s">
        <v>5</v>
      </c>
      <c r="D134">
        <v>1603548</v>
      </c>
    </row>
    <row r="135" spans="1:4" x14ac:dyDescent="0.25">
      <c r="A135">
        <v>2023</v>
      </c>
      <c r="B135" t="s">
        <v>10</v>
      </c>
      <c r="C135" t="s">
        <v>5</v>
      </c>
      <c r="D135">
        <v>600000</v>
      </c>
    </row>
    <row r="136" spans="1:4" x14ac:dyDescent="0.25">
      <c r="A136">
        <v>2023</v>
      </c>
      <c r="B136" t="s">
        <v>10</v>
      </c>
      <c r="C136" t="s">
        <v>5</v>
      </c>
      <c r="D136">
        <v>1820212</v>
      </c>
    </row>
    <row r="137" spans="1:4" x14ac:dyDescent="0.25">
      <c r="A137">
        <v>2023</v>
      </c>
      <c r="B137" t="s">
        <v>10</v>
      </c>
      <c r="C137" t="s">
        <v>5</v>
      </c>
      <c r="D137">
        <v>787272</v>
      </c>
    </row>
    <row r="138" spans="1:4" x14ac:dyDescent="0.25">
      <c r="A138">
        <v>2023</v>
      </c>
      <c r="B138" t="s">
        <v>10</v>
      </c>
      <c r="C138" t="s">
        <v>5</v>
      </c>
      <c r="D138">
        <v>420000</v>
      </c>
    </row>
    <row r="139" spans="1:4" x14ac:dyDescent="0.25">
      <c r="A139">
        <v>2023</v>
      </c>
      <c r="B139" t="s">
        <v>10</v>
      </c>
      <c r="C139" t="s">
        <v>5</v>
      </c>
      <c r="D139">
        <v>4599376</v>
      </c>
    </row>
    <row r="140" spans="1:4" x14ac:dyDescent="0.25">
      <c r="A140">
        <v>2023</v>
      </c>
      <c r="B140" t="s">
        <v>10</v>
      </c>
      <c r="C140" t="s">
        <v>5</v>
      </c>
      <c r="D140">
        <v>330000</v>
      </c>
    </row>
    <row r="141" spans="1:4" x14ac:dyDescent="0.25">
      <c r="A141">
        <v>2023</v>
      </c>
      <c r="B141" t="s">
        <v>10</v>
      </c>
      <c r="C141" t="s">
        <v>5</v>
      </c>
      <c r="D141">
        <v>2617432</v>
      </c>
    </row>
    <row r="142" spans="1:4" x14ac:dyDescent="0.25">
      <c r="A142">
        <v>2023</v>
      </c>
      <c r="B142" t="s">
        <v>10</v>
      </c>
      <c r="C142" t="s">
        <v>5</v>
      </c>
      <c r="D142">
        <v>1585000</v>
      </c>
    </row>
    <row r="143" spans="1:4" x14ac:dyDescent="0.25">
      <c r="A143">
        <v>2023</v>
      </c>
      <c r="B143" t="s">
        <v>10</v>
      </c>
      <c r="C143" t="s">
        <v>5</v>
      </c>
      <c r="D143">
        <v>827480</v>
      </c>
    </row>
    <row r="144" spans="1:4" x14ac:dyDescent="0.25">
      <c r="A144">
        <v>2023</v>
      </c>
      <c r="B144" t="s">
        <v>10</v>
      </c>
      <c r="C144" t="s">
        <v>5</v>
      </c>
      <c r="D144">
        <v>500000</v>
      </c>
    </row>
    <row r="145" spans="1:4" x14ac:dyDescent="0.25">
      <c r="A145">
        <v>2023</v>
      </c>
      <c r="B145" t="s">
        <v>10</v>
      </c>
      <c r="C145" t="s">
        <v>5</v>
      </c>
      <c r="D145">
        <v>497000</v>
      </c>
    </row>
    <row r="146" spans="1:4" x14ac:dyDescent="0.25">
      <c r="A146">
        <v>2023</v>
      </c>
      <c r="B146" t="s">
        <v>10</v>
      </c>
      <c r="C146" t="s">
        <v>5</v>
      </c>
      <c r="D146">
        <v>620000</v>
      </c>
    </row>
    <row r="147" spans="1:4" x14ac:dyDescent="0.25">
      <c r="A147">
        <v>2023</v>
      </c>
      <c r="B147" t="s">
        <v>10</v>
      </c>
      <c r="C147" t="s">
        <v>5</v>
      </c>
      <c r="D147">
        <v>840000</v>
      </c>
    </row>
    <row r="148" spans="1:4" x14ac:dyDescent="0.25">
      <c r="A148">
        <v>2023</v>
      </c>
      <c r="B148" t="s">
        <v>10</v>
      </c>
      <c r="C148" t="s">
        <v>5</v>
      </c>
      <c r="D148">
        <v>300000</v>
      </c>
    </row>
    <row r="149" spans="1:4" x14ac:dyDescent="0.25">
      <c r="A149">
        <v>2023</v>
      </c>
      <c r="B149" t="s">
        <v>10</v>
      </c>
      <c r="C149" t="s">
        <v>5</v>
      </c>
      <c r="D149">
        <v>180000</v>
      </c>
    </row>
    <row r="150" spans="1:4" x14ac:dyDescent="0.25">
      <c r="A150">
        <v>2023</v>
      </c>
      <c r="B150" t="s">
        <v>10</v>
      </c>
      <c r="C150" t="s">
        <v>5</v>
      </c>
      <c r="D150">
        <v>3600000</v>
      </c>
    </row>
    <row r="151" spans="1:4" x14ac:dyDescent="0.25">
      <c r="A151">
        <v>2023</v>
      </c>
      <c r="B151" t="s">
        <v>10</v>
      </c>
      <c r="C151" t="s">
        <v>5</v>
      </c>
      <c r="D151">
        <v>1514852</v>
      </c>
    </row>
    <row r="152" spans="1:4" x14ac:dyDescent="0.25">
      <c r="A152">
        <v>2023</v>
      </c>
      <c r="B152" t="s">
        <v>10</v>
      </c>
      <c r="C152" t="s">
        <v>5</v>
      </c>
      <c r="D152">
        <v>1051884</v>
      </c>
    </row>
    <row r="153" spans="1:4" x14ac:dyDescent="0.25">
      <c r="A153">
        <v>2023</v>
      </c>
      <c r="B153" t="s">
        <v>10</v>
      </c>
      <c r="C153" t="s">
        <v>5</v>
      </c>
      <c r="D153">
        <v>20806712</v>
      </c>
    </row>
    <row r="154" spans="1:4" x14ac:dyDescent="0.25">
      <c r="A154">
        <v>2023</v>
      </c>
      <c r="B154" t="s">
        <v>10</v>
      </c>
      <c r="C154" t="s">
        <v>5</v>
      </c>
      <c r="D154">
        <v>22346696</v>
      </c>
    </row>
    <row r="155" spans="1:4" x14ac:dyDescent="0.25">
      <c r="A155">
        <v>2023</v>
      </c>
      <c r="B155" t="s">
        <v>10</v>
      </c>
      <c r="C155" t="s">
        <v>5</v>
      </c>
      <c r="D155">
        <v>300000</v>
      </c>
    </row>
    <row r="156" spans="1:4" x14ac:dyDescent="0.25">
      <c r="A156">
        <v>2023</v>
      </c>
      <c r="B156" t="s">
        <v>10</v>
      </c>
      <c r="C156" t="s">
        <v>5</v>
      </c>
      <c r="D156">
        <v>355000</v>
      </c>
    </row>
    <row r="157" spans="1:4" x14ac:dyDescent="0.25">
      <c r="A157">
        <v>2023</v>
      </c>
      <c r="B157" t="s">
        <v>10</v>
      </c>
      <c r="C157" t="s">
        <v>5</v>
      </c>
      <c r="D157">
        <v>2380052</v>
      </c>
    </row>
    <row r="158" spans="1:4" x14ac:dyDescent="0.25">
      <c r="A158">
        <v>2023</v>
      </c>
      <c r="B158" t="s">
        <v>10</v>
      </c>
      <c r="C158" t="s">
        <v>5</v>
      </c>
      <c r="D158">
        <v>270000</v>
      </c>
    </row>
    <row r="159" spans="1:4" x14ac:dyDescent="0.25">
      <c r="A159">
        <v>2023</v>
      </c>
      <c r="B159" t="s">
        <v>10</v>
      </c>
      <c r="C159" t="s">
        <v>5</v>
      </c>
      <c r="D159">
        <v>1150000</v>
      </c>
    </row>
    <row r="160" spans="1:4" x14ac:dyDescent="0.25">
      <c r="A160">
        <v>2023</v>
      </c>
      <c r="B160" t="s">
        <v>10</v>
      </c>
      <c r="C160" t="s">
        <v>5</v>
      </c>
      <c r="D160">
        <v>4426236</v>
      </c>
    </row>
    <row r="161" spans="1:4" x14ac:dyDescent="0.25">
      <c r="A161">
        <v>2023</v>
      </c>
      <c r="B161" t="s">
        <v>10</v>
      </c>
      <c r="C161" t="s">
        <v>5</v>
      </c>
      <c r="D161">
        <v>430000</v>
      </c>
    </row>
    <row r="162" spans="1:4" x14ac:dyDescent="0.25">
      <c r="A162">
        <v>2023</v>
      </c>
      <c r="B162" t="s">
        <v>10</v>
      </c>
      <c r="C162" t="s">
        <v>5</v>
      </c>
      <c r="D162">
        <v>100000</v>
      </c>
    </row>
    <row r="163" spans="1:4" x14ac:dyDescent="0.25">
      <c r="A163">
        <v>2023</v>
      </c>
      <c r="B163" t="s">
        <v>10</v>
      </c>
      <c r="C163" t="s">
        <v>5</v>
      </c>
      <c r="D163">
        <v>266000</v>
      </c>
    </row>
    <row r="164" spans="1:4" x14ac:dyDescent="0.25">
      <c r="A164">
        <v>2023</v>
      </c>
      <c r="B164" t="s">
        <v>10</v>
      </c>
      <c r="C164" t="s">
        <v>5</v>
      </c>
      <c r="D164">
        <v>450000</v>
      </c>
    </row>
    <row r="165" spans="1:4" x14ac:dyDescent="0.25">
      <c r="A165">
        <v>2023</v>
      </c>
      <c r="B165" t="s">
        <v>10</v>
      </c>
      <c r="C165" t="s">
        <v>5</v>
      </c>
      <c r="D165">
        <v>415000</v>
      </c>
    </row>
    <row r="166" spans="1:4" x14ac:dyDescent="0.25">
      <c r="A166">
        <v>2023</v>
      </c>
      <c r="B166" t="s">
        <v>10</v>
      </c>
      <c r="C166" t="s">
        <v>5</v>
      </c>
      <c r="D166">
        <v>250000</v>
      </c>
    </row>
    <row r="167" spans="1:4" x14ac:dyDescent="0.25">
      <c r="A167">
        <v>2023</v>
      </c>
      <c r="B167" t="s">
        <v>10</v>
      </c>
      <c r="C167" t="s">
        <v>5</v>
      </c>
      <c r="D167">
        <v>488696</v>
      </c>
    </row>
    <row r="168" spans="1:4" x14ac:dyDescent="0.25">
      <c r="A168">
        <v>2023</v>
      </c>
      <c r="B168" t="s">
        <v>10</v>
      </c>
      <c r="C168" t="s">
        <v>5</v>
      </c>
      <c r="D168">
        <v>373696</v>
      </c>
    </row>
    <row r="169" spans="1:4" x14ac:dyDescent="0.25">
      <c r="A169">
        <v>2023</v>
      </c>
      <c r="B169" t="s">
        <v>10</v>
      </c>
      <c r="C169" t="s">
        <v>5</v>
      </c>
      <c r="D169">
        <v>1246696</v>
      </c>
    </row>
    <row r="170" spans="1:4" x14ac:dyDescent="0.25">
      <c r="A170">
        <v>2023</v>
      </c>
      <c r="B170" t="s">
        <v>10</v>
      </c>
      <c r="C170" t="s">
        <v>5</v>
      </c>
      <c r="D170">
        <v>311696</v>
      </c>
    </row>
    <row r="171" spans="1:4" x14ac:dyDescent="0.25">
      <c r="A171">
        <v>2023</v>
      </c>
      <c r="B171" t="s">
        <v>10</v>
      </c>
      <c r="C171" t="s">
        <v>5</v>
      </c>
      <c r="D171">
        <v>753696</v>
      </c>
    </row>
    <row r="172" spans="1:4" x14ac:dyDescent="0.25">
      <c r="A172">
        <v>2023</v>
      </c>
      <c r="B172" t="s">
        <v>10</v>
      </c>
      <c r="C172" t="s">
        <v>5</v>
      </c>
      <c r="D172">
        <v>676696</v>
      </c>
    </row>
    <row r="173" spans="1:4" x14ac:dyDescent="0.25">
      <c r="A173">
        <v>2023</v>
      </c>
      <c r="B173" t="s">
        <v>10</v>
      </c>
      <c r="C173" t="s">
        <v>5</v>
      </c>
      <c r="D173">
        <v>908696</v>
      </c>
    </row>
    <row r="174" spans="1:4" x14ac:dyDescent="0.25">
      <c r="A174">
        <v>2023</v>
      </c>
      <c r="B174" t="s">
        <v>10</v>
      </c>
      <c r="C174" t="s">
        <v>5</v>
      </c>
      <c r="D174">
        <v>693697</v>
      </c>
    </row>
    <row r="175" spans="1:4" x14ac:dyDescent="0.25">
      <c r="A175">
        <v>2023</v>
      </c>
      <c r="B175" t="s">
        <v>10</v>
      </c>
      <c r="C175" t="s">
        <v>5</v>
      </c>
      <c r="D175">
        <v>778697</v>
      </c>
    </row>
    <row r="176" spans="1:4" x14ac:dyDescent="0.25">
      <c r="A176">
        <v>2023</v>
      </c>
      <c r="B176" t="s">
        <v>10</v>
      </c>
      <c r="C176" t="s">
        <v>5</v>
      </c>
      <c r="D176">
        <v>843697</v>
      </c>
    </row>
    <row r="177" spans="1:4" x14ac:dyDescent="0.25">
      <c r="A177">
        <v>2023</v>
      </c>
      <c r="B177" t="s">
        <v>10</v>
      </c>
      <c r="C177" t="s">
        <v>5</v>
      </c>
      <c r="D177">
        <v>678697</v>
      </c>
    </row>
    <row r="178" spans="1:4" x14ac:dyDescent="0.25">
      <c r="A178">
        <v>2023</v>
      </c>
      <c r="B178" t="s">
        <v>10</v>
      </c>
      <c r="C178" t="s">
        <v>5</v>
      </c>
      <c r="D178">
        <v>463697</v>
      </c>
    </row>
    <row r="179" spans="1:4" x14ac:dyDescent="0.25">
      <c r="A179">
        <v>2023</v>
      </c>
      <c r="B179" t="s">
        <v>10</v>
      </c>
      <c r="C179" t="s">
        <v>5</v>
      </c>
      <c r="D179">
        <v>821697</v>
      </c>
    </row>
    <row r="180" spans="1:4" x14ac:dyDescent="0.25">
      <c r="A180">
        <v>2023</v>
      </c>
      <c r="B180" t="s">
        <v>10</v>
      </c>
      <c r="C180" t="s">
        <v>6</v>
      </c>
      <c r="D180">
        <v>485458099</v>
      </c>
    </row>
    <row r="181" spans="1:4" x14ac:dyDescent="0.25">
      <c r="A181">
        <v>2023</v>
      </c>
      <c r="B181" t="s">
        <v>10</v>
      </c>
      <c r="C181" t="s">
        <v>6</v>
      </c>
      <c r="D181">
        <v>1885000</v>
      </c>
    </row>
    <row r="182" spans="1:4" x14ac:dyDescent="0.25">
      <c r="A182">
        <v>2023</v>
      </c>
      <c r="B182" t="s">
        <v>10</v>
      </c>
      <c r="C182" t="s">
        <v>6</v>
      </c>
      <c r="D182">
        <v>3176000</v>
      </c>
    </row>
    <row r="183" spans="1:4" x14ac:dyDescent="0.25">
      <c r="A183">
        <v>2023</v>
      </c>
      <c r="B183" t="s">
        <v>10</v>
      </c>
      <c r="C183" t="s">
        <v>6</v>
      </c>
      <c r="D183">
        <v>1987800</v>
      </c>
    </row>
    <row r="184" spans="1:4" x14ac:dyDescent="0.25">
      <c r="A184">
        <v>2023</v>
      </c>
      <c r="B184" t="s">
        <v>10</v>
      </c>
      <c r="C184" t="s">
        <v>6</v>
      </c>
      <c r="D184">
        <v>3105000</v>
      </c>
    </row>
    <row r="185" spans="1:4" x14ac:dyDescent="0.25">
      <c r="A185">
        <v>2023</v>
      </c>
      <c r="B185" t="s">
        <v>10</v>
      </c>
      <c r="C185" t="s">
        <v>6</v>
      </c>
      <c r="D185">
        <v>3006200</v>
      </c>
    </row>
    <row r="186" spans="1:4" x14ac:dyDescent="0.25">
      <c r="A186">
        <v>2023</v>
      </c>
      <c r="B186" t="s">
        <v>10</v>
      </c>
      <c r="C186" t="s">
        <v>6</v>
      </c>
      <c r="D186">
        <v>2403400</v>
      </c>
    </row>
    <row r="187" spans="1:4" x14ac:dyDescent="0.25">
      <c r="A187">
        <v>2023</v>
      </c>
      <c r="B187" t="s">
        <v>10</v>
      </c>
      <c r="C187" t="s">
        <v>6</v>
      </c>
      <c r="D187">
        <v>512000</v>
      </c>
    </row>
    <row r="188" spans="1:4" x14ac:dyDescent="0.25">
      <c r="A188">
        <v>2023</v>
      </c>
      <c r="B188" t="s">
        <v>10</v>
      </c>
      <c r="C188" t="s">
        <v>6</v>
      </c>
      <c r="D188">
        <v>1722000</v>
      </c>
    </row>
    <row r="189" spans="1:4" x14ac:dyDescent="0.25">
      <c r="A189">
        <v>2023</v>
      </c>
      <c r="B189" t="s">
        <v>10</v>
      </c>
      <c r="C189" t="s">
        <v>6</v>
      </c>
      <c r="D189">
        <v>815000</v>
      </c>
    </row>
    <row r="190" spans="1:4" x14ac:dyDescent="0.25">
      <c r="A190">
        <v>2023</v>
      </c>
      <c r="B190" t="s">
        <v>10</v>
      </c>
      <c r="C190" t="s">
        <v>6</v>
      </c>
      <c r="D190">
        <v>1014301</v>
      </c>
    </row>
    <row r="191" spans="1:4" x14ac:dyDescent="0.25">
      <c r="A191">
        <v>2023</v>
      </c>
      <c r="B191" t="s">
        <v>10</v>
      </c>
      <c r="C191" t="s">
        <v>6</v>
      </c>
      <c r="D191">
        <v>551000</v>
      </c>
    </row>
    <row r="192" spans="1:4" x14ac:dyDescent="0.25">
      <c r="A192">
        <v>2023</v>
      </c>
      <c r="B192" t="s">
        <v>10</v>
      </c>
      <c r="C192" t="s">
        <v>6</v>
      </c>
      <c r="D192">
        <v>4806000</v>
      </c>
    </row>
    <row r="193" spans="1:4" x14ac:dyDescent="0.25">
      <c r="A193">
        <v>2023</v>
      </c>
      <c r="B193" t="s">
        <v>10</v>
      </c>
      <c r="C193" t="s">
        <v>6</v>
      </c>
      <c r="D193">
        <v>996000</v>
      </c>
    </row>
    <row r="194" spans="1:4" x14ac:dyDescent="0.25">
      <c r="A194">
        <v>2023</v>
      </c>
      <c r="B194" t="s">
        <v>10</v>
      </c>
      <c r="C194" t="s">
        <v>6</v>
      </c>
      <c r="D194">
        <v>2425700</v>
      </c>
    </row>
    <row r="195" spans="1:4" x14ac:dyDescent="0.25">
      <c r="A195">
        <v>2023</v>
      </c>
      <c r="B195" t="s">
        <v>10</v>
      </c>
      <c r="C195" t="s">
        <v>6</v>
      </c>
      <c r="D195">
        <v>1519000</v>
      </c>
    </row>
    <row r="196" spans="1:4" x14ac:dyDescent="0.25">
      <c r="A196">
        <v>2023</v>
      </c>
      <c r="B196" t="s">
        <v>10</v>
      </c>
      <c r="C196" t="s">
        <v>6</v>
      </c>
      <c r="D196">
        <v>1952000</v>
      </c>
    </row>
    <row r="197" spans="1:4" x14ac:dyDescent="0.25">
      <c r="A197">
        <v>2023</v>
      </c>
      <c r="B197" t="s">
        <v>10</v>
      </c>
      <c r="C197" t="s">
        <v>6</v>
      </c>
      <c r="D197">
        <v>1199500</v>
      </c>
    </row>
    <row r="198" spans="1:4" x14ac:dyDescent="0.25">
      <c r="A198">
        <v>2023</v>
      </c>
      <c r="B198" t="s">
        <v>10</v>
      </c>
      <c r="C198" t="s">
        <v>6</v>
      </c>
      <c r="D198">
        <v>1328500</v>
      </c>
    </row>
    <row r="199" spans="1:4" x14ac:dyDescent="0.25">
      <c r="A199">
        <v>2023</v>
      </c>
      <c r="B199" t="s">
        <v>10</v>
      </c>
      <c r="C199" t="s">
        <v>6</v>
      </c>
      <c r="D199">
        <v>4066300</v>
      </c>
    </row>
    <row r="200" spans="1:4" x14ac:dyDescent="0.25">
      <c r="A200">
        <v>2023</v>
      </c>
      <c r="B200" t="s">
        <v>10</v>
      </c>
      <c r="C200" t="s">
        <v>6</v>
      </c>
      <c r="D200">
        <v>1161302</v>
      </c>
    </row>
    <row r="201" spans="1:4" x14ac:dyDescent="0.25">
      <c r="A201">
        <v>2023</v>
      </c>
      <c r="B201" t="s">
        <v>10</v>
      </c>
      <c r="C201" t="s">
        <v>6</v>
      </c>
      <c r="D201">
        <v>930000</v>
      </c>
    </row>
    <row r="202" spans="1:4" x14ac:dyDescent="0.25">
      <c r="A202">
        <v>2023</v>
      </c>
      <c r="B202" t="s">
        <v>10</v>
      </c>
      <c r="C202" t="s">
        <v>6</v>
      </c>
      <c r="D202">
        <v>1354000</v>
      </c>
    </row>
    <row r="203" spans="1:4" x14ac:dyDescent="0.25">
      <c r="A203">
        <v>2023</v>
      </c>
      <c r="B203" t="s">
        <v>10</v>
      </c>
      <c r="C203" t="s">
        <v>6</v>
      </c>
      <c r="D203">
        <v>884000</v>
      </c>
    </row>
    <row r="204" spans="1:4" x14ac:dyDescent="0.25">
      <c r="A204">
        <v>2023</v>
      </c>
      <c r="B204" t="s">
        <v>10</v>
      </c>
      <c r="C204" t="s">
        <v>6</v>
      </c>
      <c r="D204">
        <v>3014600</v>
      </c>
    </row>
    <row r="205" spans="1:4" x14ac:dyDescent="0.25">
      <c r="A205">
        <v>2023</v>
      </c>
      <c r="B205" t="s">
        <v>10</v>
      </c>
      <c r="C205" t="s">
        <v>6</v>
      </c>
      <c r="D205">
        <v>871000</v>
      </c>
    </row>
    <row r="206" spans="1:4" x14ac:dyDescent="0.25">
      <c r="A206">
        <v>2023</v>
      </c>
      <c r="B206" t="s">
        <v>10</v>
      </c>
      <c r="C206" t="s">
        <v>6</v>
      </c>
      <c r="D206">
        <v>2987000</v>
      </c>
    </row>
    <row r="207" spans="1:4" x14ac:dyDescent="0.25">
      <c r="A207">
        <v>2023</v>
      </c>
      <c r="B207" t="s">
        <v>10</v>
      </c>
      <c r="C207" t="s">
        <v>6</v>
      </c>
      <c r="D207">
        <v>3507265</v>
      </c>
    </row>
    <row r="208" spans="1:4" x14ac:dyDescent="0.25">
      <c r="A208">
        <v>2023</v>
      </c>
      <c r="B208" t="s">
        <v>10</v>
      </c>
      <c r="C208" t="s">
        <v>6</v>
      </c>
      <c r="D208">
        <v>1127000</v>
      </c>
    </row>
    <row r="209" spans="1:4" x14ac:dyDescent="0.25">
      <c r="A209">
        <v>2023</v>
      </c>
      <c r="B209" t="s">
        <v>10</v>
      </c>
      <c r="C209" t="s">
        <v>6</v>
      </c>
      <c r="D209">
        <v>3138500</v>
      </c>
    </row>
    <row r="210" spans="1:4" x14ac:dyDescent="0.25">
      <c r="A210">
        <v>2023</v>
      </c>
      <c r="B210" t="s">
        <v>10</v>
      </c>
      <c r="C210" t="s">
        <v>6</v>
      </c>
      <c r="D210">
        <v>617500</v>
      </c>
    </row>
    <row r="211" spans="1:4" x14ac:dyDescent="0.25">
      <c r="A211">
        <v>2023</v>
      </c>
      <c r="B211" t="s">
        <v>10</v>
      </c>
      <c r="C211" t="s">
        <v>6</v>
      </c>
      <c r="D211">
        <v>1494000</v>
      </c>
    </row>
    <row r="212" spans="1:4" x14ac:dyDescent="0.25">
      <c r="A212">
        <v>2023</v>
      </c>
      <c r="B212" t="s">
        <v>10</v>
      </c>
      <c r="C212" t="s">
        <v>6</v>
      </c>
      <c r="D212">
        <v>2161650</v>
      </c>
    </row>
    <row r="213" spans="1:4" x14ac:dyDescent="0.25">
      <c r="A213">
        <v>2023</v>
      </c>
      <c r="B213" t="s">
        <v>10</v>
      </c>
      <c r="C213" t="s">
        <v>6</v>
      </c>
      <c r="D213">
        <v>1505000</v>
      </c>
    </row>
    <row r="214" spans="1:4" x14ac:dyDescent="0.25">
      <c r="A214">
        <v>2023</v>
      </c>
      <c r="B214" t="s">
        <v>10</v>
      </c>
      <c r="C214" t="s">
        <v>6</v>
      </c>
      <c r="D214">
        <v>600000</v>
      </c>
    </row>
    <row r="215" spans="1:4" x14ac:dyDescent="0.25">
      <c r="A215">
        <v>2023</v>
      </c>
      <c r="B215" t="s">
        <v>10</v>
      </c>
      <c r="C215" t="s">
        <v>6</v>
      </c>
      <c r="D215">
        <v>1160000</v>
      </c>
    </row>
    <row r="216" spans="1:4" x14ac:dyDescent="0.25">
      <c r="A216">
        <v>2023</v>
      </c>
      <c r="B216" t="s">
        <v>10</v>
      </c>
      <c r="C216" t="s">
        <v>6</v>
      </c>
      <c r="D216">
        <v>737500</v>
      </c>
    </row>
    <row r="217" spans="1:4" x14ac:dyDescent="0.25">
      <c r="A217">
        <v>2023</v>
      </c>
      <c r="B217" t="s">
        <v>10</v>
      </c>
      <c r="C217" t="s">
        <v>6</v>
      </c>
      <c r="D217">
        <v>1001200</v>
      </c>
    </row>
    <row r="218" spans="1:4" x14ac:dyDescent="0.25">
      <c r="A218">
        <v>2023</v>
      </c>
      <c r="B218" t="s">
        <v>10</v>
      </c>
      <c r="C218" t="s">
        <v>6</v>
      </c>
      <c r="D218">
        <v>144000</v>
      </c>
    </row>
    <row r="219" spans="1:4" x14ac:dyDescent="0.25">
      <c r="A219">
        <v>2023</v>
      </c>
      <c r="B219" t="s">
        <v>10</v>
      </c>
      <c r="C219" t="s">
        <v>6</v>
      </c>
      <c r="D219">
        <v>891000</v>
      </c>
    </row>
    <row r="220" spans="1:4" x14ac:dyDescent="0.25">
      <c r="A220">
        <v>2023</v>
      </c>
      <c r="B220" t="s">
        <v>10</v>
      </c>
      <c r="C220" t="s">
        <v>6</v>
      </c>
      <c r="D220">
        <v>1508483</v>
      </c>
    </row>
    <row r="221" spans="1:4" x14ac:dyDescent="0.25">
      <c r="A221">
        <v>2023</v>
      </c>
      <c r="B221" t="s">
        <v>10</v>
      </c>
      <c r="C221" t="s">
        <v>6</v>
      </c>
      <c r="D221">
        <v>1245000</v>
      </c>
    </row>
    <row r="222" spans="1:4" x14ac:dyDescent="0.25">
      <c r="A222">
        <v>2023</v>
      </c>
      <c r="B222" t="s">
        <v>10</v>
      </c>
      <c r="C222" t="s">
        <v>6</v>
      </c>
      <c r="D222">
        <v>730000</v>
      </c>
    </row>
    <row r="223" spans="1:4" x14ac:dyDescent="0.25">
      <c r="A223">
        <v>2023</v>
      </c>
      <c r="B223" t="s">
        <v>10</v>
      </c>
      <c r="C223" t="s">
        <v>6</v>
      </c>
      <c r="D223">
        <v>1449768</v>
      </c>
    </row>
    <row r="224" spans="1:4" x14ac:dyDescent="0.25">
      <c r="A224">
        <v>2023</v>
      </c>
      <c r="B224" t="s">
        <v>10</v>
      </c>
      <c r="C224" t="s">
        <v>6</v>
      </c>
      <c r="D224">
        <v>965000</v>
      </c>
    </row>
    <row r="225" spans="1:4" x14ac:dyDescent="0.25">
      <c r="A225">
        <v>2023</v>
      </c>
      <c r="B225" t="s">
        <v>10</v>
      </c>
      <c r="C225" t="s">
        <v>6</v>
      </c>
      <c r="D225">
        <v>2180000</v>
      </c>
    </row>
    <row r="226" spans="1:4" x14ac:dyDescent="0.25">
      <c r="A226">
        <v>2023</v>
      </c>
      <c r="B226" t="s">
        <v>10</v>
      </c>
      <c r="C226" t="s">
        <v>6</v>
      </c>
      <c r="D226">
        <v>2000000</v>
      </c>
    </row>
    <row r="227" spans="1:4" x14ac:dyDescent="0.25">
      <c r="A227">
        <v>2023</v>
      </c>
      <c r="B227" t="s">
        <v>10</v>
      </c>
      <c r="C227" t="s">
        <v>6</v>
      </c>
      <c r="D227">
        <v>5900000</v>
      </c>
    </row>
    <row r="228" spans="1:4" x14ac:dyDescent="0.25">
      <c r="A228">
        <v>2023</v>
      </c>
      <c r="B228" t="s">
        <v>10</v>
      </c>
      <c r="C228" t="s">
        <v>6</v>
      </c>
      <c r="D228">
        <v>181010</v>
      </c>
    </row>
    <row r="229" spans="1:4" x14ac:dyDescent="0.25">
      <c r="A229">
        <v>2023</v>
      </c>
      <c r="B229" t="s">
        <v>10</v>
      </c>
      <c r="C229" t="s">
        <v>6</v>
      </c>
      <c r="D229">
        <v>2330000</v>
      </c>
    </row>
    <row r="230" spans="1:4" x14ac:dyDescent="0.25">
      <c r="A230">
        <v>2023</v>
      </c>
      <c r="B230" t="s">
        <v>10</v>
      </c>
      <c r="C230" t="s">
        <v>6</v>
      </c>
      <c r="D230">
        <v>882000</v>
      </c>
    </row>
    <row r="231" spans="1:4" x14ac:dyDescent="0.25">
      <c r="A231">
        <v>2023</v>
      </c>
      <c r="B231" t="s">
        <v>10</v>
      </c>
      <c r="C231" t="s">
        <v>6</v>
      </c>
      <c r="D231">
        <v>3546966</v>
      </c>
    </row>
    <row r="232" spans="1:4" x14ac:dyDescent="0.25">
      <c r="A232">
        <v>2023</v>
      </c>
      <c r="B232" t="s">
        <v>10</v>
      </c>
      <c r="C232" t="s">
        <v>6</v>
      </c>
      <c r="D232">
        <v>605000</v>
      </c>
    </row>
    <row r="233" spans="1:4" x14ac:dyDescent="0.25">
      <c r="A233">
        <v>2023</v>
      </c>
      <c r="B233" t="s">
        <v>10</v>
      </c>
      <c r="C233" t="s">
        <v>6</v>
      </c>
      <c r="D233">
        <v>1417000</v>
      </c>
    </row>
    <row r="234" spans="1:4" x14ac:dyDescent="0.25">
      <c r="A234">
        <v>2023</v>
      </c>
      <c r="B234" t="s">
        <v>10</v>
      </c>
      <c r="C234" t="s">
        <v>6</v>
      </c>
      <c r="D234">
        <v>3293200</v>
      </c>
    </row>
    <row r="235" spans="1:4" x14ac:dyDescent="0.25">
      <c r="A235">
        <v>2023</v>
      </c>
      <c r="B235" t="s">
        <v>10</v>
      </c>
      <c r="C235" t="s">
        <v>6</v>
      </c>
      <c r="D235">
        <v>1358830</v>
      </c>
    </row>
    <row r="236" spans="1:4" x14ac:dyDescent="0.25">
      <c r="A236">
        <v>2023</v>
      </c>
      <c r="B236" t="s">
        <v>10</v>
      </c>
      <c r="C236" t="s">
        <v>6</v>
      </c>
      <c r="D236">
        <v>1194000</v>
      </c>
    </row>
    <row r="237" spans="1:4" x14ac:dyDescent="0.25">
      <c r="A237">
        <v>2023</v>
      </c>
      <c r="B237" t="s">
        <v>10</v>
      </c>
      <c r="C237" t="s">
        <v>6</v>
      </c>
      <c r="D237">
        <v>340000</v>
      </c>
    </row>
    <row r="238" spans="1:4" x14ac:dyDescent="0.25">
      <c r="A238">
        <v>2023</v>
      </c>
      <c r="B238" t="s">
        <v>10</v>
      </c>
      <c r="C238" t="s">
        <v>6</v>
      </c>
      <c r="D238">
        <v>1362000</v>
      </c>
    </row>
    <row r="239" spans="1:4" x14ac:dyDescent="0.25">
      <c r="A239">
        <v>2023</v>
      </c>
      <c r="B239" t="s">
        <v>10</v>
      </c>
      <c r="C239" t="s">
        <v>6</v>
      </c>
      <c r="D239">
        <v>1492000</v>
      </c>
    </row>
    <row r="240" spans="1:4" x14ac:dyDescent="0.25">
      <c r="A240">
        <v>2023</v>
      </c>
      <c r="B240" t="s">
        <v>10</v>
      </c>
      <c r="C240" t="s">
        <v>6</v>
      </c>
      <c r="D240">
        <v>1801000</v>
      </c>
    </row>
    <row r="241" spans="1:4" x14ac:dyDescent="0.25">
      <c r="A241">
        <v>2023</v>
      </c>
      <c r="B241" t="s">
        <v>10</v>
      </c>
      <c r="C241" t="s">
        <v>6</v>
      </c>
      <c r="D241">
        <v>888000</v>
      </c>
    </row>
    <row r="242" spans="1:4" x14ac:dyDescent="0.25">
      <c r="A242">
        <v>2023</v>
      </c>
      <c r="B242" t="s">
        <v>10</v>
      </c>
      <c r="C242" t="s">
        <v>6</v>
      </c>
      <c r="D242">
        <v>1717800</v>
      </c>
    </row>
    <row r="243" spans="1:4" x14ac:dyDescent="0.25">
      <c r="A243">
        <v>2023</v>
      </c>
      <c r="B243" t="s">
        <v>10</v>
      </c>
      <c r="C243" t="s">
        <v>6</v>
      </c>
      <c r="D243">
        <v>1156800</v>
      </c>
    </row>
    <row r="244" spans="1:4" x14ac:dyDescent="0.25">
      <c r="A244">
        <v>2023</v>
      </c>
      <c r="B244" t="s">
        <v>10</v>
      </c>
      <c r="C244" t="s">
        <v>6</v>
      </c>
      <c r="D244">
        <v>1950000</v>
      </c>
    </row>
    <row r="245" spans="1:4" x14ac:dyDescent="0.25">
      <c r="A245">
        <v>2023</v>
      </c>
      <c r="B245" t="s">
        <v>10</v>
      </c>
      <c r="C245" t="s">
        <v>6</v>
      </c>
      <c r="D245">
        <v>1727300</v>
      </c>
    </row>
    <row r="246" spans="1:4" x14ac:dyDescent="0.25">
      <c r="A246">
        <v>2023</v>
      </c>
      <c r="B246" t="s">
        <v>10</v>
      </c>
      <c r="C246" t="s">
        <v>6</v>
      </c>
      <c r="D246">
        <v>1346000</v>
      </c>
    </row>
    <row r="247" spans="1:4" x14ac:dyDescent="0.25">
      <c r="A247">
        <v>2023</v>
      </c>
      <c r="B247" t="s">
        <v>10</v>
      </c>
      <c r="C247" t="s">
        <v>6</v>
      </c>
      <c r="D247">
        <v>1975920</v>
      </c>
    </row>
    <row r="248" spans="1:4" x14ac:dyDescent="0.25">
      <c r="A248">
        <v>2023</v>
      </c>
      <c r="B248" t="s">
        <v>10</v>
      </c>
      <c r="C248" t="s">
        <v>6</v>
      </c>
      <c r="D248">
        <v>1728050</v>
      </c>
    </row>
    <row r="249" spans="1:4" x14ac:dyDescent="0.25">
      <c r="A249">
        <v>2023</v>
      </c>
      <c r="B249" t="s">
        <v>10</v>
      </c>
      <c r="C249" t="s">
        <v>6</v>
      </c>
      <c r="D249">
        <v>1504500</v>
      </c>
    </row>
    <row r="250" spans="1:4" x14ac:dyDescent="0.25">
      <c r="A250">
        <v>2023</v>
      </c>
      <c r="B250" t="s">
        <v>10</v>
      </c>
      <c r="C250" t="s">
        <v>6</v>
      </c>
      <c r="D250">
        <v>1189000</v>
      </c>
    </row>
    <row r="251" spans="1:4" x14ac:dyDescent="0.25">
      <c r="A251">
        <v>2023</v>
      </c>
      <c r="B251" t="s">
        <v>10</v>
      </c>
      <c r="C251" t="s">
        <v>6</v>
      </c>
      <c r="D251">
        <v>1295000</v>
      </c>
    </row>
    <row r="252" spans="1:4" x14ac:dyDescent="0.25">
      <c r="A252">
        <v>2023</v>
      </c>
      <c r="B252" t="s">
        <v>10</v>
      </c>
      <c r="C252" t="s">
        <v>6</v>
      </c>
      <c r="D252">
        <v>1849141</v>
      </c>
    </row>
    <row r="253" spans="1:4" x14ac:dyDescent="0.25">
      <c r="A253">
        <v>2023</v>
      </c>
      <c r="B253" t="s">
        <v>10</v>
      </c>
      <c r="C253" t="s">
        <v>6</v>
      </c>
      <c r="D253">
        <v>967000</v>
      </c>
    </row>
    <row r="254" spans="1:4" x14ac:dyDescent="0.25">
      <c r="A254">
        <v>2023</v>
      </c>
      <c r="B254" t="s">
        <v>10</v>
      </c>
      <c r="C254" t="s">
        <v>6</v>
      </c>
      <c r="D254">
        <v>1424000</v>
      </c>
    </row>
    <row r="255" spans="1:4" x14ac:dyDescent="0.25">
      <c r="A255">
        <v>2023</v>
      </c>
      <c r="B255" t="s">
        <v>10</v>
      </c>
      <c r="C255" t="s">
        <v>6</v>
      </c>
      <c r="D255">
        <v>2000000</v>
      </c>
    </row>
    <row r="256" spans="1:4" x14ac:dyDescent="0.25">
      <c r="A256">
        <v>2023</v>
      </c>
      <c r="B256" t="s">
        <v>10</v>
      </c>
      <c r="C256" t="s">
        <v>6</v>
      </c>
      <c r="D256">
        <v>2055000</v>
      </c>
    </row>
    <row r="257" spans="1:4" x14ac:dyDescent="0.25">
      <c r="A257">
        <v>2023</v>
      </c>
      <c r="B257" t="s">
        <v>10</v>
      </c>
      <c r="C257" t="s">
        <v>6</v>
      </c>
      <c r="D257">
        <v>2000000</v>
      </c>
    </row>
    <row r="258" spans="1:4" x14ac:dyDescent="0.25">
      <c r="A258">
        <v>2023</v>
      </c>
      <c r="B258" t="s">
        <v>10</v>
      </c>
      <c r="C258" t="s">
        <v>6</v>
      </c>
      <c r="D258">
        <v>2780000</v>
      </c>
    </row>
    <row r="259" spans="1:4" x14ac:dyDescent="0.25">
      <c r="A259">
        <v>2023</v>
      </c>
      <c r="B259" t="s">
        <v>10</v>
      </c>
      <c r="C259" t="s">
        <v>6</v>
      </c>
      <c r="D259">
        <v>1726715</v>
      </c>
    </row>
    <row r="260" spans="1:4" x14ac:dyDescent="0.25">
      <c r="A260">
        <v>2023</v>
      </c>
      <c r="B260" t="s">
        <v>10</v>
      </c>
      <c r="C260" t="s">
        <v>6</v>
      </c>
      <c r="D260">
        <v>2030000</v>
      </c>
    </row>
    <row r="261" spans="1:4" x14ac:dyDescent="0.25">
      <c r="A261">
        <v>2023</v>
      </c>
      <c r="B261" t="s">
        <v>10</v>
      </c>
      <c r="C261" t="s">
        <v>6</v>
      </c>
      <c r="D261">
        <v>1183000</v>
      </c>
    </row>
    <row r="262" spans="1:4" x14ac:dyDescent="0.25">
      <c r="A262">
        <v>2023</v>
      </c>
      <c r="B262" t="s">
        <v>10</v>
      </c>
      <c r="C262" t="s">
        <v>6</v>
      </c>
      <c r="D262">
        <v>299000</v>
      </c>
    </row>
    <row r="263" spans="1:4" x14ac:dyDescent="0.25">
      <c r="A263">
        <v>2023</v>
      </c>
      <c r="B263" t="s">
        <v>10</v>
      </c>
      <c r="C263" t="s">
        <v>6</v>
      </c>
      <c r="D263">
        <v>2260000</v>
      </c>
    </row>
    <row r="264" spans="1:4" x14ac:dyDescent="0.25">
      <c r="A264">
        <v>2023</v>
      </c>
      <c r="B264" t="s">
        <v>10</v>
      </c>
      <c r="C264" t="s">
        <v>6</v>
      </c>
      <c r="D264">
        <v>1170000</v>
      </c>
    </row>
    <row r="265" spans="1:4" x14ac:dyDescent="0.25">
      <c r="A265">
        <v>2023</v>
      </c>
      <c r="B265" t="s">
        <v>10</v>
      </c>
      <c r="C265" t="s">
        <v>6</v>
      </c>
      <c r="D265">
        <v>1271000</v>
      </c>
    </row>
    <row r="266" spans="1:4" x14ac:dyDescent="0.25">
      <c r="A266">
        <v>2023</v>
      </c>
      <c r="B266" t="s">
        <v>10</v>
      </c>
      <c r="C266" t="s">
        <v>6</v>
      </c>
      <c r="D266">
        <v>5533000</v>
      </c>
    </row>
    <row r="267" spans="1:4" x14ac:dyDescent="0.25">
      <c r="A267">
        <v>2023</v>
      </c>
      <c r="B267" t="s">
        <v>10</v>
      </c>
      <c r="C267" t="s">
        <v>6</v>
      </c>
      <c r="D267">
        <v>2962000</v>
      </c>
    </row>
    <row r="268" spans="1:4" x14ac:dyDescent="0.25">
      <c r="A268">
        <v>2023</v>
      </c>
      <c r="B268" t="s">
        <v>10</v>
      </c>
      <c r="C268" t="s">
        <v>6</v>
      </c>
      <c r="D268">
        <v>4222300</v>
      </c>
    </row>
    <row r="269" spans="1:4" x14ac:dyDescent="0.25">
      <c r="A269">
        <v>2023</v>
      </c>
      <c r="B269" t="s">
        <v>10</v>
      </c>
      <c r="C269" t="s">
        <v>6</v>
      </c>
      <c r="D269">
        <v>1014000</v>
      </c>
    </row>
    <row r="270" spans="1:4" x14ac:dyDescent="0.25">
      <c r="A270">
        <v>2023</v>
      </c>
      <c r="B270" t="s">
        <v>10</v>
      </c>
      <c r="C270" t="s">
        <v>6</v>
      </c>
      <c r="D270">
        <v>1590000</v>
      </c>
    </row>
    <row r="271" spans="1:4" x14ac:dyDescent="0.25">
      <c r="A271">
        <v>2023</v>
      </c>
      <c r="B271" t="s">
        <v>10</v>
      </c>
      <c r="C271" t="s">
        <v>6</v>
      </c>
      <c r="D271">
        <v>1127000</v>
      </c>
    </row>
    <row r="272" spans="1:4" x14ac:dyDescent="0.25">
      <c r="A272">
        <v>2023</v>
      </c>
      <c r="B272" t="s">
        <v>10</v>
      </c>
      <c r="C272" t="s">
        <v>6</v>
      </c>
      <c r="D272">
        <v>3325000</v>
      </c>
    </row>
    <row r="273" spans="1:4" x14ac:dyDescent="0.25">
      <c r="A273">
        <v>2023</v>
      </c>
      <c r="B273" t="s">
        <v>10</v>
      </c>
      <c r="C273" t="s">
        <v>6</v>
      </c>
      <c r="D273">
        <v>2772000</v>
      </c>
    </row>
    <row r="274" spans="1:4" x14ac:dyDescent="0.25">
      <c r="A274">
        <v>2023</v>
      </c>
      <c r="B274" t="s">
        <v>10</v>
      </c>
      <c r="C274" t="s">
        <v>6</v>
      </c>
      <c r="D274">
        <v>1480000</v>
      </c>
    </row>
    <row r="275" spans="1:4" x14ac:dyDescent="0.25">
      <c r="A275">
        <v>2023</v>
      </c>
      <c r="B275" t="s">
        <v>10</v>
      </c>
      <c r="C275" t="s">
        <v>6</v>
      </c>
      <c r="D275">
        <v>2980000</v>
      </c>
    </row>
    <row r="276" spans="1:4" x14ac:dyDescent="0.25">
      <c r="A276">
        <v>2023</v>
      </c>
      <c r="B276" t="s">
        <v>10</v>
      </c>
      <c r="C276" t="s">
        <v>6</v>
      </c>
      <c r="D276">
        <v>2085000</v>
      </c>
    </row>
    <row r="277" spans="1:4" x14ac:dyDescent="0.25">
      <c r="A277">
        <v>2023</v>
      </c>
      <c r="B277" t="s">
        <v>10</v>
      </c>
      <c r="C277" t="s">
        <v>6</v>
      </c>
      <c r="D277">
        <v>908000</v>
      </c>
    </row>
    <row r="278" spans="1:4" x14ac:dyDescent="0.25">
      <c r="A278">
        <v>2023</v>
      </c>
      <c r="B278" t="s">
        <v>10</v>
      </c>
      <c r="C278" t="s">
        <v>6</v>
      </c>
      <c r="D278">
        <v>2433000</v>
      </c>
    </row>
    <row r="279" spans="1:4" x14ac:dyDescent="0.25">
      <c r="A279">
        <v>2023</v>
      </c>
      <c r="B279" t="s">
        <v>10</v>
      </c>
      <c r="C279" t="s">
        <v>6</v>
      </c>
      <c r="D279">
        <v>4283000</v>
      </c>
    </row>
    <row r="280" spans="1:4" x14ac:dyDescent="0.25">
      <c r="A280">
        <v>2023</v>
      </c>
      <c r="B280" t="s">
        <v>10</v>
      </c>
      <c r="C280" t="s">
        <v>6</v>
      </c>
      <c r="D280">
        <v>2915000</v>
      </c>
    </row>
    <row r="281" spans="1:4" x14ac:dyDescent="0.25">
      <c r="A281">
        <v>2023</v>
      </c>
      <c r="B281" t="s">
        <v>10</v>
      </c>
      <c r="C281" t="s">
        <v>6</v>
      </c>
      <c r="D281">
        <v>13011000</v>
      </c>
    </row>
    <row r="282" spans="1:4" x14ac:dyDescent="0.25">
      <c r="A282">
        <v>2023</v>
      </c>
      <c r="B282" t="s">
        <v>10</v>
      </c>
      <c r="C282" t="s">
        <v>6</v>
      </c>
      <c r="D282">
        <v>1494000</v>
      </c>
    </row>
    <row r="283" spans="1:4" x14ac:dyDescent="0.25">
      <c r="A283">
        <v>2023</v>
      </c>
      <c r="B283" t="s">
        <v>10</v>
      </c>
      <c r="C283" t="s">
        <v>6</v>
      </c>
      <c r="D283">
        <v>585000</v>
      </c>
    </row>
    <row r="284" spans="1:4" x14ac:dyDescent="0.25">
      <c r="A284">
        <v>2023</v>
      </c>
      <c r="B284" t="s">
        <v>10</v>
      </c>
      <c r="C284" t="s">
        <v>6</v>
      </c>
      <c r="D284">
        <v>1512000</v>
      </c>
    </row>
    <row r="285" spans="1:4" x14ac:dyDescent="0.25">
      <c r="A285">
        <v>2023</v>
      </c>
      <c r="B285" t="s">
        <v>10</v>
      </c>
      <c r="C285" t="s">
        <v>6</v>
      </c>
      <c r="D285">
        <v>270000</v>
      </c>
    </row>
    <row r="286" spans="1:4" x14ac:dyDescent="0.25">
      <c r="A286">
        <v>2023</v>
      </c>
      <c r="B286" t="s">
        <v>10</v>
      </c>
      <c r="C286" t="s">
        <v>6</v>
      </c>
      <c r="D286">
        <v>1072000</v>
      </c>
    </row>
    <row r="287" spans="1:4" x14ac:dyDescent="0.25">
      <c r="A287">
        <v>2023</v>
      </c>
      <c r="B287" t="s">
        <v>10</v>
      </c>
      <c r="C287" t="s">
        <v>6</v>
      </c>
      <c r="D287">
        <v>1055000</v>
      </c>
    </row>
    <row r="288" spans="1:4" x14ac:dyDescent="0.25">
      <c r="A288">
        <v>2023</v>
      </c>
      <c r="B288" t="s">
        <v>10</v>
      </c>
      <c r="C288" t="s">
        <v>6</v>
      </c>
      <c r="D288">
        <v>1105000</v>
      </c>
    </row>
    <row r="289" spans="1:4" x14ac:dyDescent="0.25">
      <c r="A289">
        <v>2023</v>
      </c>
      <c r="B289" t="s">
        <v>10</v>
      </c>
      <c r="C289" t="s">
        <v>6</v>
      </c>
      <c r="D289">
        <v>2185000</v>
      </c>
    </row>
    <row r="290" spans="1:4" x14ac:dyDescent="0.25">
      <c r="A290">
        <v>2023</v>
      </c>
      <c r="B290" t="s">
        <v>10</v>
      </c>
      <c r="C290" t="s">
        <v>6</v>
      </c>
      <c r="D290">
        <v>4400000</v>
      </c>
    </row>
    <row r="291" spans="1:4" x14ac:dyDescent="0.25">
      <c r="A291">
        <v>2023</v>
      </c>
      <c r="B291" t="s">
        <v>10</v>
      </c>
      <c r="C291" t="s">
        <v>6</v>
      </c>
      <c r="D291">
        <v>1791000</v>
      </c>
    </row>
    <row r="292" spans="1:4" x14ac:dyDescent="0.25">
      <c r="A292">
        <v>2023</v>
      </c>
      <c r="B292" t="s">
        <v>10</v>
      </c>
      <c r="C292" t="s">
        <v>6</v>
      </c>
      <c r="D292">
        <v>2041000</v>
      </c>
    </row>
    <row r="293" spans="1:4" x14ac:dyDescent="0.25">
      <c r="A293">
        <v>2023</v>
      </c>
      <c r="B293" t="s">
        <v>10</v>
      </c>
      <c r="C293" t="s">
        <v>6</v>
      </c>
      <c r="D293">
        <v>13804000</v>
      </c>
    </row>
    <row r="294" spans="1:4" x14ac:dyDescent="0.25">
      <c r="A294">
        <v>2023</v>
      </c>
      <c r="B294" t="s">
        <v>10</v>
      </c>
      <c r="C294" t="s">
        <v>6</v>
      </c>
      <c r="D294">
        <v>6196000</v>
      </c>
    </row>
    <row r="295" spans="1:4" x14ac:dyDescent="0.25">
      <c r="A295">
        <v>2023</v>
      </c>
      <c r="B295" t="s">
        <v>10</v>
      </c>
      <c r="C295" t="s">
        <v>6</v>
      </c>
      <c r="D295">
        <v>500000</v>
      </c>
    </row>
    <row r="296" spans="1:4" x14ac:dyDescent="0.25">
      <c r="A296">
        <v>2023</v>
      </c>
      <c r="B296" t="s">
        <v>10</v>
      </c>
      <c r="C296" t="s">
        <v>6</v>
      </c>
      <c r="D296">
        <v>2189000</v>
      </c>
    </row>
    <row r="297" spans="1:4" x14ac:dyDescent="0.25">
      <c r="A297">
        <v>2023</v>
      </c>
      <c r="B297" t="s">
        <v>10</v>
      </c>
      <c r="C297" t="s">
        <v>6</v>
      </c>
      <c r="D297">
        <v>2173000</v>
      </c>
    </row>
    <row r="298" spans="1:4" x14ac:dyDescent="0.25">
      <c r="A298">
        <v>2023</v>
      </c>
      <c r="B298" t="s">
        <v>10</v>
      </c>
      <c r="C298" t="s">
        <v>6</v>
      </c>
      <c r="D298">
        <v>1940000</v>
      </c>
    </row>
    <row r="299" spans="1:4" x14ac:dyDescent="0.25">
      <c r="A299">
        <v>2023</v>
      </c>
      <c r="B299" t="s">
        <v>10</v>
      </c>
      <c r="C299" t="s">
        <v>6</v>
      </c>
      <c r="D299">
        <v>1335000</v>
      </c>
    </row>
    <row r="300" spans="1:4" x14ac:dyDescent="0.25">
      <c r="A300">
        <v>2023</v>
      </c>
      <c r="B300" t="s">
        <v>10</v>
      </c>
      <c r="C300" t="s">
        <v>6</v>
      </c>
      <c r="D300">
        <v>959000</v>
      </c>
    </row>
    <row r="301" spans="1:4" x14ac:dyDescent="0.25">
      <c r="A301">
        <v>2023</v>
      </c>
      <c r="B301" t="s">
        <v>10</v>
      </c>
      <c r="C301" t="s">
        <v>6</v>
      </c>
      <c r="D301">
        <v>1605000</v>
      </c>
    </row>
    <row r="302" spans="1:4" x14ac:dyDescent="0.25">
      <c r="A302">
        <v>2023</v>
      </c>
      <c r="B302" t="s">
        <v>10</v>
      </c>
      <c r="C302" t="s">
        <v>6</v>
      </c>
      <c r="D302">
        <v>1270000</v>
      </c>
    </row>
    <row r="303" spans="1:4" x14ac:dyDescent="0.25">
      <c r="A303">
        <v>2023</v>
      </c>
      <c r="B303" t="s">
        <v>10</v>
      </c>
      <c r="C303" t="s">
        <v>6</v>
      </c>
      <c r="D303">
        <v>2245000</v>
      </c>
    </row>
    <row r="304" spans="1:4" x14ac:dyDescent="0.25">
      <c r="A304">
        <v>2023</v>
      </c>
      <c r="B304" t="s">
        <v>10</v>
      </c>
      <c r="C304" t="s">
        <v>6</v>
      </c>
      <c r="D304">
        <v>1276000</v>
      </c>
    </row>
    <row r="305" spans="1:4" x14ac:dyDescent="0.25">
      <c r="A305">
        <v>2023</v>
      </c>
      <c r="B305" t="s">
        <v>10</v>
      </c>
      <c r="C305" t="s">
        <v>6</v>
      </c>
      <c r="D305">
        <v>1495000</v>
      </c>
    </row>
    <row r="306" spans="1:4" x14ac:dyDescent="0.25">
      <c r="A306">
        <v>2023</v>
      </c>
      <c r="B306" t="s">
        <v>10</v>
      </c>
      <c r="C306" t="s">
        <v>6</v>
      </c>
      <c r="D306">
        <v>334000</v>
      </c>
    </row>
    <row r="307" spans="1:4" x14ac:dyDescent="0.25">
      <c r="A307">
        <v>2023</v>
      </c>
      <c r="B307" t="s">
        <v>10</v>
      </c>
      <c r="C307" t="s">
        <v>6</v>
      </c>
      <c r="D307">
        <v>674000</v>
      </c>
    </row>
    <row r="308" spans="1:4" x14ac:dyDescent="0.25">
      <c r="A308">
        <v>2023</v>
      </c>
      <c r="B308" t="s">
        <v>10</v>
      </c>
      <c r="C308" t="s">
        <v>6</v>
      </c>
      <c r="D308">
        <v>1317000</v>
      </c>
    </row>
    <row r="309" spans="1:4" x14ac:dyDescent="0.25">
      <c r="A309">
        <v>2023</v>
      </c>
      <c r="B309" t="s">
        <v>10</v>
      </c>
      <c r="C309" t="s">
        <v>6</v>
      </c>
      <c r="D309">
        <v>1361500</v>
      </c>
    </row>
    <row r="310" spans="1:4" x14ac:dyDescent="0.25">
      <c r="A310">
        <v>2023</v>
      </c>
      <c r="B310" t="s">
        <v>10</v>
      </c>
      <c r="C310" t="s">
        <v>6</v>
      </c>
      <c r="D310">
        <v>450000</v>
      </c>
    </row>
    <row r="311" spans="1:4" x14ac:dyDescent="0.25">
      <c r="A311">
        <v>2023</v>
      </c>
      <c r="B311" t="s">
        <v>10</v>
      </c>
      <c r="C311" t="s">
        <v>6</v>
      </c>
      <c r="D311">
        <v>779000</v>
      </c>
    </row>
    <row r="312" spans="1:4" x14ac:dyDescent="0.25">
      <c r="A312">
        <v>2023</v>
      </c>
      <c r="B312" t="s">
        <v>10</v>
      </c>
      <c r="C312" t="s">
        <v>6</v>
      </c>
      <c r="D312">
        <v>2599000</v>
      </c>
    </row>
    <row r="313" spans="1:4" x14ac:dyDescent="0.25">
      <c r="A313">
        <v>2023</v>
      </c>
      <c r="B313" t="s">
        <v>10</v>
      </c>
      <c r="C313" t="s">
        <v>6</v>
      </c>
      <c r="D313">
        <v>1605000</v>
      </c>
    </row>
    <row r="314" spans="1:4" x14ac:dyDescent="0.25">
      <c r="A314">
        <v>2023</v>
      </c>
      <c r="B314" t="s">
        <v>10</v>
      </c>
      <c r="C314" t="s">
        <v>6</v>
      </c>
      <c r="D314">
        <v>1205000</v>
      </c>
    </row>
    <row r="315" spans="1:4" x14ac:dyDescent="0.25">
      <c r="A315">
        <v>2023</v>
      </c>
      <c r="B315" t="s">
        <v>10</v>
      </c>
      <c r="C315" t="s">
        <v>6</v>
      </c>
      <c r="D315">
        <v>2852000</v>
      </c>
    </row>
    <row r="316" spans="1:4" x14ac:dyDescent="0.25">
      <c r="A316">
        <v>2023</v>
      </c>
      <c r="B316" t="s">
        <v>10</v>
      </c>
      <c r="C316" t="s">
        <v>6</v>
      </c>
      <c r="D316">
        <v>534400</v>
      </c>
    </row>
    <row r="317" spans="1:4" x14ac:dyDescent="0.25">
      <c r="A317">
        <v>2023</v>
      </c>
      <c r="B317" t="s">
        <v>10</v>
      </c>
      <c r="C317" t="s">
        <v>6</v>
      </c>
      <c r="D317">
        <v>1424000</v>
      </c>
    </row>
    <row r="318" spans="1:4" x14ac:dyDescent="0.25">
      <c r="A318">
        <v>2023</v>
      </c>
      <c r="B318" t="s">
        <v>10</v>
      </c>
      <c r="C318" t="s">
        <v>6</v>
      </c>
      <c r="D318">
        <v>810000</v>
      </c>
    </row>
    <row r="319" spans="1:4" x14ac:dyDescent="0.25">
      <c r="A319">
        <v>2023</v>
      </c>
      <c r="B319" t="s">
        <v>10</v>
      </c>
      <c r="C319" t="s">
        <v>8</v>
      </c>
      <c r="D319">
        <v>187696500</v>
      </c>
    </row>
    <row r="320" spans="1:4" x14ac:dyDescent="0.25">
      <c r="A320">
        <v>2023</v>
      </c>
      <c r="B320" t="s">
        <v>10</v>
      </c>
      <c r="C320" t="s">
        <v>8</v>
      </c>
      <c r="D320">
        <v>15000</v>
      </c>
    </row>
    <row r="321" spans="1:4" x14ac:dyDescent="0.25">
      <c r="A321">
        <v>2023</v>
      </c>
      <c r="B321" t="s">
        <v>10</v>
      </c>
      <c r="C321" t="s">
        <v>8</v>
      </c>
      <c r="D321">
        <v>25000</v>
      </c>
    </row>
    <row r="322" spans="1:4" x14ac:dyDescent="0.25">
      <c r="A322">
        <v>2023</v>
      </c>
      <c r="B322" t="s">
        <v>10</v>
      </c>
      <c r="C322" t="s">
        <v>8</v>
      </c>
      <c r="D322">
        <v>10000</v>
      </c>
    </row>
    <row r="323" spans="1:4" x14ac:dyDescent="0.25">
      <c r="A323">
        <v>2023</v>
      </c>
      <c r="B323" t="s">
        <v>10</v>
      </c>
      <c r="C323" t="s">
        <v>8</v>
      </c>
      <c r="D323">
        <v>33000</v>
      </c>
    </row>
    <row r="324" spans="1:4" x14ac:dyDescent="0.25">
      <c r="A324">
        <v>2023</v>
      </c>
      <c r="B324" t="s">
        <v>10</v>
      </c>
      <c r="C324" t="s">
        <v>8</v>
      </c>
      <c r="D324">
        <v>45000</v>
      </c>
    </row>
    <row r="325" spans="1:4" x14ac:dyDescent="0.25">
      <c r="A325">
        <v>2023</v>
      </c>
      <c r="B325" t="s">
        <v>10</v>
      </c>
      <c r="C325" t="s">
        <v>8</v>
      </c>
      <c r="D325">
        <v>15000</v>
      </c>
    </row>
    <row r="326" spans="1:4" x14ac:dyDescent="0.25">
      <c r="A326">
        <v>2023</v>
      </c>
      <c r="B326" t="s">
        <v>10</v>
      </c>
      <c r="C326" t="s">
        <v>8</v>
      </c>
      <c r="D326">
        <v>15000</v>
      </c>
    </row>
    <row r="327" spans="1:4" x14ac:dyDescent="0.25">
      <c r="A327">
        <v>2023</v>
      </c>
      <c r="B327" t="s">
        <v>10</v>
      </c>
      <c r="C327" t="s">
        <v>8</v>
      </c>
      <c r="D327">
        <v>35000</v>
      </c>
    </row>
    <row r="328" spans="1:4" x14ac:dyDescent="0.25">
      <c r="A328">
        <v>2023</v>
      </c>
      <c r="B328" t="s">
        <v>10</v>
      </c>
      <c r="C328" t="s">
        <v>8</v>
      </c>
      <c r="D328">
        <v>40000</v>
      </c>
    </row>
    <row r="329" spans="1:4" x14ac:dyDescent="0.25">
      <c r="A329">
        <v>2023</v>
      </c>
      <c r="B329" t="s">
        <v>10</v>
      </c>
      <c r="C329" t="s">
        <v>8</v>
      </c>
      <c r="D329">
        <v>14000</v>
      </c>
    </row>
    <row r="330" spans="1:4" x14ac:dyDescent="0.25">
      <c r="A330">
        <v>2023</v>
      </c>
      <c r="B330" t="s">
        <v>10</v>
      </c>
      <c r="C330" t="s">
        <v>8</v>
      </c>
      <c r="D330">
        <v>15000</v>
      </c>
    </row>
    <row r="331" spans="1:4" x14ac:dyDescent="0.25">
      <c r="A331">
        <v>2023</v>
      </c>
      <c r="B331" t="s">
        <v>10</v>
      </c>
      <c r="C331" t="s">
        <v>8</v>
      </c>
      <c r="D331">
        <v>10000</v>
      </c>
    </row>
    <row r="332" spans="1:4" x14ac:dyDescent="0.25">
      <c r="A332">
        <v>2023</v>
      </c>
      <c r="B332" t="s">
        <v>10</v>
      </c>
      <c r="C332" t="s">
        <v>8</v>
      </c>
      <c r="D332">
        <v>35700</v>
      </c>
    </row>
    <row r="333" spans="1:4" x14ac:dyDescent="0.25">
      <c r="A333">
        <v>2023</v>
      </c>
      <c r="B333" t="s">
        <v>10</v>
      </c>
      <c r="C333" t="s">
        <v>8</v>
      </c>
      <c r="D333">
        <v>10000</v>
      </c>
    </row>
    <row r="334" spans="1:4" x14ac:dyDescent="0.25">
      <c r="A334">
        <v>2023</v>
      </c>
      <c r="B334" t="s">
        <v>10</v>
      </c>
      <c r="C334" t="s">
        <v>8</v>
      </c>
      <c r="D334">
        <v>20000</v>
      </c>
    </row>
    <row r="335" spans="1:4" x14ac:dyDescent="0.25">
      <c r="A335">
        <v>2023</v>
      </c>
      <c r="B335" t="s">
        <v>10</v>
      </c>
      <c r="C335" t="s">
        <v>8</v>
      </c>
      <c r="D335">
        <v>55000</v>
      </c>
    </row>
    <row r="336" spans="1:4" x14ac:dyDescent="0.25">
      <c r="A336">
        <v>2023</v>
      </c>
      <c r="B336" t="s">
        <v>10</v>
      </c>
      <c r="C336" t="s">
        <v>8</v>
      </c>
      <c r="D336">
        <v>20000</v>
      </c>
    </row>
    <row r="337" spans="1:4" x14ac:dyDescent="0.25">
      <c r="A337">
        <v>2023</v>
      </c>
      <c r="B337" t="s">
        <v>10</v>
      </c>
      <c r="C337" t="s">
        <v>8</v>
      </c>
      <c r="D337">
        <v>15000</v>
      </c>
    </row>
    <row r="338" spans="1:4" x14ac:dyDescent="0.25">
      <c r="A338">
        <v>2023</v>
      </c>
      <c r="B338" t="s">
        <v>10</v>
      </c>
      <c r="C338" t="s">
        <v>8</v>
      </c>
      <c r="D338">
        <v>40000</v>
      </c>
    </row>
    <row r="339" spans="1:4" x14ac:dyDescent="0.25">
      <c r="A339">
        <v>2023</v>
      </c>
      <c r="B339" t="s">
        <v>10</v>
      </c>
      <c r="C339" t="s">
        <v>8</v>
      </c>
      <c r="D339">
        <v>20000</v>
      </c>
    </row>
    <row r="340" spans="1:4" x14ac:dyDescent="0.25">
      <c r="A340">
        <v>2023</v>
      </c>
      <c r="B340" t="s">
        <v>10</v>
      </c>
      <c r="C340" t="s">
        <v>8</v>
      </c>
      <c r="D340">
        <v>20000</v>
      </c>
    </row>
    <row r="341" spans="1:4" x14ac:dyDescent="0.25">
      <c r="A341">
        <v>2023</v>
      </c>
      <c r="B341" t="s">
        <v>10</v>
      </c>
      <c r="C341" t="s">
        <v>8</v>
      </c>
      <c r="D341">
        <v>16000</v>
      </c>
    </row>
    <row r="342" spans="1:4" x14ac:dyDescent="0.25">
      <c r="A342">
        <v>2023</v>
      </c>
      <c r="B342" t="s">
        <v>10</v>
      </c>
      <c r="C342" t="s">
        <v>8</v>
      </c>
      <c r="D342">
        <v>25000</v>
      </c>
    </row>
    <row r="343" spans="1:4" x14ac:dyDescent="0.25">
      <c r="A343">
        <v>2023</v>
      </c>
      <c r="B343" t="s">
        <v>10</v>
      </c>
      <c r="C343" t="s">
        <v>8</v>
      </c>
      <c r="D343">
        <v>20000</v>
      </c>
    </row>
    <row r="344" spans="1:4" x14ac:dyDescent="0.25">
      <c r="A344">
        <v>2023</v>
      </c>
      <c r="B344" t="s">
        <v>10</v>
      </c>
      <c r="C344" t="s">
        <v>8</v>
      </c>
      <c r="D344">
        <v>80000</v>
      </c>
    </row>
    <row r="345" spans="1:4" x14ac:dyDescent="0.25">
      <c r="A345">
        <v>2023</v>
      </c>
      <c r="B345" t="s">
        <v>10</v>
      </c>
      <c r="C345" t="s">
        <v>8</v>
      </c>
      <c r="D345">
        <v>20200</v>
      </c>
    </row>
    <row r="346" spans="1:4" x14ac:dyDescent="0.25">
      <c r="A346">
        <v>2023</v>
      </c>
      <c r="B346" t="s">
        <v>10</v>
      </c>
      <c r="C346" t="s">
        <v>8</v>
      </c>
      <c r="D346">
        <v>18000</v>
      </c>
    </row>
    <row r="347" spans="1:4" x14ac:dyDescent="0.25">
      <c r="A347">
        <v>2023</v>
      </c>
      <c r="B347" t="s">
        <v>10</v>
      </c>
      <c r="C347" t="s">
        <v>8</v>
      </c>
      <c r="D347">
        <v>50000</v>
      </c>
    </row>
    <row r="348" spans="1:4" x14ac:dyDescent="0.25">
      <c r="A348">
        <v>2023</v>
      </c>
      <c r="B348" t="s">
        <v>10</v>
      </c>
      <c r="C348" t="s">
        <v>8</v>
      </c>
      <c r="D348">
        <v>15000</v>
      </c>
    </row>
    <row r="349" spans="1:4" x14ac:dyDescent="0.25">
      <c r="A349">
        <v>2023</v>
      </c>
      <c r="B349" t="s">
        <v>10</v>
      </c>
      <c r="C349" t="s">
        <v>8</v>
      </c>
      <c r="D349">
        <v>10000</v>
      </c>
    </row>
    <row r="350" spans="1:4" x14ac:dyDescent="0.25">
      <c r="A350">
        <v>2023</v>
      </c>
      <c r="B350" t="s">
        <v>10</v>
      </c>
      <c r="C350" t="s">
        <v>8</v>
      </c>
      <c r="D350">
        <v>30000</v>
      </c>
    </row>
    <row r="351" spans="1:4" x14ac:dyDescent="0.25">
      <c r="A351">
        <v>2023</v>
      </c>
      <c r="B351" t="s">
        <v>10</v>
      </c>
      <c r="C351" t="s">
        <v>8</v>
      </c>
      <c r="D351">
        <v>20000</v>
      </c>
    </row>
    <row r="352" spans="1:4" x14ac:dyDescent="0.25">
      <c r="A352">
        <v>2023</v>
      </c>
      <c r="B352" t="s">
        <v>10</v>
      </c>
      <c r="C352" t="s">
        <v>8</v>
      </c>
      <c r="D352">
        <v>30000</v>
      </c>
    </row>
    <row r="353" spans="1:4" x14ac:dyDescent="0.25">
      <c r="A353">
        <v>2023</v>
      </c>
      <c r="B353" t="s">
        <v>10</v>
      </c>
      <c r="C353" t="s">
        <v>8</v>
      </c>
      <c r="D353">
        <v>20000</v>
      </c>
    </row>
    <row r="354" spans="1:4" x14ac:dyDescent="0.25">
      <c r="A354">
        <v>2023</v>
      </c>
      <c r="B354" t="s">
        <v>10</v>
      </c>
      <c r="C354" t="s">
        <v>8</v>
      </c>
      <c r="D354">
        <v>40000</v>
      </c>
    </row>
    <row r="355" spans="1:4" x14ac:dyDescent="0.25">
      <c r="A355">
        <v>2023</v>
      </c>
      <c r="B355" t="s">
        <v>10</v>
      </c>
      <c r="C355" t="s">
        <v>8</v>
      </c>
      <c r="D355">
        <v>35000</v>
      </c>
    </row>
    <row r="356" spans="1:4" x14ac:dyDescent="0.25">
      <c r="A356">
        <v>2023</v>
      </c>
      <c r="B356" t="s">
        <v>10</v>
      </c>
      <c r="C356" t="s">
        <v>8</v>
      </c>
      <c r="D356">
        <v>10000</v>
      </c>
    </row>
    <row r="357" spans="1:4" x14ac:dyDescent="0.25">
      <c r="A357">
        <v>2023</v>
      </c>
      <c r="B357" t="s">
        <v>10</v>
      </c>
      <c r="C357" t="s">
        <v>8</v>
      </c>
      <c r="D357">
        <v>20000</v>
      </c>
    </row>
    <row r="358" spans="1:4" x14ac:dyDescent="0.25">
      <c r="A358">
        <v>2023</v>
      </c>
      <c r="B358" t="s">
        <v>10</v>
      </c>
      <c r="C358" t="s">
        <v>8</v>
      </c>
      <c r="D358">
        <v>40000</v>
      </c>
    </row>
    <row r="359" spans="1:4" x14ac:dyDescent="0.25">
      <c r="A359">
        <v>2023</v>
      </c>
      <c r="B359" t="s">
        <v>10</v>
      </c>
      <c r="C359" t="s">
        <v>8</v>
      </c>
      <c r="D359">
        <v>15000</v>
      </c>
    </row>
    <row r="360" spans="1:4" x14ac:dyDescent="0.25">
      <c r="A360">
        <v>2023</v>
      </c>
      <c r="B360" t="s">
        <v>10</v>
      </c>
      <c r="C360" t="s">
        <v>8</v>
      </c>
      <c r="D360">
        <v>30000</v>
      </c>
    </row>
    <row r="361" spans="1:4" x14ac:dyDescent="0.25">
      <c r="A361">
        <v>2023</v>
      </c>
      <c r="B361" t="s">
        <v>10</v>
      </c>
      <c r="C361" t="s">
        <v>8</v>
      </c>
      <c r="D361">
        <v>20000</v>
      </c>
    </row>
    <row r="362" spans="1:4" x14ac:dyDescent="0.25">
      <c r="A362">
        <v>2023</v>
      </c>
      <c r="B362" t="s">
        <v>10</v>
      </c>
      <c r="C362" t="s">
        <v>8</v>
      </c>
      <c r="D362">
        <v>125000</v>
      </c>
    </row>
    <row r="363" spans="1:4" x14ac:dyDescent="0.25">
      <c r="A363">
        <v>2023</v>
      </c>
      <c r="B363" t="s">
        <v>10</v>
      </c>
      <c r="C363" t="s">
        <v>8</v>
      </c>
      <c r="D363">
        <v>13000</v>
      </c>
    </row>
    <row r="364" spans="1:4" x14ac:dyDescent="0.25">
      <c r="A364">
        <v>2023</v>
      </c>
      <c r="B364" t="s">
        <v>10</v>
      </c>
      <c r="C364" t="s">
        <v>8</v>
      </c>
      <c r="D364">
        <v>21000</v>
      </c>
    </row>
    <row r="365" spans="1:4" x14ac:dyDescent="0.25">
      <c r="A365">
        <v>2023</v>
      </c>
      <c r="B365" t="s">
        <v>10</v>
      </c>
      <c r="C365" t="s">
        <v>8</v>
      </c>
      <c r="D365">
        <v>30000</v>
      </c>
    </row>
    <row r="366" spans="1:4" x14ac:dyDescent="0.25">
      <c r="A366">
        <v>2023</v>
      </c>
      <c r="B366" t="s">
        <v>10</v>
      </c>
      <c r="C366" t="s">
        <v>8</v>
      </c>
      <c r="D366">
        <v>15000</v>
      </c>
    </row>
    <row r="367" spans="1:4" x14ac:dyDescent="0.25">
      <c r="A367">
        <v>2023</v>
      </c>
      <c r="B367" t="s">
        <v>10</v>
      </c>
      <c r="C367" t="s">
        <v>8</v>
      </c>
      <c r="D367">
        <v>20000</v>
      </c>
    </row>
    <row r="368" spans="1:4" x14ac:dyDescent="0.25">
      <c r="A368">
        <v>2023</v>
      </c>
      <c r="B368" t="s">
        <v>10</v>
      </c>
      <c r="C368" t="s">
        <v>8</v>
      </c>
      <c r="D368">
        <v>20000</v>
      </c>
    </row>
    <row r="369" spans="1:4" x14ac:dyDescent="0.25">
      <c r="A369">
        <v>2023</v>
      </c>
      <c r="B369" t="s">
        <v>10</v>
      </c>
      <c r="C369" t="s">
        <v>8</v>
      </c>
      <c r="D369">
        <v>40000</v>
      </c>
    </row>
    <row r="370" spans="1:4" x14ac:dyDescent="0.25">
      <c r="A370">
        <v>2023</v>
      </c>
      <c r="B370" t="s">
        <v>10</v>
      </c>
      <c r="C370" t="s">
        <v>8</v>
      </c>
      <c r="D370">
        <v>30000</v>
      </c>
    </row>
    <row r="371" spans="1:4" x14ac:dyDescent="0.25">
      <c r="A371">
        <v>2023</v>
      </c>
      <c r="B371" t="s">
        <v>10</v>
      </c>
      <c r="C371" t="s">
        <v>8</v>
      </c>
      <c r="D371">
        <v>20000</v>
      </c>
    </row>
    <row r="372" spans="1:4" x14ac:dyDescent="0.25">
      <c r="A372">
        <v>2023</v>
      </c>
      <c r="B372" t="s">
        <v>10</v>
      </c>
      <c r="C372" t="s">
        <v>8</v>
      </c>
      <c r="D372">
        <v>10000</v>
      </c>
    </row>
    <row r="373" spans="1:4" x14ac:dyDescent="0.25">
      <c r="A373">
        <v>2023</v>
      </c>
      <c r="B373" t="s">
        <v>10</v>
      </c>
      <c r="C373" t="s">
        <v>8</v>
      </c>
      <c r="D373">
        <v>30000</v>
      </c>
    </row>
    <row r="374" spans="1:4" x14ac:dyDescent="0.25">
      <c r="A374">
        <v>2023</v>
      </c>
      <c r="B374" t="s">
        <v>10</v>
      </c>
      <c r="C374" t="s">
        <v>8</v>
      </c>
      <c r="D374">
        <v>15000</v>
      </c>
    </row>
    <row r="375" spans="1:4" x14ac:dyDescent="0.25">
      <c r="A375">
        <v>2023</v>
      </c>
      <c r="B375" t="s">
        <v>10</v>
      </c>
      <c r="C375" t="s">
        <v>8</v>
      </c>
      <c r="D375">
        <v>6000</v>
      </c>
    </row>
    <row r="376" spans="1:4" x14ac:dyDescent="0.25">
      <c r="A376">
        <v>2023</v>
      </c>
      <c r="B376" t="s">
        <v>10</v>
      </c>
      <c r="C376" t="s">
        <v>8</v>
      </c>
      <c r="D376">
        <v>40000</v>
      </c>
    </row>
    <row r="377" spans="1:4" x14ac:dyDescent="0.25">
      <c r="A377">
        <v>2023</v>
      </c>
      <c r="B377" t="s">
        <v>10</v>
      </c>
      <c r="C377" t="s">
        <v>8</v>
      </c>
      <c r="D377">
        <v>25000</v>
      </c>
    </row>
    <row r="378" spans="1:4" x14ac:dyDescent="0.25">
      <c r="A378">
        <v>2023</v>
      </c>
      <c r="B378" t="s">
        <v>10</v>
      </c>
      <c r="C378" t="s">
        <v>8</v>
      </c>
      <c r="D378">
        <v>55000</v>
      </c>
    </row>
    <row r="379" spans="1:4" x14ac:dyDescent="0.25">
      <c r="A379">
        <v>2023</v>
      </c>
      <c r="B379" t="s">
        <v>10</v>
      </c>
      <c r="C379" t="s">
        <v>8</v>
      </c>
      <c r="D379">
        <v>30000</v>
      </c>
    </row>
    <row r="380" spans="1:4" x14ac:dyDescent="0.25">
      <c r="A380">
        <v>2023</v>
      </c>
      <c r="B380" t="s">
        <v>10</v>
      </c>
      <c r="C380" t="s">
        <v>8</v>
      </c>
      <c r="D380">
        <v>5000</v>
      </c>
    </row>
    <row r="381" spans="1:4" x14ac:dyDescent="0.25">
      <c r="A381">
        <v>2023</v>
      </c>
      <c r="B381" t="s">
        <v>10</v>
      </c>
      <c r="C381" t="s">
        <v>8</v>
      </c>
      <c r="D381">
        <v>20000</v>
      </c>
    </row>
    <row r="382" spans="1:4" x14ac:dyDescent="0.25">
      <c r="A382">
        <v>2023</v>
      </c>
      <c r="B382" t="s">
        <v>10</v>
      </c>
      <c r="C382" t="s">
        <v>8</v>
      </c>
      <c r="D382">
        <v>27000</v>
      </c>
    </row>
    <row r="383" spans="1:4" x14ac:dyDescent="0.25">
      <c r="A383">
        <v>2023</v>
      </c>
      <c r="B383" t="s">
        <v>10</v>
      </c>
      <c r="C383" t="s">
        <v>8</v>
      </c>
      <c r="D383">
        <v>25000</v>
      </c>
    </row>
    <row r="384" spans="1:4" x14ac:dyDescent="0.25">
      <c r="A384">
        <v>2023</v>
      </c>
      <c r="B384" t="s">
        <v>10</v>
      </c>
      <c r="C384" t="s">
        <v>8</v>
      </c>
      <c r="D384">
        <v>40000</v>
      </c>
    </row>
    <row r="385" spans="1:4" x14ac:dyDescent="0.25">
      <c r="A385">
        <v>2023</v>
      </c>
      <c r="B385" t="s">
        <v>10</v>
      </c>
      <c r="C385" t="s">
        <v>8</v>
      </c>
      <c r="D385">
        <v>40000</v>
      </c>
    </row>
    <row r="386" spans="1:4" x14ac:dyDescent="0.25">
      <c r="A386">
        <v>2023</v>
      </c>
      <c r="B386" t="s">
        <v>10</v>
      </c>
      <c r="C386" t="s">
        <v>8</v>
      </c>
      <c r="D386">
        <v>10000</v>
      </c>
    </row>
    <row r="387" spans="1:4" x14ac:dyDescent="0.25">
      <c r="A387">
        <v>2023</v>
      </c>
      <c r="B387" t="s">
        <v>10</v>
      </c>
      <c r="C387" t="s">
        <v>8</v>
      </c>
      <c r="D387">
        <v>350000</v>
      </c>
    </row>
    <row r="388" spans="1:4" x14ac:dyDescent="0.25">
      <c r="A388">
        <v>2023</v>
      </c>
      <c r="B388" t="s">
        <v>10</v>
      </c>
      <c r="C388" t="s">
        <v>8</v>
      </c>
      <c r="D388">
        <v>34600</v>
      </c>
    </row>
    <row r="389" spans="1:4" x14ac:dyDescent="0.25">
      <c r="A389">
        <v>2023</v>
      </c>
      <c r="B389" t="s">
        <v>10</v>
      </c>
      <c r="C389" t="s">
        <v>8</v>
      </c>
      <c r="D389">
        <v>300000</v>
      </c>
    </row>
    <row r="390" spans="1:4" x14ac:dyDescent="0.25">
      <c r="A390">
        <v>2023</v>
      </c>
      <c r="B390" t="s">
        <v>10</v>
      </c>
      <c r="C390" t="s">
        <v>8</v>
      </c>
      <c r="D390">
        <v>15000</v>
      </c>
    </row>
    <row r="391" spans="1:4" x14ac:dyDescent="0.25">
      <c r="A391">
        <v>2023</v>
      </c>
      <c r="B391" t="s">
        <v>10</v>
      </c>
      <c r="C391" t="s">
        <v>8</v>
      </c>
      <c r="D391">
        <v>10000</v>
      </c>
    </row>
    <row r="392" spans="1:4" x14ac:dyDescent="0.25">
      <c r="A392">
        <v>2023</v>
      </c>
      <c r="B392" t="s">
        <v>10</v>
      </c>
      <c r="C392" t="s">
        <v>8</v>
      </c>
      <c r="D392">
        <v>15000</v>
      </c>
    </row>
    <row r="393" spans="1:4" x14ac:dyDescent="0.25">
      <c r="A393">
        <v>2023</v>
      </c>
      <c r="B393" t="s">
        <v>10</v>
      </c>
      <c r="C393" t="s">
        <v>8</v>
      </c>
      <c r="D393">
        <v>30000</v>
      </c>
    </row>
    <row r="394" spans="1:4" x14ac:dyDescent="0.25">
      <c r="A394">
        <v>2023</v>
      </c>
      <c r="B394" t="s">
        <v>10</v>
      </c>
      <c r="C394" t="s">
        <v>8</v>
      </c>
      <c r="D394">
        <v>20000</v>
      </c>
    </row>
    <row r="395" spans="1:4" x14ac:dyDescent="0.25">
      <c r="A395">
        <v>2023</v>
      </c>
      <c r="B395" t="s">
        <v>10</v>
      </c>
      <c r="C395" t="s">
        <v>8</v>
      </c>
      <c r="D395">
        <v>80000</v>
      </c>
    </row>
    <row r="396" spans="1:4" x14ac:dyDescent="0.25">
      <c r="A396">
        <v>2023</v>
      </c>
      <c r="B396" t="s">
        <v>10</v>
      </c>
      <c r="C396" t="s">
        <v>8</v>
      </c>
      <c r="D396">
        <v>30000</v>
      </c>
    </row>
    <row r="397" spans="1:4" x14ac:dyDescent="0.25">
      <c r="A397">
        <v>2023</v>
      </c>
      <c r="B397" t="s">
        <v>10</v>
      </c>
      <c r="C397" t="s">
        <v>8</v>
      </c>
      <c r="D397">
        <v>28000</v>
      </c>
    </row>
    <row r="398" spans="1:4" x14ac:dyDescent="0.25">
      <c r="A398">
        <v>2023</v>
      </c>
      <c r="B398" t="s">
        <v>10</v>
      </c>
      <c r="C398" t="s">
        <v>8</v>
      </c>
      <c r="D398">
        <v>10000</v>
      </c>
    </row>
    <row r="399" spans="1:4" x14ac:dyDescent="0.25">
      <c r="A399">
        <v>2023</v>
      </c>
      <c r="B399" t="s">
        <v>10</v>
      </c>
      <c r="C399" t="s">
        <v>8</v>
      </c>
      <c r="D399">
        <v>20000</v>
      </c>
    </row>
    <row r="400" spans="1:4" x14ac:dyDescent="0.25">
      <c r="A400">
        <v>2023</v>
      </c>
      <c r="B400" t="s">
        <v>10</v>
      </c>
      <c r="C400" t="s">
        <v>8</v>
      </c>
      <c r="D400">
        <v>30000</v>
      </c>
    </row>
    <row r="401" spans="1:4" x14ac:dyDescent="0.25">
      <c r="A401">
        <v>2023</v>
      </c>
      <c r="B401" t="s">
        <v>10</v>
      </c>
      <c r="C401" t="s">
        <v>8</v>
      </c>
      <c r="D401">
        <v>30000</v>
      </c>
    </row>
    <row r="402" spans="1:4" x14ac:dyDescent="0.25">
      <c r="A402">
        <v>2023</v>
      </c>
      <c r="B402" t="s">
        <v>10</v>
      </c>
      <c r="C402" t="s">
        <v>8</v>
      </c>
      <c r="D402">
        <v>20000</v>
      </c>
    </row>
    <row r="403" spans="1:4" x14ac:dyDescent="0.25">
      <c r="A403">
        <v>2023</v>
      </c>
      <c r="B403" t="s">
        <v>10</v>
      </c>
      <c r="C403" t="s">
        <v>8</v>
      </c>
      <c r="D403">
        <v>20000</v>
      </c>
    </row>
    <row r="404" spans="1:4" x14ac:dyDescent="0.25">
      <c r="A404">
        <v>2023</v>
      </c>
      <c r="B404" t="s">
        <v>10</v>
      </c>
      <c r="C404" t="s">
        <v>8</v>
      </c>
      <c r="D404">
        <v>15000</v>
      </c>
    </row>
    <row r="405" spans="1:4" x14ac:dyDescent="0.25">
      <c r="A405">
        <v>2023</v>
      </c>
      <c r="B405" t="s">
        <v>10</v>
      </c>
      <c r="C405" t="s">
        <v>8</v>
      </c>
      <c r="D405">
        <v>30000</v>
      </c>
    </row>
    <row r="406" spans="1:4" x14ac:dyDescent="0.25">
      <c r="A406">
        <v>2023</v>
      </c>
      <c r="B406" t="s">
        <v>10</v>
      </c>
      <c r="C406" t="s">
        <v>8</v>
      </c>
      <c r="D406">
        <v>30000</v>
      </c>
    </row>
    <row r="407" spans="1:4" x14ac:dyDescent="0.25">
      <c r="A407">
        <v>2023</v>
      </c>
      <c r="B407" t="s">
        <v>10</v>
      </c>
      <c r="C407" t="s">
        <v>8</v>
      </c>
      <c r="D407">
        <v>20000</v>
      </c>
    </row>
    <row r="408" spans="1:4" x14ac:dyDescent="0.25">
      <c r="A408">
        <v>2023</v>
      </c>
      <c r="B408" t="s">
        <v>10</v>
      </c>
      <c r="C408" t="s">
        <v>8</v>
      </c>
      <c r="D408">
        <v>15000</v>
      </c>
    </row>
    <row r="409" spans="1:4" x14ac:dyDescent="0.25">
      <c r="A409">
        <v>2023</v>
      </c>
      <c r="B409" t="s">
        <v>10</v>
      </c>
      <c r="C409" t="s">
        <v>8</v>
      </c>
      <c r="D409">
        <v>35000</v>
      </c>
    </row>
    <row r="410" spans="1:4" x14ac:dyDescent="0.25">
      <c r="A410">
        <v>2023</v>
      </c>
      <c r="B410" t="s">
        <v>10</v>
      </c>
      <c r="C410" t="s">
        <v>8</v>
      </c>
      <c r="D410">
        <v>20000</v>
      </c>
    </row>
    <row r="411" spans="1:4" x14ac:dyDescent="0.25">
      <c r="A411">
        <v>2023</v>
      </c>
      <c r="B411" t="s">
        <v>10</v>
      </c>
      <c r="C411" t="s">
        <v>8</v>
      </c>
      <c r="D411">
        <v>15000</v>
      </c>
    </row>
    <row r="412" spans="1:4" x14ac:dyDescent="0.25">
      <c r="A412">
        <v>2023</v>
      </c>
      <c r="B412" t="s">
        <v>10</v>
      </c>
      <c r="C412" t="s">
        <v>8</v>
      </c>
      <c r="D412">
        <v>28000</v>
      </c>
    </row>
    <row r="413" spans="1:4" x14ac:dyDescent="0.25">
      <c r="A413">
        <v>2023</v>
      </c>
      <c r="B413" t="s">
        <v>10</v>
      </c>
      <c r="C413" t="s">
        <v>8</v>
      </c>
      <c r="D413">
        <v>30000</v>
      </c>
    </row>
    <row r="414" spans="1:4" x14ac:dyDescent="0.25">
      <c r="A414">
        <v>2023</v>
      </c>
      <c r="B414" t="s">
        <v>10</v>
      </c>
      <c r="C414" t="s">
        <v>8</v>
      </c>
      <c r="D414">
        <v>30000</v>
      </c>
    </row>
    <row r="415" spans="1:4" x14ac:dyDescent="0.25">
      <c r="A415">
        <v>2023</v>
      </c>
      <c r="B415" t="s">
        <v>10</v>
      </c>
      <c r="C415" t="s">
        <v>8</v>
      </c>
      <c r="D415">
        <v>35000</v>
      </c>
    </row>
    <row r="416" spans="1:4" x14ac:dyDescent="0.25">
      <c r="A416">
        <v>2023</v>
      </c>
      <c r="B416" t="s">
        <v>10</v>
      </c>
      <c r="C416" t="s">
        <v>8</v>
      </c>
      <c r="D416">
        <v>20000</v>
      </c>
    </row>
    <row r="417" spans="1:4" x14ac:dyDescent="0.25">
      <c r="A417">
        <v>2023</v>
      </c>
      <c r="B417" t="s">
        <v>10</v>
      </c>
      <c r="C417" t="s">
        <v>8</v>
      </c>
      <c r="D417">
        <v>15000</v>
      </c>
    </row>
    <row r="418" spans="1:4" x14ac:dyDescent="0.25">
      <c r="A418">
        <v>2023</v>
      </c>
      <c r="B418" t="s">
        <v>10</v>
      </c>
      <c r="C418" t="s">
        <v>8</v>
      </c>
      <c r="D418">
        <v>25000</v>
      </c>
    </row>
    <row r="419" spans="1:4" x14ac:dyDescent="0.25">
      <c r="A419">
        <v>2023</v>
      </c>
      <c r="B419" t="s">
        <v>10</v>
      </c>
      <c r="C419" t="s">
        <v>8</v>
      </c>
      <c r="D419">
        <v>35000</v>
      </c>
    </row>
    <row r="420" spans="1:4" x14ac:dyDescent="0.25">
      <c r="A420">
        <v>2023</v>
      </c>
      <c r="B420" t="s">
        <v>10</v>
      </c>
      <c r="C420" t="s">
        <v>8</v>
      </c>
      <c r="D420">
        <v>20000</v>
      </c>
    </row>
    <row r="421" spans="1:4" x14ac:dyDescent="0.25">
      <c r="A421">
        <v>2023</v>
      </c>
      <c r="B421" t="s">
        <v>10</v>
      </c>
      <c r="C421" t="s">
        <v>8</v>
      </c>
      <c r="D421">
        <v>25000</v>
      </c>
    </row>
    <row r="422" spans="1:4" x14ac:dyDescent="0.25">
      <c r="A422">
        <v>2023</v>
      </c>
      <c r="B422" t="s">
        <v>10</v>
      </c>
      <c r="C422" t="s">
        <v>8</v>
      </c>
      <c r="D422">
        <v>20000</v>
      </c>
    </row>
    <row r="423" spans="1:4" x14ac:dyDescent="0.25">
      <c r="A423">
        <v>2023</v>
      </c>
      <c r="B423" t="s">
        <v>10</v>
      </c>
      <c r="C423" t="s">
        <v>8</v>
      </c>
      <c r="D423">
        <v>20000</v>
      </c>
    </row>
    <row r="424" spans="1:4" x14ac:dyDescent="0.25">
      <c r="A424">
        <v>2023</v>
      </c>
      <c r="B424" t="s">
        <v>10</v>
      </c>
      <c r="C424" t="s">
        <v>8</v>
      </c>
      <c r="D424">
        <v>21000</v>
      </c>
    </row>
    <row r="425" spans="1:4" x14ac:dyDescent="0.25">
      <c r="A425">
        <v>2023</v>
      </c>
      <c r="B425" t="s">
        <v>10</v>
      </c>
      <c r="C425" t="s">
        <v>8</v>
      </c>
      <c r="D425">
        <v>20000</v>
      </c>
    </row>
    <row r="426" spans="1:4" x14ac:dyDescent="0.25">
      <c r="A426">
        <v>2023</v>
      </c>
      <c r="B426" t="s">
        <v>10</v>
      </c>
      <c r="C426" t="s">
        <v>8</v>
      </c>
      <c r="D426">
        <v>15000</v>
      </c>
    </row>
    <row r="427" spans="1:4" x14ac:dyDescent="0.25">
      <c r="A427">
        <v>2023</v>
      </c>
      <c r="B427" t="s">
        <v>10</v>
      </c>
      <c r="C427" t="s">
        <v>8</v>
      </c>
      <c r="D427">
        <v>20000</v>
      </c>
    </row>
    <row r="428" spans="1:4" x14ac:dyDescent="0.25">
      <c r="A428">
        <v>2023</v>
      </c>
      <c r="B428" t="s">
        <v>10</v>
      </c>
      <c r="C428" t="s">
        <v>8</v>
      </c>
      <c r="D428">
        <v>15000</v>
      </c>
    </row>
    <row r="429" spans="1:4" x14ac:dyDescent="0.25">
      <c r="A429">
        <v>2023</v>
      </c>
      <c r="B429" t="s">
        <v>10</v>
      </c>
      <c r="C429" t="s">
        <v>8</v>
      </c>
      <c r="D429">
        <v>20000</v>
      </c>
    </row>
    <row r="430" spans="1:4" x14ac:dyDescent="0.25">
      <c r="A430">
        <v>2023</v>
      </c>
      <c r="B430" t="s">
        <v>10</v>
      </c>
      <c r="C430" t="s">
        <v>8</v>
      </c>
      <c r="D430">
        <v>15000</v>
      </c>
    </row>
    <row r="431" spans="1:4" x14ac:dyDescent="0.25">
      <c r="A431">
        <v>2023</v>
      </c>
      <c r="B431" t="s">
        <v>10</v>
      </c>
      <c r="C431" t="s">
        <v>8</v>
      </c>
      <c r="D431">
        <v>17000</v>
      </c>
    </row>
    <row r="432" spans="1:4" x14ac:dyDescent="0.25">
      <c r="A432">
        <v>2023</v>
      </c>
      <c r="B432" t="s">
        <v>10</v>
      </c>
      <c r="C432" t="s">
        <v>8</v>
      </c>
      <c r="D432">
        <v>16000</v>
      </c>
    </row>
    <row r="433" spans="1:4" x14ac:dyDescent="0.25">
      <c r="A433">
        <v>2023</v>
      </c>
      <c r="B433" t="s">
        <v>10</v>
      </c>
      <c r="C433" t="s">
        <v>8</v>
      </c>
      <c r="D433">
        <v>20000</v>
      </c>
    </row>
    <row r="434" spans="1:4" x14ac:dyDescent="0.25">
      <c r="A434">
        <v>2023</v>
      </c>
      <c r="B434" t="s">
        <v>10</v>
      </c>
      <c r="C434" t="s">
        <v>8</v>
      </c>
      <c r="D434">
        <v>10000</v>
      </c>
    </row>
    <row r="435" spans="1:4" x14ac:dyDescent="0.25">
      <c r="A435">
        <v>2023</v>
      </c>
      <c r="B435" t="s">
        <v>10</v>
      </c>
      <c r="C435" t="s">
        <v>8</v>
      </c>
      <c r="D435">
        <v>10000</v>
      </c>
    </row>
    <row r="436" spans="1:4" x14ac:dyDescent="0.25">
      <c r="A436">
        <v>2023</v>
      </c>
      <c r="B436" t="s">
        <v>11</v>
      </c>
      <c r="C436" t="s">
        <v>5</v>
      </c>
      <c r="D436">
        <v>2439112016</v>
      </c>
    </row>
    <row r="437" spans="1:4" x14ac:dyDescent="0.25">
      <c r="A437">
        <v>2023</v>
      </c>
      <c r="B437" t="s">
        <v>11</v>
      </c>
      <c r="C437" t="s">
        <v>5</v>
      </c>
      <c r="D437">
        <v>21630204</v>
      </c>
    </row>
    <row r="438" spans="1:4" x14ac:dyDescent="0.25">
      <c r="A438">
        <v>2023</v>
      </c>
      <c r="B438" t="s">
        <v>11</v>
      </c>
      <c r="C438" t="s">
        <v>5</v>
      </c>
      <c r="D438">
        <v>1343779240</v>
      </c>
    </row>
    <row r="439" spans="1:4" x14ac:dyDescent="0.25">
      <c r="A439">
        <v>2023</v>
      </c>
      <c r="B439" t="s">
        <v>11</v>
      </c>
      <c r="C439" t="s">
        <v>5</v>
      </c>
      <c r="D439">
        <v>468280324</v>
      </c>
    </row>
    <row r="440" spans="1:4" x14ac:dyDescent="0.25">
      <c r="A440">
        <v>2023</v>
      </c>
      <c r="B440" t="s">
        <v>11</v>
      </c>
      <c r="C440" t="s">
        <v>5</v>
      </c>
      <c r="D440">
        <v>775977204</v>
      </c>
    </row>
    <row r="441" spans="1:4" x14ac:dyDescent="0.25">
      <c r="A441">
        <v>2023</v>
      </c>
      <c r="B441" t="s">
        <v>11</v>
      </c>
      <c r="C441" t="s">
        <v>5</v>
      </c>
      <c r="D441">
        <v>769539440</v>
      </c>
    </row>
    <row r="442" spans="1:4" x14ac:dyDescent="0.25">
      <c r="A442">
        <v>2023</v>
      </c>
      <c r="B442" t="s">
        <v>11</v>
      </c>
      <c r="C442" t="s">
        <v>5</v>
      </c>
      <c r="D442">
        <v>390973572</v>
      </c>
    </row>
    <row r="443" spans="1:4" x14ac:dyDescent="0.25">
      <c r="A443">
        <v>2023</v>
      </c>
      <c r="B443" t="s">
        <v>11</v>
      </c>
      <c r="C443" t="s">
        <v>6</v>
      </c>
      <c r="D443">
        <v>653135800</v>
      </c>
    </row>
    <row r="444" spans="1:4" x14ac:dyDescent="0.25">
      <c r="A444">
        <v>2023</v>
      </c>
      <c r="B444" t="s">
        <v>11</v>
      </c>
      <c r="C444" t="s">
        <v>6</v>
      </c>
      <c r="D444">
        <v>52757000</v>
      </c>
    </row>
    <row r="445" spans="1:4" x14ac:dyDescent="0.25">
      <c r="A445">
        <v>2023</v>
      </c>
      <c r="B445" t="s">
        <v>11</v>
      </c>
      <c r="C445" t="s">
        <v>6</v>
      </c>
      <c r="D445">
        <v>10000000</v>
      </c>
    </row>
    <row r="446" spans="1:4" x14ac:dyDescent="0.25">
      <c r="A446">
        <v>2023</v>
      </c>
      <c r="B446" t="s">
        <v>11</v>
      </c>
      <c r="C446" t="s">
        <v>6</v>
      </c>
      <c r="D446">
        <v>356400</v>
      </c>
    </row>
    <row r="447" spans="1:4" x14ac:dyDescent="0.25">
      <c r="A447">
        <v>2023</v>
      </c>
      <c r="B447" t="s">
        <v>11</v>
      </c>
      <c r="C447" t="s">
        <v>6</v>
      </c>
      <c r="D447">
        <v>800000</v>
      </c>
    </row>
    <row r="448" spans="1:4" x14ac:dyDescent="0.25">
      <c r="A448">
        <v>2023</v>
      </c>
      <c r="B448" t="s">
        <v>11</v>
      </c>
      <c r="C448" t="s">
        <v>6</v>
      </c>
      <c r="D448">
        <v>888900</v>
      </c>
    </row>
    <row r="449" spans="1:4" x14ac:dyDescent="0.25">
      <c r="A449">
        <v>2023</v>
      </c>
      <c r="B449" t="s">
        <v>11</v>
      </c>
      <c r="C449" t="s">
        <v>6</v>
      </c>
      <c r="D449">
        <v>2115000</v>
      </c>
    </row>
    <row r="450" spans="1:4" x14ac:dyDescent="0.25">
      <c r="A450">
        <v>2023</v>
      </c>
      <c r="B450" t="s">
        <v>11</v>
      </c>
      <c r="C450" t="s">
        <v>6</v>
      </c>
      <c r="D450">
        <v>2293900</v>
      </c>
    </row>
    <row r="451" spans="1:4" x14ac:dyDescent="0.25">
      <c r="A451">
        <v>2023</v>
      </c>
      <c r="B451" t="s">
        <v>11</v>
      </c>
      <c r="C451" t="s">
        <v>8</v>
      </c>
      <c r="D451">
        <v>135904800</v>
      </c>
    </row>
    <row r="452" spans="1:4" x14ac:dyDescent="0.25">
      <c r="A452">
        <v>2023</v>
      </c>
      <c r="B452" t="s">
        <v>11</v>
      </c>
      <c r="C452" t="s">
        <v>8</v>
      </c>
      <c r="D452">
        <v>8000000</v>
      </c>
    </row>
    <row r="453" spans="1:4" x14ac:dyDescent="0.25">
      <c r="A453">
        <v>2023</v>
      </c>
      <c r="B453" t="s">
        <v>11</v>
      </c>
      <c r="C453" t="s">
        <v>8</v>
      </c>
      <c r="D453">
        <v>1002000</v>
      </c>
    </row>
    <row r="454" spans="1:4" x14ac:dyDescent="0.25">
      <c r="A454">
        <v>2023</v>
      </c>
      <c r="B454" t="s">
        <v>11</v>
      </c>
      <c r="C454" t="s">
        <v>8</v>
      </c>
      <c r="D454">
        <v>25001000</v>
      </c>
    </row>
    <row r="455" spans="1:4" x14ac:dyDescent="0.25">
      <c r="A455">
        <v>2023</v>
      </c>
      <c r="B455" t="s">
        <v>11</v>
      </c>
      <c r="C455" t="s">
        <v>8</v>
      </c>
      <c r="D455">
        <v>4802000</v>
      </c>
    </row>
    <row r="456" spans="1:4" x14ac:dyDescent="0.25">
      <c r="A456">
        <v>2023</v>
      </c>
      <c r="B456" t="s">
        <v>11</v>
      </c>
      <c r="C456" t="s">
        <v>8</v>
      </c>
      <c r="D456">
        <v>10003000</v>
      </c>
    </row>
    <row r="457" spans="1:4" x14ac:dyDescent="0.25">
      <c r="A457">
        <v>2023</v>
      </c>
      <c r="B457" t="s">
        <v>11</v>
      </c>
      <c r="C457" t="s">
        <v>8</v>
      </c>
      <c r="D457">
        <v>47826000</v>
      </c>
    </row>
    <row r="458" spans="1:4" x14ac:dyDescent="0.25">
      <c r="A458">
        <v>2023</v>
      </c>
      <c r="B458" t="s">
        <v>11</v>
      </c>
      <c r="C458" t="s">
        <v>8</v>
      </c>
      <c r="D458">
        <v>30000</v>
      </c>
    </row>
    <row r="459" spans="1:4" x14ac:dyDescent="0.25">
      <c r="A459">
        <v>2023</v>
      </c>
      <c r="B459" t="s">
        <v>11</v>
      </c>
      <c r="C459" t="s">
        <v>8</v>
      </c>
      <c r="D459">
        <v>43200</v>
      </c>
    </row>
    <row r="460" spans="1:4" x14ac:dyDescent="0.25">
      <c r="A460">
        <v>2023</v>
      </c>
      <c r="B460" t="s">
        <v>11</v>
      </c>
      <c r="C460" t="s">
        <v>8</v>
      </c>
      <c r="D460">
        <v>22000</v>
      </c>
    </row>
    <row r="461" spans="1:4" x14ac:dyDescent="0.25">
      <c r="A461">
        <v>2023</v>
      </c>
      <c r="B461" t="s">
        <v>12</v>
      </c>
      <c r="C461" t="s">
        <v>6</v>
      </c>
      <c r="D461">
        <v>6495704000</v>
      </c>
    </row>
    <row r="462" spans="1:4" x14ac:dyDescent="0.25">
      <c r="A462">
        <v>2023</v>
      </c>
      <c r="B462" t="s">
        <v>13</v>
      </c>
      <c r="C462" t="s">
        <v>6</v>
      </c>
      <c r="D462">
        <v>1329816000</v>
      </c>
    </row>
    <row r="463" spans="1:4" x14ac:dyDescent="0.25">
      <c r="A463">
        <v>2023</v>
      </c>
      <c r="B463" t="s">
        <v>14</v>
      </c>
      <c r="C463" t="s">
        <v>5</v>
      </c>
      <c r="D463">
        <v>4399864</v>
      </c>
    </row>
    <row r="464" spans="1:4" x14ac:dyDescent="0.25">
      <c r="A464">
        <v>2023</v>
      </c>
      <c r="B464" t="s">
        <v>14</v>
      </c>
      <c r="C464" t="s">
        <v>5</v>
      </c>
      <c r="D464">
        <v>43633440</v>
      </c>
    </row>
    <row r="465" spans="1:4" x14ac:dyDescent="0.25">
      <c r="A465">
        <v>2023</v>
      </c>
      <c r="B465" t="s">
        <v>14</v>
      </c>
      <c r="C465" t="s">
        <v>5</v>
      </c>
      <c r="D465">
        <v>256984944</v>
      </c>
    </row>
    <row r="466" spans="1:4" x14ac:dyDescent="0.25">
      <c r="A466">
        <v>2023</v>
      </c>
      <c r="B466" t="s">
        <v>14</v>
      </c>
      <c r="C466" t="s">
        <v>5</v>
      </c>
      <c r="D466">
        <v>39575052</v>
      </c>
    </row>
    <row r="467" spans="1:4" x14ac:dyDescent="0.25">
      <c r="A467">
        <v>2023</v>
      </c>
      <c r="B467" t="s">
        <v>14</v>
      </c>
      <c r="C467" t="s">
        <v>5</v>
      </c>
      <c r="D467">
        <v>17026032</v>
      </c>
    </row>
    <row r="468" spans="1:4" x14ac:dyDescent="0.25">
      <c r="A468">
        <v>2023</v>
      </c>
      <c r="B468" t="s">
        <v>14</v>
      </c>
      <c r="C468" t="s">
        <v>5</v>
      </c>
      <c r="D468">
        <v>18384840</v>
      </c>
    </row>
    <row r="469" spans="1:4" x14ac:dyDescent="0.25">
      <c r="A469">
        <v>2023</v>
      </c>
      <c r="B469" t="s">
        <v>14</v>
      </c>
      <c r="C469" t="s">
        <v>5</v>
      </c>
      <c r="D469">
        <v>30527684</v>
      </c>
    </row>
    <row r="470" spans="1:4" x14ac:dyDescent="0.25">
      <c r="A470">
        <v>2023</v>
      </c>
      <c r="B470" t="s">
        <v>14</v>
      </c>
      <c r="C470" t="s">
        <v>5</v>
      </c>
      <c r="D470">
        <v>8915160</v>
      </c>
    </row>
    <row r="471" spans="1:4" x14ac:dyDescent="0.25">
      <c r="A471">
        <v>2023</v>
      </c>
      <c r="B471" t="s">
        <v>14</v>
      </c>
      <c r="C471" t="s">
        <v>5</v>
      </c>
      <c r="D471">
        <v>3933900</v>
      </c>
    </row>
    <row r="472" spans="1:4" x14ac:dyDescent="0.25">
      <c r="A472">
        <v>2023</v>
      </c>
      <c r="B472" t="s">
        <v>14</v>
      </c>
      <c r="C472" t="s">
        <v>5</v>
      </c>
      <c r="D472">
        <v>578600</v>
      </c>
    </row>
    <row r="473" spans="1:4" x14ac:dyDescent="0.25">
      <c r="A473">
        <v>2023</v>
      </c>
      <c r="B473" t="s">
        <v>14</v>
      </c>
      <c r="C473" t="s">
        <v>5</v>
      </c>
      <c r="D473">
        <v>1585200</v>
      </c>
    </row>
    <row r="474" spans="1:4" x14ac:dyDescent="0.25">
      <c r="A474">
        <v>2023</v>
      </c>
      <c r="B474" t="s">
        <v>14</v>
      </c>
      <c r="C474" t="s">
        <v>5</v>
      </c>
      <c r="D474">
        <v>405600</v>
      </c>
    </row>
    <row r="475" spans="1:4" x14ac:dyDescent="0.25">
      <c r="A475">
        <v>2023</v>
      </c>
      <c r="B475" t="s">
        <v>14</v>
      </c>
      <c r="C475" t="s">
        <v>5</v>
      </c>
      <c r="D475">
        <v>141600</v>
      </c>
    </row>
    <row r="476" spans="1:4" x14ac:dyDescent="0.25">
      <c r="A476">
        <v>2023</v>
      </c>
      <c r="B476" t="s">
        <v>14</v>
      </c>
      <c r="C476" t="s">
        <v>5</v>
      </c>
      <c r="D476">
        <v>175000</v>
      </c>
    </row>
    <row r="477" spans="1:4" x14ac:dyDescent="0.25">
      <c r="A477">
        <v>2023</v>
      </c>
      <c r="B477" t="s">
        <v>14</v>
      </c>
      <c r="C477" t="s">
        <v>5</v>
      </c>
      <c r="D477">
        <v>281600</v>
      </c>
    </row>
    <row r="478" spans="1:4" x14ac:dyDescent="0.25">
      <c r="A478">
        <v>2023</v>
      </c>
      <c r="B478" t="s">
        <v>14</v>
      </c>
      <c r="C478" t="s">
        <v>5</v>
      </c>
      <c r="D478">
        <v>2704200</v>
      </c>
    </row>
    <row r="479" spans="1:4" x14ac:dyDescent="0.25">
      <c r="A479">
        <v>2023</v>
      </c>
      <c r="B479" t="s">
        <v>14</v>
      </c>
      <c r="C479" t="s">
        <v>5</v>
      </c>
      <c r="D479">
        <v>581600</v>
      </c>
    </row>
    <row r="480" spans="1:4" x14ac:dyDescent="0.25">
      <c r="A480">
        <v>2023</v>
      </c>
      <c r="B480" t="s">
        <v>14</v>
      </c>
      <c r="C480" t="s">
        <v>5</v>
      </c>
      <c r="D480">
        <v>349600</v>
      </c>
    </row>
    <row r="481" spans="1:4" x14ac:dyDescent="0.25">
      <c r="A481">
        <v>2023</v>
      </c>
      <c r="B481" t="s">
        <v>14</v>
      </c>
      <c r="C481" t="s">
        <v>5</v>
      </c>
      <c r="D481">
        <v>153000</v>
      </c>
    </row>
    <row r="482" spans="1:4" x14ac:dyDescent="0.25">
      <c r="A482">
        <v>2023</v>
      </c>
      <c r="B482" t="s">
        <v>14</v>
      </c>
      <c r="C482" t="s">
        <v>5</v>
      </c>
      <c r="D482">
        <v>81600</v>
      </c>
    </row>
    <row r="483" spans="1:4" x14ac:dyDescent="0.25">
      <c r="A483">
        <v>2023</v>
      </c>
      <c r="B483" t="s">
        <v>14</v>
      </c>
      <c r="C483" t="s">
        <v>5</v>
      </c>
      <c r="D483">
        <v>12432000</v>
      </c>
    </row>
    <row r="484" spans="1:4" x14ac:dyDescent="0.25">
      <c r="A484">
        <v>2023</v>
      </c>
      <c r="B484" t="s">
        <v>14</v>
      </c>
      <c r="C484" t="s">
        <v>5</v>
      </c>
      <c r="D484">
        <v>1028484</v>
      </c>
    </row>
    <row r="485" spans="1:4" x14ac:dyDescent="0.25">
      <c r="A485">
        <v>2023</v>
      </c>
      <c r="B485" t="s">
        <v>14</v>
      </c>
      <c r="C485" t="s">
        <v>5</v>
      </c>
      <c r="D485">
        <v>10981000</v>
      </c>
    </row>
    <row r="486" spans="1:4" x14ac:dyDescent="0.25">
      <c r="A486">
        <v>2023</v>
      </c>
      <c r="B486" t="s">
        <v>14</v>
      </c>
      <c r="C486" t="s">
        <v>6</v>
      </c>
      <c r="D486">
        <v>357634500</v>
      </c>
    </row>
    <row r="487" spans="1:4" x14ac:dyDescent="0.25">
      <c r="A487">
        <v>2023</v>
      </c>
      <c r="B487" t="s">
        <v>14</v>
      </c>
      <c r="C487" t="s">
        <v>6</v>
      </c>
      <c r="D487">
        <v>231488855</v>
      </c>
    </row>
    <row r="488" spans="1:4" x14ac:dyDescent="0.25">
      <c r="A488">
        <v>2023</v>
      </c>
      <c r="B488" t="s">
        <v>14</v>
      </c>
      <c r="C488" t="s">
        <v>6</v>
      </c>
      <c r="D488">
        <v>3500000</v>
      </c>
    </row>
    <row r="489" spans="1:4" x14ac:dyDescent="0.25">
      <c r="A489">
        <v>2023</v>
      </c>
      <c r="B489" t="s">
        <v>14</v>
      </c>
      <c r="C489" t="s">
        <v>6</v>
      </c>
      <c r="D489">
        <v>1603600</v>
      </c>
    </row>
    <row r="490" spans="1:4" x14ac:dyDescent="0.25">
      <c r="A490">
        <v>2023</v>
      </c>
      <c r="B490" t="s">
        <v>14</v>
      </c>
      <c r="C490" t="s">
        <v>6</v>
      </c>
      <c r="D490">
        <v>54400</v>
      </c>
    </row>
    <row r="491" spans="1:4" x14ac:dyDescent="0.25">
      <c r="A491">
        <v>2023</v>
      </c>
      <c r="B491" t="s">
        <v>14</v>
      </c>
      <c r="C491" t="s">
        <v>6</v>
      </c>
      <c r="D491">
        <v>399800</v>
      </c>
    </row>
    <row r="492" spans="1:4" x14ac:dyDescent="0.25">
      <c r="A492">
        <v>2023</v>
      </c>
      <c r="B492" t="s">
        <v>14</v>
      </c>
      <c r="C492" t="s">
        <v>6</v>
      </c>
      <c r="D492">
        <v>24400</v>
      </c>
    </row>
    <row r="493" spans="1:4" x14ac:dyDescent="0.25">
      <c r="A493">
        <v>2023</v>
      </c>
      <c r="B493" t="s">
        <v>14</v>
      </c>
      <c r="C493" t="s">
        <v>6</v>
      </c>
      <c r="D493">
        <v>3400</v>
      </c>
    </row>
    <row r="494" spans="1:4" x14ac:dyDescent="0.25">
      <c r="A494">
        <v>2023</v>
      </c>
      <c r="B494" t="s">
        <v>14</v>
      </c>
      <c r="C494" t="s">
        <v>6</v>
      </c>
      <c r="D494">
        <v>54800</v>
      </c>
    </row>
    <row r="495" spans="1:4" x14ac:dyDescent="0.25">
      <c r="A495">
        <v>2023</v>
      </c>
      <c r="B495" t="s">
        <v>14</v>
      </c>
      <c r="C495" t="s">
        <v>6</v>
      </c>
      <c r="D495">
        <v>45600</v>
      </c>
    </row>
    <row r="496" spans="1:4" x14ac:dyDescent="0.25">
      <c r="A496">
        <v>2023</v>
      </c>
      <c r="B496" t="s">
        <v>14</v>
      </c>
      <c r="C496" t="s">
        <v>6</v>
      </c>
      <c r="D496">
        <v>1624300</v>
      </c>
    </row>
    <row r="497" spans="1:4" x14ac:dyDescent="0.25">
      <c r="A497">
        <v>2023</v>
      </c>
      <c r="B497" t="s">
        <v>14</v>
      </c>
      <c r="C497" t="s">
        <v>6</v>
      </c>
      <c r="D497">
        <v>17400</v>
      </c>
    </row>
    <row r="498" spans="1:4" x14ac:dyDescent="0.25">
      <c r="A498">
        <v>2023</v>
      </c>
      <c r="B498" t="s">
        <v>14</v>
      </c>
      <c r="C498" t="s">
        <v>6</v>
      </c>
      <c r="D498">
        <v>20200</v>
      </c>
    </row>
    <row r="499" spans="1:4" x14ac:dyDescent="0.25">
      <c r="A499">
        <v>2023</v>
      </c>
      <c r="B499" t="s">
        <v>14</v>
      </c>
      <c r="C499" t="s">
        <v>6</v>
      </c>
      <c r="D499">
        <v>1400</v>
      </c>
    </row>
    <row r="500" spans="1:4" x14ac:dyDescent="0.25">
      <c r="A500">
        <v>2023</v>
      </c>
      <c r="B500" t="s">
        <v>14</v>
      </c>
      <c r="C500" t="s">
        <v>6</v>
      </c>
      <c r="D500">
        <v>3526500</v>
      </c>
    </row>
    <row r="501" spans="1:4" x14ac:dyDescent="0.25">
      <c r="A501">
        <v>2023</v>
      </c>
      <c r="B501" t="s">
        <v>14</v>
      </c>
      <c r="C501" t="s">
        <v>6</v>
      </c>
      <c r="D501">
        <v>277388</v>
      </c>
    </row>
    <row r="502" spans="1:4" x14ac:dyDescent="0.25">
      <c r="A502">
        <v>2023</v>
      </c>
      <c r="B502" t="s">
        <v>14</v>
      </c>
      <c r="C502" t="s">
        <v>6</v>
      </c>
      <c r="D502">
        <v>3688457</v>
      </c>
    </row>
    <row r="503" spans="1:4" x14ac:dyDescent="0.25">
      <c r="A503">
        <v>2023</v>
      </c>
      <c r="B503" t="s">
        <v>14</v>
      </c>
      <c r="C503" t="s">
        <v>7</v>
      </c>
      <c r="D503">
        <v>1000000</v>
      </c>
    </row>
    <row r="504" spans="1:4" x14ac:dyDescent="0.25">
      <c r="A504">
        <v>2023</v>
      </c>
      <c r="B504" t="s">
        <v>14</v>
      </c>
      <c r="C504" t="s">
        <v>8</v>
      </c>
      <c r="D504">
        <v>8490721</v>
      </c>
    </row>
    <row r="505" spans="1:4" x14ac:dyDescent="0.25">
      <c r="A505">
        <v>2023</v>
      </c>
      <c r="B505" t="s">
        <v>14</v>
      </c>
      <c r="C505" t="s">
        <v>8</v>
      </c>
      <c r="D505">
        <v>200000</v>
      </c>
    </row>
    <row r="506" spans="1:4" x14ac:dyDescent="0.25">
      <c r="A506">
        <v>2023</v>
      </c>
      <c r="B506" t="s">
        <v>14</v>
      </c>
      <c r="C506" t="s">
        <v>8</v>
      </c>
      <c r="D506">
        <v>2000</v>
      </c>
    </row>
    <row r="507" spans="1:4" x14ac:dyDescent="0.25">
      <c r="A507">
        <v>2023</v>
      </c>
      <c r="B507" t="s">
        <v>14</v>
      </c>
      <c r="C507" t="s">
        <v>8</v>
      </c>
      <c r="D507">
        <v>100000</v>
      </c>
    </row>
    <row r="508" spans="1:4" x14ac:dyDescent="0.25">
      <c r="A508">
        <v>2023</v>
      </c>
      <c r="B508" t="s">
        <v>14</v>
      </c>
      <c r="C508" t="s">
        <v>8</v>
      </c>
      <c r="D508">
        <v>245000</v>
      </c>
    </row>
    <row r="509" spans="1:4" x14ac:dyDescent="0.25">
      <c r="A509">
        <v>2023</v>
      </c>
      <c r="B509" t="s">
        <v>14</v>
      </c>
      <c r="C509" t="s">
        <v>8</v>
      </c>
      <c r="D509">
        <v>30029</v>
      </c>
    </row>
    <row r="510" spans="1:4" x14ac:dyDescent="0.25">
      <c r="A510">
        <v>2023</v>
      </c>
      <c r="B510" t="s">
        <v>14</v>
      </c>
      <c r="C510" t="s">
        <v>8</v>
      </c>
      <c r="D510">
        <v>570250</v>
      </c>
    </row>
    <row r="511" spans="1:4" x14ac:dyDescent="0.25">
      <c r="A511">
        <v>2023</v>
      </c>
      <c r="B511" t="s">
        <v>15</v>
      </c>
      <c r="C511" t="s">
        <v>5</v>
      </c>
      <c r="D511">
        <v>399952</v>
      </c>
    </row>
    <row r="512" spans="1:4" x14ac:dyDescent="0.25">
      <c r="A512">
        <v>2023</v>
      </c>
      <c r="B512" t="s">
        <v>15</v>
      </c>
      <c r="C512" t="s">
        <v>5</v>
      </c>
      <c r="D512">
        <v>14621796</v>
      </c>
    </row>
    <row r="513" spans="1:4" x14ac:dyDescent="0.25">
      <c r="A513">
        <v>2023</v>
      </c>
      <c r="B513" t="s">
        <v>15</v>
      </c>
      <c r="C513" t="s">
        <v>5</v>
      </c>
      <c r="D513">
        <v>142711037</v>
      </c>
    </row>
    <row r="514" spans="1:4" x14ac:dyDescent="0.25">
      <c r="A514">
        <v>2023</v>
      </c>
      <c r="B514" t="s">
        <v>15</v>
      </c>
      <c r="C514" t="s">
        <v>5</v>
      </c>
      <c r="D514">
        <v>18079992</v>
      </c>
    </row>
    <row r="515" spans="1:4" x14ac:dyDescent="0.25">
      <c r="A515">
        <v>2023</v>
      </c>
      <c r="B515" t="s">
        <v>15</v>
      </c>
      <c r="C515" t="s">
        <v>5</v>
      </c>
      <c r="D515">
        <v>8550948</v>
      </c>
    </row>
    <row r="516" spans="1:4" x14ac:dyDescent="0.25">
      <c r="A516">
        <v>2023</v>
      </c>
      <c r="B516" t="s">
        <v>15</v>
      </c>
      <c r="C516" t="s">
        <v>5</v>
      </c>
      <c r="D516">
        <v>15328404</v>
      </c>
    </row>
    <row r="517" spans="1:4" x14ac:dyDescent="0.25">
      <c r="A517">
        <v>2023</v>
      </c>
      <c r="B517" t="s">
        <v>15</v>
      </c>
      <c r="C517" t="s">
        <v>5</v>
      </c>
      <c r="D517">
        <v>13547112</v>
      </c>
    </row>
    <row r="518" spans="1:4" x14ac:dyDescent="0.25">
      <c r="A518">
        <v>2023</v>
      </c>
      <c r="B518" t="s">
        <v>15</v>
      </c>
      <c r="C518" t="s">
        <v>5</v>
      </c>
      <c r="D518">
        <v>6567202</v>
      </c>
    </row>
    <row r="519" spans="1:4" x14ac:dyDescent="0.25">
      <c r="A519">
        <v>2023</v>
      </c>
      <c r="B519" t="s">
        <v>15</v>
      </c>
      <c r="C519" t="s">
        <v>5</v>
      </c>
      <c r="D519">
        <v>70000</v>
      </c>
    </row>
    <row r="520" spans="1:4" x14ac:dyDescent="0.25">
      <c r="A520">
        <v>2023</v>
      </c>
      <c r="B520" t="s">
        <v>15</v>
      </c>
      <c r="C520" t="s">
        <v>5</v>
      </c>
      <c r="D520">
        <v>1348782</v>
      </c>
    </row>
    <row r="521" spans="1:4" x14ac:dyDescent="0.25">
      <c r="A521">
        <v>2023</v>
      </c>
      <c r="B521" t="s">
        <v>15</v>
      </c>
      <c r="C521" t="s">
        <v>5</v>
      </c>
      <c r="D521">
        <v>932199</v>
      </c>
    </row>
    <row r="522" spans="1:4" x14ac:dyDescent="0.25">
      <c r="A522">
        <v>2023</v>
      </c>
      <c r="B522" t="s">
        <v>15</v>
      </c>
      <c r="C522" t="s">
        <v>5</v>
      </c>
      <c r="D522">
        <v>8350000</v>
      </c>
    </row>
    <row r="523" spans="1:4" x14ac:dyDescent="0.25">
      <c r="A523">
        <v>2023</v>
      </c>
      <c r="B523" t="s">
        <v>15</v>
      </c>
      <c r="C523" t="s">
        <v>5</v>
      </c>
      <c r="D523">
        <v>4083576</v>
      </c>
    </row>
    <row r="524" spans="1:4" x14ac:dyDescent="0.25">
      <c r="A524">
        <v>2023</v>
      </c>
      <c r="B524" t="s">
        <v>15</v>
      </c>
      <c r="C524" t="s">
        <v>5</v>
      </c>
      <c r="D524">
        <v>2200000</v>
      </c>
    </row>
    <row r="525" spans="1:4" x14ac:dyDescent="0.25">
      <c r="A525">
        <v>2023</v>
      </c>
      <c r="B525" t="s">
        <v>15</v>
      </c>
      <c r="C525" t="s">
        <v>6</v>
      </c>
      <c r="D525">
        <v>3480093</v>
      </c>
    </row>
    <row r="526" spans="1:4" x14ac:dyDescent="0.25">
      <c r="A526">
        <v>2023</v>
      </c>
      <c r="B526" t="s">
        <v>15</v>
      </c>
      <c r="C526" t="s">
        <v>6</v>
      </c>
      <c r="D526">
        <v>153952442</v>
      </c>
    </row>
    <row r="527" spans="1:4" x14ac:dyDescent="0.25">
      <c r="A527">
        <v>2023</v>
      </c>
      <c r="B527" t="s">
        <v>15</v>
      </c>
      <c r="C527" t="s">
        <v>6</v>
      </c>
      <c r="D527">
        <v>2284956</v>
      </c>
    </row>
    <row r="528" spans="1:4" x14ac:dyDescent="0.25">
      <c r="A528">
        <v>2023</v>
      </c>
      <c r="B528" t="s">
        <v>15</v>
      </c>
      <c r="C528" t="s">
        <v>6</v>
      </c>
      <c r="D528">
        <v>1414600</v>
      </c>
    </row>
    <row r="529" spans="1:4" x14ac:dyDescent="0.25">
      <c r="A529">
        <v>2023</v>
      </c>
      <c r="B529" t="s">
        <v>15</v>
      </c>
      <c r="C529" t="s">
        <v>6</v>
      </c>
      <c r="D529">
        <v>1568574</v>
      </c>
    </row>
    <row r="530" spans="1:4" x14ac:dyDescent="0.25">
      <c r="A530">
        <v>2023</v>
      </c>
      <c r="B530" t="s">
        <v>15</v>
      </c>
      <c r="C530" t="s">
        <v>6</v>
      </c>
      <c r="D530">
        <v>1706350</v>
      </c>
    </row>
    <row r="531" spans="1:4" x14ac:dyDescent="0.25">
      <c r="A531">
        <v>2023</v>
      </c>
      <c r="B531" t="s">
        <v>15</v>
      </c>
      <c r="C531" t="s">
        <v>6</v>
      </c>
      <c r="D531">
        <v>2502342</v>
      </c>
    </row>
    <row r="532" spans="1:4" x14ac:dyDescent="0.25">
      <c r="A532">
        <v>2023</v>
      </c>
      <c r="B532" t="s">
        <v>15</v>
      </c>
      <c r="C532" t="s">
        <v>6</v>
      </c>
      <c r="D532">
        <v>440000</v>
      </c>
    </row>
    <row r="533" spans="1:4" x14ac:dyDescent="0.25">
      <c r="A533">
        <v>2023</v>
      </c>
      <c r="B533" t="s">
        <v>15</v>
      </c>
      <c r="C533" t="s">
        <v>6</v>
      </c>
      <c r="D533">
        <v>3865148</v>
      </c>
    </row>
    <row r="534" spans="1:4" x14ac:dyDescent="0.25">
      <c r="A534">
        <v>2023</v>
      </c>
      <c r="B534" t="s">
        <v>15</v>
      </c>
      <c r="C534" t="s">
        <v>6</v>
      </c>
      <c r="D534">
        <v>2090836</v>
      </c>
    </row>
    <row r="535" spans="1:4" x14ac:dyDescent="0.25">
      <c r="A535">
        <v>2023</v>
      </c>
      <c r="B535" t="s">
        <v>15</v>
      </c>
      <c r="C535" t="s">
        <v>6</v>
      </c>
      <c r="D535">
        <v>11740035</v>
      </c>
    </row>
    <row r="536" spans="1:4" x14ac:dyDescent="0.25">
      <c r="A536">
        <v>2023</v>
      </c>
      <c r="B536" t="s">
        <v>15</v>
      </c>
      <c r="C536" t="s">
        <v>6</v>
      </c>
      <c r="D536">
        <v>5109000</v>
      </c>
    </row>
    <row r="537" spans="1:4" x14ac:dyDescent="0.25">
      <c r="A537">
        <v>2023</v>
      </c>
      <c r="B537" t="s">
        <v>15</v>
      </c>
      <c r="C537" t="s">
        <v>6</v>
      </c>
      <c r="D537">
        <v>1381624</v>
      </c>
    </row>
    <row r="538" spans="1:4" x14ac:dyDescent="0.25">
      <c r="A538">
        <v>2023</v>
      </c>
      <c r="B538" t="s">
        <v>15</v>
      </c>
      <c r="C538" t="s">
        <v>19</v>
      </c>
      <c r="D538">
        <v>70000</v>
      </c>
    </row>
    <row r="539" spans="1:4" x14ac:dyDescent="0.25">
      <c r="A539">
        <v>2023</v>
      </c>
      <c r="B539" t="s">
        <v>15</v>
      </c>
      <c r="C539" t="s">
        <v>8</v>
      </c>
      <c r="D539">
        <v>67386004</v>
      </c>
    </row>
    <row r="540" spans="1:4" x14ac:dyDescent="0.25">
      <c r="A540">
        <v>2023</v>
      </c>
      <c r="B540" t="s">
        <v>15</v>
      </c>
      <c r="C540" t="s">
        <v>8</v>
      </c>
      <c r="D540">
        <v>10000</v>
      </c>
    </row>
    <row r="541" spans="1:4" x14ac:dyDescent="0.25">
      <c r="A541">
        <v>2023</v>
      </c>
      <c r="B541" t="s">
        <v>15</v>
      </c>
      <c r="C541" t="s">
        <v>8</v>
      </c>
      <c r="D541">
        <v>150000</v>
      </c>
    </row>
    <row r="542" spans="1:4" x14ac:dyDescent="0.25">
      <c r="A542">
        <v>2023</v>
      </c>
      <c r="B542" t="s">
        <v>15</v>
      </c>
      <c r="C542" t="s">
        <v>8</v>
      </c>
      <c r="D542">
        <v>10000</v>
      </c>
    </row>
    <row r="543" spans="1:4" x14ac:dyDescent="0.25">
      <c r="A543">
        <v>2023</v>
      </c>
      <c r="B543" t="s">
        <v>15</v>
      </c>
      <c r="C543" t="s">
        <v>8</v>
      </c>
      <c r="D543">
        <v>25000</v>
      </c>
    </row>
    <row r="544" spans="1:4" x14ac:dyDescent="0.25">
      <c r="A544">
        <v>2023</v>
      </c>
      <c r="B544" t="s">
        <v>15</v>
      </c>
      <c r="C544" t="s">
        <v>8</v>
      </c>
      <c r="D544">
        <v>10000</v>
      </c>
    </row>
    <row r="545" spans="1:4" x14ac:dyDescent="0.25">
      <c r="A545">
        <v>2023</v>
      </c>
      <c r="B545" t="s">
        <v>15</v>
      </c>
      <c r="C545" t="s">
        <v>8</v>
      </c>
      <c r="D545">
        <v>405500</v>
      </c>
    </row>
    <row r="546" spans="1:4" x14ac:dyDescent="0.25">
      <c r="A546">
        <v>2023</v>
      </c>
      <c r="B546" t="s">
        <v>15</v>
      </c>
      <c r="C546" t="s">
        <v>8</v>
      </c>
      <c r="D546">
        <v>34185</v>
      </c>
    </row>
    <row r="547" spans="1:4" x14ac:dyDescent="0.25">
      <c r="A547">
        <v>2023</v>
      </c>
      <c r="B547" t="s">
        <v>15</v>
      </c>
      <c r="C547" t="s">
        <v>8</v>
      </c>
      <c r="D547">
        <v>458441</v>
      </c>
    </row>
    <row r="548" spans="1:4" x14ac:dyDescent="0.25">
      <c r="A548">
        <v>2023</v>
      </c>
      <c r="B548" t="s">
        <v>15</v>
      </c>
      <c r="C548" t="s">
        <v>8</v>
      </c>
      <c r="D548">
        <v>40000</v>
      </c>
    </row>
    <row r="549" spans="1:4" x14ac:dyDescent="0.25">
      <c r="A549">
        <v>2023</v>
      </c>
      <c r="B549" t="s">
        <v>15</v>
      </c>
      <c r="C549" t="s">
        <v>8</v>
      </c>
      <c r="D549">
        <v>14870</v>
      </c>
    </row>
    <row r="550" spans="1:4" x14ac:dyDescent="0.25">
      <c r="A550">
        <v>2023</v>
      </c>
      <c r="B550" t="s">
        <v>16</v>
      </c>
      <c r="C550" t="s">
        <v>5</v>
      </c>
      <c r="D550">
        <v>109874</v>
      </c>
    </row>
    <row r="551" spans="1:4" x14ac:dyDescent="0.25">
      <c r="A551">
        <v>2023</v>
      </c>
      <c r="B551" t="s">
        <v>16</v>
      </c>
      <c r="C551" t="s">
        <v>5</v>
      </c>
      <c r="D551">
        <v>34905390</v>
      </c>
    </row>
    <row r="552" spans="1:4" x14ac:dyDescent="0.25">
      <c r="A552">
        <v>2023</v>
      </c>
      <c r="B552" t="s">
        <v>16</v>
      </c>
      <c r="C552" t="s">
        <v>5</v>
      </c>
      <c r="D552">
        <v>44382736</v>
      </c>
    </row>
    <row r="553" spans="1:4" x14ac:dyDescent="0.25">
      <c r="A553">
        <v>2023</v>
      </c>
      <c r="B553" t="s">
        <v>16</v>
      </c>
      <c r="C553" t="s">
        <v>6</v>
      </c>
      <c r="D553">
        <v>1659720</v>
      </c>
    </row>
    <row r="554" spans="1:4" x14ac:dyDescent="0.25">
      <c r="A554">
        <v>2023</v>
      </c>
      <c r="B554" t="s">
        <v>16</v>
      </c>
      <c r="C554" t="s">
        <v>6</v>
      </c>
      <c r="D554">
        <v>34166280</v>
      </c>
    </row>
    <row r="555" spans="1:4" x14ac:dyDescent="0.25">
      <c r="A555">
        <v>2023</v>
      </c>
      <c r="B555" t="s">
        <v>16</v>
      </c>
      <c r="C555" t="s">
        <v>19</v>
      </c>
      <c r="D555">
        <v>10000</v>
      </c>
    </row>
    <row r="556" spans="1:4" x14ac:dyDescent="0.25">
      <c r="A556">
        <v>2023</v>
      </c>
      <c r="B556" t="s">
        <v>16</v>
      </c>
      <c r="C556" t="s">
        <v>8</v>
      </c>
      <c r="D556">
        <v>8365000</v>
      </c>
    </row>
    <row r="557" spans="1:4" x14ac:dyDescent="0.25">
      <c r="A557">
        <v>2023</v>
      </c>
      <c r="B557" t="s">
        <v>17</v>
      </c>
      <c r="C557" t="s">
        <v>5</v>
      </c>
      <c r="D557">
        <v>5066900</v>
      </c>
    </row>
    <row r="558" spans="1:4" x14ac:dyDescent="0.25">
      <c r="A558">
        <v>2023</v>
      </c>
      <c r="B558" t="s">
        <v>17</v>
      </c>
      <c r="C558" t="s">
        <v>5</v>
      </c>
      <c r="D558">
        <v>98580707</v>
      </c>
    </row>
    <row r="559" spans="1:4" x14ac:dyDescent="0.25">
      <c r="A559">
        <v>2023</v>
      </c>
      <c r="B559" t="s">
        <v>17</v>
      </c>
      <c r="C559" t="s">
        <v>5</v>
      </c>
      <c r="D559">
        <v>28432393</v>
      </c>
    </row>
    <row r="560" spans="1:4" x14ac:dyDescent="0.25">
      <c r="A560">
        <v>2023</v>
      </c>
      <c r="B560" t="s">
        <v>17</v>
      </c>
      <c r="C560" t="s">
        <v>6</v>
      </c>
      <c r="D560">
        <v>143926000</v>
      </c>
    </row>
    <row r="561" spans="1:4" x14ac:dyDescent="0.25">
      <c r="A561">
        <v>2023</v>
      </c>
      <c r="B561" t="s">
        <v>17</v>
      </c>
      <c r="C561" t="s">
        <v>19</v>
      </c>
      <c r="D561">
        <v>100000</v>
      </c>
    </row>
    <row r="562" spans="1:4" x14ac:dyDescent="0.25">
      <c r="A562">
        <v>2023</v>
      </c>
      <c r="B562" t="s">
        <v>17</v>
      </c>
      <c r="C562" t="s">
        <v>8</v>
      </c>
      <c r="D562">
        <v>2100000</v>
      </c>
    </row>
    <row r="563" spans="1:4" x14ac:dyDescent="0.25">
      <c r="A563">
        <v>2023</v>
      </c>
      <c r="B563" t="s">
        <v>18</v>
      </c>
      <c r="C563" t="s">
        <v>5</v>
      </c>
      <c r="D563">
        <v>999731</v>
      </c>
    </row>
    <row r="564" spans="1:4" x14ac:dyDescent="0.25">
      <c r="A564">
        <v>2023</v>
      </c>
      <c r="B564" t="s">
        <v>18</v>
      </c>
      <c r="C564" t="s">
        <v>5</v>
      </c>
      <c r="D564">
        <v>81159296</v>
      </c>
    </row>
    <row r="565" spans="1:4" x14ac:dyDescent="0.25">
      <c r="A565">
        <v>2023</v>
      </c>
      <c r="B565" t="s">
        <v>18</v>
      </c>
      <c r="C565" t="s">
        <v>5</v>
      </c>
      <c r="D565">
        <v>37095778</v>
      </c>
    </row>
    <row r="566" spans="1:4" x14ac:dyDescent="0.25">
      <c r="A566">
        <v>2023</v>
      </c>
      <c r="B566" t="s">
        <v>18</v>
      </c>
      <c r="C566" t="s">
        <v>5</v>
      </c>
      <c r="D566">
        <v>3159607</v>
      </c>
    </row>
    <row r="567" spans="1:4" x14ac:dyDescent="0.25">
      <c r="A567">
        <v>2023</v>
      </c>
      <c r="B567" t="s">
        <v>18</v>
      </c>
      <c r="C567" t="s">
        <v>5</v>
      </c>
      <c r="D567">
        <v>924953</v>
      </c>
    </row>
    <row r="568" spans="1:4" x14ac:dyDescent="0.25">
      <c r="A568">
        <v>2023</v>
      </c>
      <c r="B568" t="s">
        <v>18</v>
      </c>
      <c r="C568" t="s">
        <v>5</v>
      </c>
      <c r="D568">
        <v>1342538</v>
      </c>
    </row>
    <row r="569" spans="1:4" x14ac:dyDescent="0.25">
      <c r="A569">
        <v>2023</v>
      </c>
      <c r="B569" t="s">
        <v>18</v>
      </c>
      <c r="C569" t="s">
        <v>5</v>
      </c>
      <c r="D569">
        <v>5063550</v>
      </c>
    </row>
    <row r="570" spans="1:4" x14ac:dyDescent="0.25">
      <c r="A570">
        <v>2023</v>
      </c>
      <c r="B570" t="s">
        <v>18</v>
      </c>
      <c r="C570" t="s">
        <v>5</v>
      </c>
      <c r="D570">
        <v>1896402</v>
      </c>
    </row>
    <row r="571" spans="1:4" x14ac:dyDescent="0.25">
      <c r="A571">
        <v>2023</v>
      </c>
      <c r="B571" t="s">
        <v>18</v>
      </c>
      <c r="C571" t="s">
        <v>5</v>
      </c>
      <c r="D571">
        <v>899853</v>
      </c>
    </row>
    <row r="572" spans="1:4" x14ac:dyDescent="0.25">
      <c r="A572">
        <v>2023</v>
      </c>
      <c r="B572" t="s">
        <v>18</v>
      </c>
      <c r="C572" t="s">
        <v>5</v>
      </c>
      <c r="D572">
        <v>2093842</v>
      </c>
    </row>
    <row r="573" spans="1:4" x14ac:dyDescent="0.25">
      <c r="A573">
        <v>2023</v>
      </c>
      <c r="B573" t="s">
        <v>18</v>
      </c>
      <c r="C573" t="s">
        <v>5</v>
      </c>
      <c r="D573">
        <v>1589238</v>
      </c>
    </row>
    <row r="574" spans="1:4" x14ac:dyDescent="0.25">
      <c r="A574">
        <v>2023</v>
      </c>
      <c r="B574" t="s">
        <v>18</v>
      </c>
      <c r="C574" t="s">
        <v>5</v>
      </c>
      <c r="D574">
        <v>2511080</v>
      </c>
    </row>
    <row r="575" spans="1:4" x14ac:dyDescent="0.25">
      <c r="A575">
        <v>2023</v>
      </c>
      <c r="B575" t="s">
        <v>18</v>
      </c>
      <c r="C575" t="s">
        <v>5</v>
      </c>
      <c r="D575">
        <v>4262732</v>
      </c>
    </row>
    <row r="576" spans="1:4" x14ac:dyDescent="0.25">
      <c r="A576">
        <v>2023</v>
      </c>
      <c r="B576" t="s">
        <v>18</v>
      </c>
      <c r="C576" t="s">
        <v>5</v>
      </c>
      <c r="D576">
        <v>519800</v>
      </c>
    </row>
    <row r="577" spans="1:4" x14ac:dyDescent="0.25">
      <c r="A577">
        <v>2023</v>
      </c>
      <c r="B577" t="s">
        <v>18</v>
      </c>
      <c r="C577" t="s">
        <v>5</v>
      </c>
      <c r="D577">
        <v>713600</v>
      </c>
    </row>
    <row r="578" spans="1:4" x14ac:dyDescent="0.25">
      <c r="A578">
        <v>2023</v>
      </c>
      <c r="B578" t="s">
        <v>18</v>
      </c>
      <c r="C578" t="s">
        <v>6</v>
      </c>
      <c r="D578">
        <v>80808537</v>
      </c>
    </row>
    <row r="579" spans="1:4" x14ac:dyDescent="0.25">
      <c r="A579">
        <v>2023</v>
      </c>
      <c r="B579" t="s">
        <v>18</v>
      </c>
      <c r="C579" t="s">
        <v>6</v>
      </c>
      <c r="D579">
        <v>15276963</v>
      </c>
    </row>
    <row r="580" spans="1:4" x14ac:dyDescent="0.25">
      <c r="A580">
        <v>2023</v>
      </c>
      <c r="B580" t="s">
        <v>18</v>
      </c>
      <c r="C580" t="s">
        <v>6</v>
      </c>
      <c r="D580">
        <v>166750</v>
      </c>
    </row>
    <row r="581" spans="1:4" x14ac:dyDescent="0.25">
      <c r="A581">
        <v>2023</v>
      </c>
      <c r="B581" t="s">
        <v>18</v>
      </c>
      <c r="C581" t="s">
        <v>6</v>
      </c>
      <c r="D581">
        <v>182750</v>
      </c>
    </row>
    <row r="582" spans="1:4" x14ac:dyDescent="0.25">
      <c r="A582">
        <v>2023</v>
      </c>
      <c r="B582" t="s">
        <v>18</v>
      </c>
      <c r="C582" t="s">
        <v>6</v>
      </c>
      <c r="D582">
        <v>239000</v>
      </c>
    </row>
    <row r="583" spans="1:4" x14ac:dyDescent="0.25">
      <c r="A583">
        <v>2023</v>
      </c>
      <c r="B583" t="s">
        <v>18</v>
      </c>
      <c r="C583" t="s">
        <v>6</v>
      </c>
      <c r="D583">
        <v>913750</v>
      </c>
    </row>
    <row r="584" spans="1:4" x14ac:dyDescent="0.25">
      <c r="A584">
        <v>2023</v>
      </c>
      <c r="B584" t="s">
        <v>18</v>
      </c>
      <c r="C584" t="s">
        <v>6</v>
      </c>
      <c r="D584">
        <v>799250</v>
      </c>
    </row>
    <row r="585" spans="1:4" x14ac:dyDescent="0.25">
      <c r="A585">
        <v>2023</v>
      </c>
      <c r="B585" t="s">
        <v>18</v>
      </c>
      <c r="C585" t="s">
        <v>19</v>
      </c>
      <c r="D585">
        <v>50000</v>
      </c>
    </row>
    <row r="586" spans="1:4" x14ac:dyDescent="0.25">
      <c r="A586">
        <v>2023</v>
      </c>
      <c r="B586" t="s">
        <v>18</v>
      </c>
      <c r="C586" t="s">
        <v>8</v>
      </c>
      <c r="D586">
        <v>3974454</v>
      </c>
    </row>
    <row r="587" spans="1:4" x14ac:dyDescent="0.25">
      <c r="A587">
        <v>2023</v>
      </c>
      <c r="B587" t="s">
        <v>18</v>
      </c>
      <c r="C587" t="s">
        <v>8</v>
      </c>
      <c r="D587">
        <v>1005546</v>
      </c>
    </row>
    <row r="588" spans="1:4" x14ac:dyDescent="0.25">
      <c r="A588">
        <v>2023</v>
      </c>
      <c r="B588" t="s">
        <v>18</v>
      </c>
      <c r="C588" t="s">
        <v>8</v>
      </c>
      <c r="D588">
        <v>300000</v>
      </c>
    </row>
    <row r="589" spans="1:4" x14ac:dyDescent="0.25">
      <c r="A589">
        <v>2023</v>
      </c>
      <c r="B589" t="s">
        <v>20</v>
      </c>
      <c r="C589" t="s">
        <v>5</v>
      </c>
      <c r="D589">
        <v>119214000</v>
      </c>
    </row>
    <row r="590" spans="1:4" x14ac:dyDescent="0.25">
      <c r="A590">
        <v>2023</v>
      </c>
      <c r="B590" t="s">
        <v>20</v>
      </c>
      <c r="C590" t="s">
        <v>6</v>
      </c>
      <c r="D590">
        <v>12000000</v>
      </c>
    </row>
    <row r="591" spans="1:4" x14ac:dyDescent="0.25">
      <c r="A591">
        <v>2023</v>
      </c>
      <c r="B591" t="s">
        <v>20</v>
      </c>
      <c r="C591" t="s">
        <v>8</v>
      </c>
      <c r="D591">
        <v>2500000</v>
      </c>
    </row>
    <row r="592" spans="1:4" x14ac:dyDescent="0.25">
      <c r="A592">
        <v>2023</v>
      </c>
      <c r="B592" t="s">
        <v>21</v>
      </c>
      <c r="C592" t="s">
        <v>5</v>
      </c>
      <c r="D592">
        <v>2351600</v>
      </c>
    </row>
    <row r="593" spans="1:4" x14ac:dyDescent="0.25">
      <c r="A593">
        <v>2023</v>
      </c>
      <c r="B593" t="s">
        <v>21</v>
      </c>
      <c r="C593" t="s">
        <v>5</v>
      </c>
      <c r="D593">
        <v>70903812</v>
      </c>
    </row>
    <row r="594" spans="1:4" x14ac:dyDescent="0.25">
      <c r="A594">
        <v>2023</v>
      </c>
      <c r="B594" t="s">
        <v>21</v>
      </c>
      <c r="C594" t="s">
        <v>5</v>
      </c>
      <c r="D594">
        <v>230591104</v>
      </c>
    </row>
    <row r="595" spans="1:4" x14ac:dyDescent="0.25">
      <c r="A595">
        <v>2023</v>
      </c>
      <c r="B595" t="s">
        <v>21</v>
      </c>
      <c r="C595" t="s">
        <v>5</v>
      </c>
      <c r="D595">
        <v>40151100</v>
      </c>
    </row>
    <row r="596" spans="1:4" x14ac:dyDescent="0.25">
      <c r="A596">
        <v>2023</v>
      </c>
      <c r="B596" t="s">
        <v>21</v>
      </c>
      <c r="C596" t="s">
        <v>5</v>
      </c>
      <c r="D596">
        <v>24539160</v>
      </c>
    </row>
    <row r="597" spans="1:4" x14ac:dyDescent="0.25">
      <c r="A597">
        <v>2023</v>
      </c>
      <c r="B597" t="s">
        <v>21</v>
      </c>
      <c r="C597" t="s">
        <v>5</v>
      </c>
      <c r="D597">
        <v>21565584</v>
      </c>
    </row>
    <row r="598" spans="1:4" x14ac:dyDescent="0.25">
      <c r="A598">
        <v>2023</v>
      </c>
      <c r="B598" t="s">
        <v>21</v>
      </c>
      <c r="C598" t="s">
        <v>5</v>
      </c>
      <c r="D598">
        <v>30532884</v>
      </c>
    </row>
    <row r="599" spans="1:4" x14ac:dyDescent="0.25">
      <c r="A599">
        <v>2023</v>
      </c>
      <c r="B599" t="s">
        <v>21</v>
      </c>
      <c r="C599" t="s">
        <v>5</v>
      </c>
      <c r="D599">
        <v>11215308</v>
      </c>
    </row>
    <row r="600" spans="1:4" x14ac:dyDescent="0.25">
      <c r="A600">
        <v>2023</v>
      </c>
      <c r="B600" t="s">
        <v>21</v>
      </c>
      <c r="C600" t="s">
        <v>5</v>
      </c>
      <c r="D600">
        <v>26074248</v>
      </c>
    </row>
    <row r="601" spans="1:4" x14ac:dyDescent="0.25">
      <c r="A601">
        <v>2023</v>
      </c>
      <c r="B601" t="s">
        <v>21</v>
      </c>
      <c r="C601" t="s">
        <v>5</v>
      </c>
      <c r="D601">
        <v>3262200</v>
      </c>
    </row>
    <row r="602" spans="1:4" x14ac:dyDescent="0.25">
      <c r="A602">
        <v>2023</v>
      </c>
      <c r="B602" t="s">
        <v>21</v>
      </c>
      <c r="C602" t="s">
        <v>6</v>
      </c>
      <c r="D602">
        <v>23832104</v>
      </c>
    </row>
    <row r="603" spans="1:4" x14ac:dyDescent="0.25">
      <c r="A603">
        <v>2023</v>
      </c>
      <c r="B603" t="s">
        <v>21</v>
      </c>
      <c r="C603" t="s">
        <v>6</v>
      </c>
      <c r="D603">
        <v>84259276</v>
      </c>
    </row>
    <row r="604" spans="1:4" x14ac:dyDescent="0.25">
      <c r="A604">
        <v>2023</v>
      </c>
      <c r="B604" t="s">
        <v>21</v>
      </c>
      <c r="C604" t="s">
        <v>6</v>
      </c>
      <c r="D604">
        <v>2180140</v>
      </c>
    </row>
    <row r="605" spans="1:4" x14ac:dyDescent="0.25">
      <c r="A605">
        <v>2023</v>
      </c>
      <c r="B605" t="s">
        <v>21</v>
      </c>
      <c r="C605" t="s">
        <v>6</v>
      </c>
      <c r="D605">
        <v>374710</v>
      </c>
    </row>
    <row r="606" spans="1:4" x14ac:dyDescent="0.25">
      <c r="A606">
        <v>2023</v>
      </c>
      <c r="B606" t="s">
        <v>21</v>
      </c>
      <c r="C606" t="s">
        <v>6</v>
      </c>
      <c r="D606">
        <v>374710</v>
      </c>
    </row>
    <row r="607" spans="1:4" x14ac:dyDescent="0.25">
      <c r="A607">
        <v>2023</v>
      </c>
      <c r="B607" t="s">
        <v>21</v>
      </c>
      <c r="C607" t="s">
        <v>6</v>
      </c>
      <c r="D607">
        <v>374710</v>
      </c>
    </row>
    <row r="608" spans="1:4" x14ac:dyDescent="0.25">
      <c r="A608">
        <v>2023</v>
      </c>
      <c r="B608" t="s">
        <v>21</v>
      </c>
      <c r="C608" t="s">
        <v>6</v>
      </c>
      <c r="D608">
        <v>49350</v>
      </c>
    </row>
    <row r="609" spans="1:4" x14ac:dyDescent="0.25">
      <c r="A609">
        <v>2023</v>
      </c>
      <c r="B609" t="s">
        <v>21</v>
      </c>
      <c r="C609" t="s">
        <v>19</v>
      </c>
      <c r="D609">
        <v>734000</v>
      </c>
    </row>
    <row r="610" spans="1:4" x14ac:dyDescent="0.25">
      <c r="A610">
        <v>2023</v>
      </c>
      <c r="B610" t="s">
        <v>21</v>
      </c>
      <c r="C610" t="s">
        <v>8</v>
      </c>
      <c r="D610">
        <v>56815000</v>
      </c>
    </row>
    <row r="611" spans="1:4" x14ac:dyDescent="0.25">
      <c r="A611">
        <v>2023</v>
      </c>
      <c r="B611" t="s">
        <v>54</v>
      </c>
      <c r="C611" t="s">
        <v>5</v>
      </c>
      <c r="D611">
        <v>4936000</v>
      </c>
    </row>
    <row r="612" spans="1:4" x14ac:dyDescent="0.25">
      <c r="A612">
        <v>2023</v>
      </c>
      <c r="B612" t="s">
        <v>54</v>
      </c>
      <c r="C612" t="s">
        <v>6</v>
      </c>
      <c r="D612">
        <v>190000</v>
      </c>
    </row>
    <row r="613" spans="1:4" x14ac:dyDescent="0.25">
      <c r="A613">
        <v>2023</v>
      </c>
      <c r="B613" t="s">
        <v>22</v>
      </c>
      <c r="C613" t="s">
        <v>5</v>
      </c>
      <c r="D613">
        <v>18810696</v>
      </c>
    </row>
    <row r="614" spans="1:4" x14ac:dyDescent="0.25">
      <c r="A614">
        <v>2023</v>
      </c>
      <c r="B614" t="s">
        <v>22</v>
      </c>
      <c r="C614" t="s">
        <v>5</v>
      </c>
      <c r="D614">
        <v>311961500</v>
      </c>
    </row>
    <row r="615" spans="1:4" x14ac:dyDescent="0.25">
      <c r="A615">
        <v>2023</v>
      </c>
      <c r="B615" t="s">
        <v>22</v>
      </c>
      <c r="C615" t="s">
        <v>5</v>
      </c>
      <c r="D615">
        <v>4432044</v>
      </c>
    </row>
    <row r="616" spans="1:4" x14ac:dyDescent="0.25">
      <c r="A616">
        <v>2023</v>
      </c>
      <c r="B616" t="s">
        <v>22</v>
      </c>
      <c r="C616" t="s">
        <v>5</v>
      </c>
      <c r="D616">
        <v>238644408</v>
      </c>
    </row>
    <row r="617" spans="1:4" x14ac:dyDescent="0.25">
      <c r="A617">
        <v>2023</v>
      </c>
      <c r="B617" t="s">
        <v>22</v>
      </c>
      <c r="C617" t="s">
        <v>5</v>
      </c>
      <c r="D617">
        <v>93394824</v>
      </c>
    </row>
    <row r="618" spans="1:4" x14ac:dyDescent="0.25">
      <c r="A618">
        <v>2023</v>
      </c>
      <c r="B618" t="s">
        <v>22</v>
      </c>
      <c r="C618" t="s">
        <v>5</v>
      </c>
      <c r="D618">
        <v>86135528</v>
      </c>
    </row>
    <row r="619" spans="1:4" x14ac:dyDescent="0.25">
      <c r="A619">
        <v>2023</v>
      </c>
      <c r="B619" t="s">
        <v>22</v>
      </c>
      <c r="C619" t="s">
        <v>5</v>
      </c>
      <c r="D619">
        <v>1106100</v>
      </c>
    </row>
    <row r="620" spans="1:4" x14ac:dyDescent="0.25">
      <c r="A620">
        <v>2023</v>
      </c>
      <c r="B620" t="s">
        <v>22</v>
      </c>
      <c r="C620" t="s">
        <v>5</v>
      </c>
      <c r="D620">
        <v>30291900</v>
      </c>
    </row>
    <row r="621" spans="1:4" x14ac:dyDescent="0.25">
      <c r="A621">
        <v>2023</v>
      </c>
      <c r="B621" t="s">
        <v>22</v>
      </c>
      <c r="C621" t="s">
        <v>6</v>
      </c>
      <c r="D621">
        <v>90152400</v>
      </c>
    </row>
    <row r="622" spans="1:4" x14ac:dyDescent="0.25">
      <c r="A622">
        <v>2023</v>
      </c>
      <c r="B622" t="s">
        <v>22</v>
      </c>
      <c r="C622" t="s">
        <v>6</v>
      </c>
      <c r="D622">
        <v>11361600</v>
      </c>
    </row>
    <row r="623" spans="1:4" x14ac:dyDescent="0.25">
      <c r="A623">
        <v>2023</v>
      </c>
      <c r="B623" t="s">
        <v>22</v>
      </c>
      <c r="C623" t="s">
        <v>6</v>
      </c>
      <c r="D623">
        <v>2370000</v>
      </c>
    </row>
    <row r="624" spans="1:4" x14ac:dyDescent="0.25">
      <c r="A624">
        <v>2023</v>
      </c>
      <c r="B624" t="s">
        <v>22</v>
      </c>
      <c r="C624" t="s">
        <v>19</v>
      </c>
      <c r="D624">
        <v>120000</v>
      </c>
    </row>
    <row r="625" spans="1:4" x14ac:dyDescent="0.25">
      <c r="A625">
        <v>2023</v>
      </c>
      <c r="B625" t="s">
        <v>22</v>
      </c>
      <c r="C625" t="s">
        <v>8</v>
      </c>
      <c r="D625">
        <v>1755000</v>
      </c>
    </row>
    <row r="626" spans="1:4" x14ac:dyDescent="0.25">
      <c r="A626">
        <v>2023</v>
      </c>
      <c r="B626" t="s">
        <v>22</v>
      </c>
      <c r="C626" t="s">
        <v>8</v>
      </c>
      <c r="D626">
        <v>250000</v>
      </c>
    </row>
    <row r="627" spans="1:4" x14ac:dyDescent="0.25">
      <c r="A627">
        <v>2023</v>
      </c>
      <c r="B627" t="s">
        <v>22</v>
      </c>
      <c r="C627" t="s">
        <v>8</v>
      </c>
      <c r="D627">
        <v>1000000</v>
      </c>
    </row>
    <row r="628" spans="1:4" x14ac:dyDescent="0.25">
      <c r="A628">
        <v>2023</v>
      </c>
      <c r="B628" t="s">
        <v>22</v>
      </c>
      <c r="C628" t="s">
        <v>8</v>
      </c>
      <c r="D628">
        <v>2501000</v>
      </c>
    </row>
    <row r="629" spans="1:4" x14ac:dyDescent="0.25">
      <c r="A629">
        <v>2023</v>
      </c>
      <c r="B629" t="s">
        <v>23</v>
      </c>
      <c r="C629" t="s">
        <v>5</v>
      </c>
      <c r="D629">
        <v>4052635</v>
      </c>
    </row>
    <row r="630" spans="1:4" x14ac:dyDescent="0.25">
      <c r="A630">
        <v>2023</v>
      </c>
      <c r="B630" t="s">
        <v>23</v>
      </c>
      <c r="C630" t="s">
        <v>5</v>
      </c>
      <c r="D630">
        <v>18879792</v>
      </c>
    </row>
    <row r="631" spans="1:4" x14ac:dyDescent="0.25">
      <c r="A631">
        <v>2023</v>
      </c>
      <c r="B631" t="s">
        <v>23</v>
      </c>
      <c r="C631" t="s">
        <v>5</v>
      </c>
      <c r="D631">
        <v>117209477</v>
      </c>
    </row>
    <row r="632" spans="1:4" x14ac:dyDescent="0.25">
      <c r="A632">
        <v>2023</v>
      </c>
      <c r="B632" t="s">
        <v>23</v>
      </c>
      <c r="C632" t="s">
        <v>5</v>
      </c>
      <c r="D632">
        <v>13824252</v>
      </c>
    </row>
    <row r="633" spans="1:4" x14ac:dyDescent="0.25">
      <c r="A633">
        <v>2023</v>
      </c>
      <c r="B633" t="s">
        <v>23</v>
      </c>
      <c r="C633" t="s">
        <v>5</v>
      </c>
      <c r="D633">
        <v>2633196</v>
      </c>
    </row>
    <row r="634" spans="1:4" x14ac:dyDescent="0.25">
      <c r="A634">
        <v>2023</v>
      </c>
      <c r="B634" t="s">
        <v>23</v>
      </c>
      <c r="C634" t="s">
        <v>5</v>
      </c>
      <c r="D634">
        <v>13903560</v>
      </c>
    </row>
    <row r="635" spans="1:4" x14ac:dyDescent="0.25">
      <c r="A635">
        <v>2023</v>
      </c>
      <c r="B635" t="s">
        <v>23</v>
      </c>
      <c r="C635" t="s">
        <v>5</v>
      </c>
      <c r="D635">
        <v>11103060</v>
      </c>
    </row>
    <row r="636" spans="1:4" x14ac:dyDescent="0.25">
      <c r="A636">
        <v>2023</v>
      </c>
      <c r="B636" t="s">
        <v>23</v>
      </c>
      <c r="C636" t="s">
        <v>5</v>
      </c>
      <c r="D636">
        <v>5720100</v>
      </c>
    </row>
    <row r="637" spans="1:4" x14ac:dyDescent="0.25">
      <c r="A637">
        <v>2023</v>
      </c>
      <c r="B637" t="s">
        <v>23</v>
      </c>
      <c r="C637" t="s">
        <v>5</v>
      </c>
      <c r="D637">
        <v>494928</v>
      </c>
    </row>
    <row r="638" spans="1:4" x14ac:dyDescent="0.25">
      <c r="A638">
        <v>2023</v>
      </c>
      <c r="B638" t="s">
        <v>23</v>
      </c>
      <c r="C638" t="s">
        <v>6</v>
      </c>
      <c r="D638">
        <v>35000</v>
      </c>
    </row>
    <row r="639" spans="1:4" x14ac:dyDescent="0.25">
      <c r="A639">
        <v>2023</v>
      </c>
      <c r="B639" t="s">
        <v>23</v>
      </c>
      <c r="C639" t="s">
        <v>6</v>
      </c>
      <c r="D639">
        <v>83393000</v>
      </c>
    </row>
    <row r="640" spans="1:4" x14ac:dyDescent="0.25">
      <c r="A640">
        <v>2023</v>
      </c>
      <c r="B640" t="s">
        <v>23</v>
      </c>
      <c r="C640" t="s">
        <v>6</v>
      </c>
      <c r="D640">
        <v>4328000</v>
      </c>
    </row>
    <row r="641" spans="1:4" x14ac:dyDescent="0.25">
      <c r="A641">
        <v>2023</v>
      </c>
      <c r="B641" t="s">
        <v>23</v>
      </c>
      <c r="C641" t="s">
        <v>6</v>
      </c>
      <c r="D641">
        <v>5000</v>
      </c>
    </row>
    <row r="642" spans="1:4" x14ac:dyDescent="0.25">
      <c r="A642">
        <v>2023</v>
      </c>
      <c r="B642" t="s">
        <v>23</v>
      </c>
      <c r="C642" t="s">
        <v>6</v>
      </c>
      <c r="D642">
        <v>5000</v>
      </c>
    </row>
    <row r="643" spans="1:4" x14ac:dyDescent="0.25">
      <c r="A643">
        <v>2023</v>
      </c>
      <c r="B643" t="s">
        <v>23</v>
      </c>
      <c r="C643" t="s">
        <v>6</v>
      </c>
      <c r="D643">
        <v>752000</v>
      </c>
    </row>
    <row r="644" spans="1:4" x14ac:dyDescent="0.25">
      <c r="A644">
        <v>2023</v>
      </c>
      <c r="B644" t="s">
        <v>23</v>
      </c>
      <c r="C644" t="s">
        <v>7</v>
      </c>
      <c r="D644">
        <v>11780000</v>
      </c>
    </row>
    <row r="645" spans="1:4" x14ac:dyDescent="0.25">
      <c r="A645">
        <v>2023</v>
      </c>
      <c r="B645" t="s">
        <v>23</v>
      </c>
      <c r="C645" t="s">
        <v>19</v>
      </c>
      <c r="D645">
        <v>10000</v>
      </c>
    </row>
    <row r="646" spans="1:4" x14ac:dyDescent="0.25">
      <c r="A646">
        <v>2023</v>
      </c>
      <c r="B646" t="s">
        <v>23</v>
      </c>
      <c r="C646" t="s">
        <v>8</v>
      </c>
      <c r="D646">
        <v>6220000</v>
      </c>
    </row>
    <row r="647" spans="1:4" x14ac:dyDescent="0.25">
      <c r="A647">
        <v>2023</v>
      </c>
      <c r="B647" t="s">
        <v>23</v>
      </c>
      <c r="C647" t="s">
        <v>8</v>
      </c>
      <c r="D647">
        <v>900000</v>
      </c>
    </row>
    <row r="648" spans="1:4" x14ac:dyDescent="0.25">
      <c r="A648">
        <v>2023</v>
      </c>
      <c r="B648" t="s">
        <v>24</v>
      </c>
      <c r="C648" t="s">
        <v>5</v>
      </c>
      <c r="D648">
        <v>468956</v>
      </c>
    </row>
    <row r="649" spans="1:4" x14ac:dyDescent="0.25">
      <c r="A649">
        <v>2023</v>
      </c>
      <c r="B649" t="s">
        <v>24</v>
      </c>
      <c r="C649" t="s">
        <v>5</v>
      </c>
      <c r="D649">
        <v>27695460</v>
      </c>
    </row>
    <row r="650" spans="1:4" x14ac:dyDescent="0.25">
      <c r="A650">
        <v>2023</v>
      </c>
      <c r="B650" t="s">
        <v>24</v>
      </c>
      <c r="C650" t="s">
        <v>5</v>
      </c>
      <c r="D650">
        <v>115286204</v>
      </c>
    </row>
    <row r="651" spans="1:4" x14ac:dyDescent="0.25">
      <c r="A651">
        <v>2023</v>
      </c>
      <c r="B651" t="s">
        <v>24</v>
      </c>
      <c r="C651" t="s">
        <v>5</v>
      </c>
      <c r="D651">
        <v>10101600</v>
      </c>
    </row>
    <row r="652" spans="1:4" x14ac:dyDescent="0.25">
      <c r="A652">
        <v>2023</v>
      </c>
      <c r="B652" t="s">
        <v>24</v>
      </c>
      <c r="C652" t="s">
        <v>5</v>
      </c>
      <c r="D652">
        <v>15989852</v>
      </c>
    </row>
    <row r="653" spans="1:4" x14ac:dyDescent="0.25">
      <c r="A653">
        <v>2023</v>
      </c>
      <c r="B653" t="s">
        <v>24</v>
      </c>
      <c r="C653" t="s">
        <v>5</v>
      </c>
      <c r="D653">
        <v>29068988</v>
      </c>
    </row>
    <row r="654" spans="1:4" x14ac:dyDescent="0.25">
      <c r="A654">
        <v>2023</v>
      </c>
      <c r="B654" t="s">
        <v>24</v>
      </c>
      <c r="C654" t="s">
        <v>5</v>
      </c>
      <c r="D654">
        <v>28549988</v>
      </c>
    </row>
    <row r="655" spans="1:4" x14ac:dyDescent="0.25">
      <c r="A655">
        <v>2023</v>
      </c>
      <c r="B655" t="s">
        <v>24</v>
      </c>
      <c r="C655" t="s">
        <v>5</v>
      </c>
      <c r="D655">
        <v>9200952</v>
      </c>
    </row>
    <row r="656" spans="1:4" x14ac:dyDescent="0.25">
      <c r="A656">
        <v>2023</v>
      </c>
      <c r="B656" t="s">
        <v>24</v>
      </c>
      <c r="C656" t="s">
        <v>6</v>
      </c>
      <c r="D656">
        <v>1377000</v>
      </c>
    </row>
    <row r="657" spans="1:4" x14ac:dyDescent="0.25">
      <c r="A657">
        <v>2023</v>
      </c>
      <c r="B657" t="s">
        <v>24</v>
      </c>
      <c r="C657" t="s">
        <v>6</v>
      </c>
      <c r="D657">
        <v>42858000</v>
      </c>
    </row>
    <row r="658" spans="1:4" x14ac:dyDescent="0.25">
      <c r="A658">
        <v>2023</v>
      </c>
      <c r="B658" t="s">
        <v>24</v>
      </c>
      <c r="C658" t="s">
        <v>6</v>
      </c>
      <c r="D658">
        <v>3885000</v>
      </c>
    </row>
    <row r="659" spans="1:4" x14ac:dyDescent="0.25">
      <c r="A659">
        <v>2023</v>
      </c>
      <c r="B659" t="s">
        <v>24</v>
      </c>
      <c r="C659" t="s">
        <v>6</v>
      </c>
      <c r="D659">
        <v>991000</v>
      </c>
    </row>
    <row r="660" spans="1:4" x14ac:dyDescent="0.25">
      <c r="A660">
        <v>2023</v>
      </c>
      <c r="B660" t="s">
        <v>24</v>
      </c>
      <c r="C660" t="s">
        <v>6</v>
      </c>
      <c r="D660">
        <v>608000</v>
      </c>
    </row>
    <row r="661" spans="1:4" x14ac:dyDescent="0.25">
      <c r="A661">
        <v>2023</v>
      </c>
      <c r="B661" t="s">
        <v>24</v>
      </c>
      <c r="C661" t="s">
        <v>6</v>
      </c>
      <c r="D661">
        <v>635000</v>
      </c>
    </row>
    <row r="662" spans="1:4" x14ac:dyDescent="0.25">
      <c r="A662">
        <v>2023</v>
      </c>
      <c r="B662" t="s">
        <v>24</v>
      </c>
      <c r="C662" t="s">
        <v>6</v>
      </c>
      <c r="D662">
        <v>172000</v>
      </c>
    </row>
    <row r="663" spans="1:4" x14ac:dyDescent="0.25">
      <c r="A663">
        <v>2023</v>
      </c>
      <c r="B663" t="s">
        <v>24</v>
      </c>
      <c r="C663" t="s">
        <v>7</v>
      </c>
      <c r="D663">
        <v>995539000</v>
      </c>
    </row>
    <row r="664" spans="1:4" x14ac:dyDescent="0.25">
      <c r="A664">
        <v>2023</v>
      </c>
      <c r="B664" t="s">
        <v>24</v>
      </c>
      <c r="C664" t="s">
        <v>7</v>
      </c>
      <c r="D664">
        <v>529250000</v>
      </c>
    </row>
    <row r="665" spans="1:4" x14ac:dyDescent="0.25">
      <c r="A665">
        <v>2023</v>
      </c>
      <c r="B665" t="s">
        <v>24</v>
      </c>
      <c r="C665" t="s">
        <v>7</v>
      </c>
      <c r="D665">
        <v>473140000</v>
      </c>
    </row>
    <row r="666" spans="1:4" x14ac:dyDescent="0.25">
      <c r="A666">
        <v>2023</v>
      </c>
      <c r="B666" t="s">
        <v>24</v>
      </c>
      <c r="C666" t="s">
        <v>7</v>
      </c>
      <c r="D666">
        <v>156380000</v>
      </c>
    </row>
    <row r="667" spans="1:4" x14ac:dyDescent="0.25">
      <c r="A667">
        <v>2023</v>
      </c>
      <c r="B667" t="s">
        <v>24</v>
      </c>
      <c r="C667" t="s">
        <v>7</v>
      </c>
      <c r="D667">
        <v>344730000</v>
      </c>
    </row>
    <row r="668" spans="1:4" x14ac:dyDescent="0.25">
      <c r="A668">
        <v>2023</v>
      </c>
      <c r="B668" t="s">
        <v>24</v>
      </c>
      <c r="C668" t="s">
        <v>7</v>
      </c>
      <c r="D668">
        <v>352012000</v>
      </c>
    </row>
    <row r="669" spans="1:4" x14ac:dyDescent="0.25">
      <c r="A669">
        <v>2023</v>
      </c>
      <c r="B669" t="s">
        <v>24</v>
      </c>
      <c r="C669" t="s">
        <v>7</v>
      </c>
      <c r="D669">
        <v>69957000</v>
      </c>
    </row>
    <row r="670" spans="1:4" x14ac:dyDescent="0.25">
      <c r="A670">
        <v>2023</v>
      </c>
      <c r="B670" t="s">
        <v>24</v>
      </c>
      <c r="C670" t="s">
        <v>19</v>
      </c>
      <c r="D670">
        <v>40000</v>
      </c>
    </row>
    <row r="671" spans="1:4" x14ac:dyDescent="0.25">
      <c r="A671">
        <v>2023</v>
      </c>
      <c r="B671" t="s">
        <v>24</v>
      </c>
      <c r="C671" t="s">
        <v>8</v>
      </c>
      <c r="D671">
        <v>3070000</v>
      </c>
    </row>
    <row r="672" spans="1:4" x14ac:dyDescent="0.25">
      <c r="A672">
        <v>2023</v>
      </c>
      <c r="B672" t="s">
        <v>24</v>
      </c>
      <c r="C672" t="s">
        <v>8</v>
      </c>
      <c r="D672">
        <v>6060000</v>
      </c>
    </row>
    <row r="673" spans="1:4" x14ac:dyDescent="0.25">
      <c r="A673">
        <v>2023</v>
      </c>
      <c r="B673" t="s">
        <v>25</v>
      </c>
      <c r="C673" t="s">
        <v>5</v>
      </c>
      <c r="D673">
        <v>793996</v>
      </c>
    </row>
    <row r="674" spans="1:4" x14ac:dyDescent="0.25">
      <c r="A674">
        <v>2023</v>
      </c>
      <c r="B674" t="s">
        <v>25</v>
      </c>
      <c r="C674" t="s">
        <v>5</v>
      </c>
      <c r="D674">
        <v>19886976</v>
      </c>
    </row>
    <row r="675" spans="1:4" x14ac:dyDescent="0.25">
      <c r="A675">
        <v>2023</v>
      </c>
      <c r="B675" t="s">
        <v>25</v>
      </c>
      <c r="C675" t="s">
        <v>5</v>
      </c>
      <c r="D675">
        <v>6068028</v>
      </c>
    </row>
    <row r="676" spans="1:4" x14ac:dyDescent="0.25">
      <c r="A676">
        <v>2023</v>
      </c>
      <c r="B676" t="s">
        <v>25</v>
      </c>
      <c r="C676" t="s">
        <v>6</v>
      </c>
      <c r="D676">
        <v>48460000</v>
      </c>
    </row>
    <row r="677" spans="1:4" x14ac:dyDescent="0.25">
      <c r="A677">
        <v>2023</v>
      </c>
      <c r="B677" t="s">
        <v>25</v>
      </c>
      <c r="C677" t="s">
        <v>6</v>
      </c>
      <c r="D677">
        <v>2379000</v>
      </c>
    </row>
    <row r="678" spans="1:4" x14ac:dyDescent="0.25">
      <c r="A678">
        <v>2023</v>
      </c>
      <c r="B678" t="s">
        <v>25</v>
      </c>
      <c r="C678" t="s">
        <v>8</v>
      </c>
      <c r="D678">
        <v>13555000</v>
      </c>
    </row>
    <row r="679" spans="1:4" x14ac:dyDescent="0.25">
      <c r="A679">
        <v>2023</v>
      </c>
      <c r="B679" t="s">
        <v>26</v>
      </c>
      <c r="C679" t="s">
        <v>5</v>
      </c>
      <c r="D679">
        <v>5068000</v>
      </c>
    </row>
    <row r="680" spans="1:4" x14ac:dyDescent="0.25">
      <c r="A680">
        <v>2023</v>
      </c>
      <c r="B680" t="s">
        <v>26</v>
      </c>
      <c r="C680" t="s">
        <v>6</v>
      </c>
      <c r="D680">
        <v>627000</v>
      </c>
    </row>
    <row r="681" spans="1:4" x14ac:dyDescent="0.25">
      <c r="A681">
        <v>2023</v>
      </c>
      <c r="B681" t="s">
        <v>28</v>
      </c>
      <c r="C681" t="s">
        <v>6</v>
      </c>
      <c r="D681">
        <v>700000</v>
      </c>
    </row>
    <row r="682" spans="1:4" x14ac:dyDescent="0.25">
      <c r="A682">
        <v>2023</v>
      </c>
      <c r="B682" t="s">
        <v>28</v>
      </c>
      <c r="C682" t="s">
        <v>29</v>
      </c>
      <c r="D682">
        <v>1515675000</v>
      </c>
    </row>
    <row r="683" spans="1:4" x14ac:dyDescent="0.25">
      <c r="A683">
        <v>2023</v>
      </c>
      <c r="B683" t="s">
        <v>28</v>
      </c>
      <c r="C683" t="s">
        <v>30</v>
      </c>
      <c r="D683">
        <v>1920642000</v>
      </c>
    </row>
    <row r="684" spans="1:4" x14ac:dyDescent="0.25">
      <c r="A684">
        <v>2023</v>
      </c>
      <c r="B684" t="s">
        <v>28</v>
      </c>
      <c r="C684" t="s">
        <v>31</v>
      </c>
      <c r="D684">
        <v>5068600000</v>
      </c>
    </row>
    <row r="685" spans="1:4" x14ac:dyDescent="0.25">
      <c r="A685">
        <v>2023</v>
      </c>
      <c r="B685" t="s">
        <v>28</v>
      </c>
      <c r="C685" t="s">
        <v>19</v>
      </c>
      <c r="D685">
        <v>7625907000</v>
      </c>
    </row>
    <row r="686" spans="1:4" x14ac:dyDescent="0.25">
      <c r="A686">
        <v>2023</v>
      </c>
      <c r="B686" t="s">
        <v>28</v>
      </c>
      <c r="C686" t="s">
        <v>8</v>
      </c>
      <c r="D686">
        <v>2146435000</v>
      </c>
    </row>
    <row r="687" spans="1:4" x14ac:dyDescent="0.25">
      <c r="A687">
        <v>2023</v>
      </c>
      <c r="B687" t="s">
        <v>55</v>
      </c>
      <c r="C687" t="s">
        <v>5</v>
      </c>
      <c r="D687">
        <v>19974000</v>
      </c>
    </row>
    <row r="688" spans="1:4" x14ac:dyDescent="0.25">
      <c r="A688">
        <v>2023</v>
      </c>
      <c r="B688" t="s">
        <v>55</v>
      </c>
      <c r="C688" t="s">
        <v>6</v>
      </c>
      <c r="D688">
        <v>2540000</v>
      </c>
    </row>
    <row r="689" spans="1:4" x14ac:dyDescent="0.25">
      <c r="A689">
        <v>2023</v>
      </c>
      <c r="B689" t="s">
        <v>55</v>
      </c>
      <c r="C689" t="s">
        <v>8</v>
      </c>
      <c r="D689">
        <v>2245000</v>
      </c>
    </row>
    <row r="690" spans="1:4" x14ac:dyDescent="0.25">
      <c r="A690">
        <v>2023</v>
      </c>
      <c r="B690" t="s">
        <v>32</v>
      </c>
      <c r="C690" t="s">
        <v>5</v>
      </c>
      <c r="D690">
        <v>18687000</v>
      </c>
    </row>
    <row r="691" spans="1:4" x14ac:dyDescent="0.25">
      <c r="A691">
        <v>2023</v>
      </c>
      <c r="B691" t="s">
        <v>32</v>
      </c>
      <c r="C691" t="s">
        <v>6</v>
      </c>
      <c r="D691">
        <v>6958000</v>
      </c>
    </row>
    <row r="692" spans="1:4" x14ac:dyDescent="0.25">
      <c r="A692">
        <v>2023</v>
      </c>
      <c r="B692" t="s">
        <v>32</v>
      </c>
      <c r="C692" t="s">
        <v>19</v>
      </c>
      <c r="D692">
        <v>9000</v>
      </c>
    </row>
    <row r="693" spans="1:4" x14ac:dyDescent="0.25">
      <c r="A693">
        <v>2023</v>
      </c>
      <c r="B693" t="s">
        <v>32</v>
      </c>
      <c r="C693" t="s">
        <v>8</v>
      </c>
      <c r="D693">
        <v>900000</v>
      </c>
    </row>
    <row r="694" spans="1:4" x14ac:dyDescent="0.25">
      <c r="A694">
        <v>2023</v>
      </c>
      <c r="B694" t="s">
        <v>33</v>
      </c>
      <c r="C694" t="s">
        <v>5</v>
      </c>
      <c r="D694">
        <v>39358537</v>
      </c>
    </row>
    <row r="695" spans="1:4" x14ac:dyDescent="0.25">
      <c r="A695">
        <v>2023</v>
      </c>
      <c r="B695" t="s">
        <v>33</v>
      </c>
      <c r="C695" t="s">
        <v>5</v>
      </c>
      <c r="D695">
        <v>3652680</v>
      </c>
    </row>
    <row r="696" spans="1:4" x14ac:dyDescent="0.25">
      <c r="A696">
        <v>2023</v>
      </c>
      <c r="B696" t="s">
        <v>33</v>
      </c>
      <c r="C696" t="s">
        <v>5</v>
      </c>
      <c r="D696">
        <v>1261103467</v>
      </c>
    </row>
    <row r="697" spans="1:4" x14ac:dyDescent="0.25">
      <c r="A697">
        <v>2023</v>
      </c>
      <c r="B697" t="s">
        <v>33</v>
      </c>
      <c r="C697" t="s">
        <v>5</v>
      </c>
      <c r="D697">
        <v>1016807040</v>
      </c>
    </row>
    <row r="698" spans="1:4" x14ac:dyDescent="0.25">
      <c r="A698">
        <v>2023</v>
      </c>
      <c r="B698" t="s">
        <v>33</v>
      </c>
      <c r="C698" t="s">
        <v>5</v>
      </c>
      <c r="D698">
        <v>343354068</v>
      </c>
    </row>
    <row r="699" spans="1:4" x14ac:dyDescent="0.25">
      <c r="A699">
        <v>2023</v>
      </c>
      <c r="B699" t="s">
        <v>33</v>
      </c>
      <c r="C699" t="s">
        <v>5</v>
      </c>
      <c r="D699">
        <v>620545212</v>
      </c>
    </row>
    <row r="700" spans="1:4" x14ac:dyDescent="0.25">
      <c r="A700">
        <v>2023</v>
      </c>
      <c r="B700" t="s">
        <v>33</v>
      </c>
      <c r="C700" t="s">
        <v>5</v>
      </c>
      <c r="D700">
        <v>818008356</v>
      </c>
    </row>
    <row r="701" spans="1:4" x14ac:dyDescent="0.25">
      <c r="A701">
        <v>2023</v>
      </c>
      <c r="B701" t="s">
        <v>33</v>
      </c>
      <c r="C701" t="s">
        <v>5</v>
      </c>
      <c r="D701">
        <v>179312640</v>
      </c>
    </row>
    <row r="702" spans="1:4" x14ac:dyDescent="0.25">
      <c r="A702">
        <v>2023</v>
      </c>
      <c r="B702" t="s">
        <v>33</v>
      </c>
      <c r="C702" t="s">
        <v>6</v>
      </c>
      <c r="D702">
        <v>817774000</v>
      </c>
    </row>
    <row r="703" spans="1:4" x14ac:dyDescent="0.25">
      <c r="A703">
        <v>2023</v>
      </c>
      <c r="B703" t="s">
        <v>33</v>
      </c>
      <c r="C703" t="s">
        <v>7</v>
      </c>
      <c r="D703">
        <v>500000</v>
      </c>
    </row>
    <row r="704" spans="1:4" x14ac:dyDescent="0.25">
      <c r="A704">
        <v>2023</v>
      </c>
      <c r="B704" t="s">
        <v>33</v>
      </c>
      <c r="C704" t="s">
        <v>19</v>
      </c>
      <c r="D704">
        <v>1000000</v>
      </c>
    </row>
    <row r="705" spans="1:4" x14ac:dyDescent="0.25">
      <c r="A705">
        <v>2023</v>
      </c>
      <c r="B705" t="s">
        <v>33</v>
      </c>
      <c r="C705" t="s">
        <v>8</v>
      </c>
      <c r="D705">
        <v>64986000</v>
      </c>
    </row>
    <row r="706" spans="1:4" x14ac:dyDescent="0.25">
      <c r="A706">
        <v>2023</v>
      </c>
      <c r="B706" t="s">
        <v>34</v>
      </c>
      <c r="C706" t="s">
        <v>5</v>
      </c>
      <c r="D706">
        <v>1999548</v>
      </c>
    </row>
    <row r="707" spans="1:4" x14ac:dyDescent="0.25">
      <c r="A707">
        <v>2023</v>
      </c>
      <c r="B707" t="s">
        <v>34</v>
      </c>
      <c r="C707" t="s">
        <v>5</v>
      </c>
      <c r="D707">
        <v>0</v>
      </c>
    </row>
    <row r="708" spans="1:4" x14ac:dyDescent="0.25">
      <c r="A708">
        <v>2023</v>
      </c>
      <c r="B708" t="s">
        <v>34</v>
      </c>
      <c r="C708" t="s">
        <v>5</v>
      </c>
      <c r="D708">
        <v>418356612</v>
      </c>
    </row>
    <row r="709" spans="1:4" x14ac:dyDescent="0.25">
      <c r="A709">
        <v>2023</v>
      </c>
      <c r="B709" t="s">
        <v>34</v>
      </c>
      <c r="C709" t="s">
        <v>5</v>
      </c>
      <c r="D709">
        <v>805369112</v>
      </c>
    </row>
    <row r="710" spans="1:4" x14ac:dyDescent="0.25">
      <c r="A710">
        <v>2023</v>
      </c>
      <c r="B710" t="s">
        <v>34</v>
      </c>
      <c r="C710" t="s">
        <v>5</v>
      </c>
      <c r="D710">
        <v>72779364</v>
      </c>
    </row>
    <row r="711" spans="1:4" x14ac:dyDescent="0.25">
      <c r="A711">
        <v>2023</v>
      </c>
      <c r="B711" t="s">
        <v>34</v>
      </c>
      <c r="C711" t="s">
        <v>5</v>
      </c>
      <c r="D711">
        <v>335782776</v>
      </c>
    </row>
    <row r="712" spans="1:4" x14ac:dyDescent="0.25">
      <c r="A712">
        <v>2023</v>
      </c>
      <c r="B712" t="s">
        <v>34</v>
      </c>
      <c r="C712" t="s">
        <v>5</v>
      </c>
      <c r="D712">
        <v>446470196</v>
      </c>
    </row>
    <row r="713" spans="1:4" x14ac:dyDescent="0.25">
      <c r="A713">
        <v>2023</v>
      </c>
      <c r="B713" t="s">
        <v>34</v>
      </c>
      <c r="C713" t="s">
        <v>5</v>
      </c>
      <c r="D713">
        <v>114426392</v>
      </c>
    </row>
    <row r="714" spans="1:4" x14ac:dyDescent="0.25">
      <c r="A714">
        <v>2023</v>
      </c>
      <c r="B714" t="s">
        <v>34</v>
      </c>
      <c r="C714" t="s">
        <v>6</v>
      </c>
      <c r="D714">
        <v>325200</v>
      </c>
    </row>
    <row r="715" spans="1:4" x14ac:dyDescent="0.25">
      <c r="A715">
        <v>2023</v>
      </c>
      <c r="B715" t="s">
        <v>34</v>
      </c>
      <c r="C715" t="s">
        <v>6</v>
      </c>
      <c r="D715">
        <v>496324078</v>
      </c>
    </row>
    <row r="716" spans="1:4" x14ac:dyDescent="0.25">
      <c r="A716">
        <v>2023</v>
      </c>
      <c r="B716" t="s">
        <v>34</v>
      </c>
      <c r="C716" t="s">
        <v>6</v>
      </c>
      <c r="D716">
        <v>686667751</v>
      </c>
    </row>
    <row r="717" spans="1:4" x14ac:dyDescent="0.25">
      <c r="A717">
        <v>2023</v>
      </c>
      <c r="B717" t="s">
        <v>34</v>
      </c>
      <c r="C717" t="s">
        <v>6</v>
      </c>
      <c r="D717">
        <v>34678784</v>
      </c>
    </row>
    <row r="718" spans="1:4" x14ac:dyDescent="0.25">
      <c r="A718">
        <v>2023</v>
      </c>
      <c r="B718" t="s">
        <v>34</v>
      </c>
      <c r="C718" t="s">
        <v>6</v>
      </c>
      <c r="D718">
        <v>206641314</v>
      </c>
    </row>
    <row r="719" spans="1:4" x14ac:dyDescent="0.25">
      <c r="A719">
        <v>2023</v>
      </c>
      <c r="B719" t="s">
        <v>34</v>
      </c>
      <c r="C719" t="s">
        <v>6</v>
      </c>
      <c r="D719">
        <v>252858042</v>
      </c>
    </row>
    <row r="720" spans="1:4" x14ac:dyDescent="0.25">
      <c r="A720">
        <v>2023</v>
      </c>
      <c r="B720" t="s">
        <v>34</v>
      </c>
      <c r="C720" t="s">
        <v>6</v>
      </c>
      <c r="D720">
        <v>76204831</v>
      </c>
    </row>
    <row r="721" spans="1:4" x14ac:dyDescent="0.25">
      <c r="A721">
        <v>2023</v>
      </c>
      <c r="B721" t="s">
        <v>34</v>
      </c>
      <c r="C721" t="s">
        <v>19</v>
      </c>
      <c r="D721">
        <v>77000</v>
      </c>
    </row>
    <row r="722" spans="1:4" x14ac:dyDescent="0.25">
      <c r="A722">
        <v>2023</v>
      </c>
      <c r="B722" t="s">
        <v>34</v>
      </c>
      <c r="C722" t="s">
        <v>8</v>
      </c>
      <c r="D722">
        <v>174743000</v>
      </c>
    </row>
    <row r="723" spans="1:4" x14ac:dyDescent="0.25">
      <c r="A723">
        <v>2023</v>
      </c>
      <c r="B723" t="s">
        <v>34</v>
      </c>
      <c r="C723" t="s">
        <v>8</v>
      </c>
      <c r="D723">
        <v>54112000</v>
      </c>
    </row>
    <row r="724" spans="1:4" x14ac:dyDescent="0.25">
      <c r="A724">
        <v>2023</v>
      </c>
      <c r="B724" t="s">
        <v>34</v>
      </c>
      <c r="C724" t="s">
        <v>8</v>
      </c>
      <c r="D724">
        <v>24886000</v>
      </c>
    </row>
    <row r="725" spans="1:4" x14ac:dyDescent="0.25">
      <c r="A725">
        <v>2023</v>
      </c>
      <c r="B725" t="s">
        <v>34</v>
      </c>
      <c r="C725" t="s">
        <v>8</v>
      </c>
      <c r="D725">
        <v>23050000</v>
      </c>
    </row>
    <row r="726" spans="1:4" x14ac:dyDescent="0.25">
      <c r="A726">
        <v>2023</v>
      </c>
      <c r="B726" t="s">
        <v>34</v>
      </c>
      <c r="C726" t="s">
        <v>8</v>
      </c>
      <c r="D726">
        <v>27309000</v>
      </c>
    </row>
    <row r="727" spans="1:4" x14ac:dyDescent="0.25">
      <c r="A727">
        <v>2023</v>
      </c>
      <c r="B727" t="s">
        <v>34</v>
      </c>
      <c r="C727" t="s">
        <v>8</v>
      </c>
      <c r="D727">
        <v>16800000</v>
      </c>
    </row>
    <row r="728" spans="1:4" x14ac:dyDescent="0.25">
      <c r="A728">
        <v>2023</v>
      </c>
      <c r="B728" t="s">
        <v>35</v>
      </c>
      <c r="C728" t="s">
        <v>5</v>
      </c>
      <c r="D728">
        <v>280000</v>
      </c>
    </row>
    <row r="729" spans="1:4" x14ac:dyDescent="0.25">
      <c r="A729">
        <v>2023</v>
      </c>
      <c r="B729" t="s">
        <v>35</v>
      </c>
      <c r="C729" t="s">
        <v>5</v>
      </c>
      <c r="D729">
        <v>57536056</v>
      </c>
    </row>
    <row r="730" spans="1:4" x14ac:dyDescent="0.25">
      <c r="A730">
        <v>2023</v>
      </c>
      <c r="B730" t="s">
        <v>35</v>
      </c>
      <c r="C730" t="s">
        <v>5</v>
      </c>
      <c r="D730">
        <v>6048756</v>
      </c>
    </row>
    <row r="731" spans="1:4" x14ac:dyDescent="0.25">
      <c r="A731">
        <v>2023</v>
      </c>
      <c r="B731" t="s">
        <v>35</v>
      </c>
      <c r="C731" t="s">
        <v>5</v>
      </c>
      <c r="D731">
        <v>791412</v>
      </c>
    </row>
    <row r="732" spans="1:4" x14ac:dyDescent="0.25">
      <c r="A732">
        <v>2023</v>
      </c>
      <c r="B732" t="s">
        <v>35</v>
      </c>
      <c r="C732" t="s">
        <v>5</v>
      </c>
      <c r="D732">
        <v>1063320</v>
      </c>
    </row>
    <row r="733" spans="1:4" x14ac:dyDescent="0.25">
      <c r="A733">
        <v>2023</v>
      </c>
      <c r="B733" t="s">
        <v>35</v>
      </c>
      <c r="C733" t="s">
        <v>5</v>
      </c>
      <c r="D733">
        <v>965616</v>
      </c>
    </row>
    <row r="734" spans="1:4" x14ac:dyDescent="0.25">
      <c r="A734">
        <v>2023</v>
      </c>
      <c r="B734" t="s">
        <v>35</v>
      </c>
      <c r="C734" t="s">
        <v>5</v>
      </c>
      <c r="D734">
        <v>793668</v>
      </c>
    </row>
    <row r="735" spans="1:4" x14ac:dyDescent="0.25">
      <c r="A735">
        <v>2023</v>
      </c>
      <c r="B735" t="s">
        <v>35</v>
      </c>
      <c r="C735" t="s">
        <v>5</v>
      </c>
      <c r="D735">
        <v>2171604</v>
      </c>
    </row>
    <row r="736" spans="1:4" x14ac:dyDescent="0.25">
      <c r="A736">
        <v>2023</v>
      </c>
      <c r="B736" t="s">
        <v>35</v>
      </c>
      <c r="C736" t="s">
        <v>5</v>
      </c>
      <c r="D736">
        <v>1432200</v>
      </c>
    </row>
    <row r="737" spans="1:4" x14ac:dyDescent="0.25">
      <c r="A737">
        <v>2023</v>
      </c>
      <c r="B737" t="s">
        <v>35</v>
      </c>
      <c r="C737" t="s">
        <v>5</v>
      </c>
      <c r="D737">
        <v>385368</v>
      </c>
    </row>
    <row r="738" spans="1:4" x14ac:dyDescent="0.25">
      <c r="A738">
        <v>2023</v>
      </c>
      <c r="B738" t="s">
        <v>35</v>
      </c>
      <c r="C738" t="s">
        <v>6</v>
      </c>
      <c r="D738">
        <v>24523000</v>
      </c>
    </row>
    <row r="739" spans="1:4" x14ac:dyDescent="0.25">
      <c r="A739">
        <v>2023</v>
      </c>
      <c r="B739" t="s">
        <v>35</v>
      </c>
      <c r="C739" t="s">
        <v>8</v>
      </c>
      <c r="D739">
        <v>3550000</v>
      </c>
    </row>
    <row r="740" spans="1:4" x14ac:dyDescent="0.25">
      <c r="A740">
        <v>2023</v>
      </c>
      <c r="B740" t="s">
        <v>36</v>
      </c>
      <c r="C740" t="s">
        <v>5</v>
      </c>
      <c r="D740">
        <v>180250000</v>
      </c>
    </row>
    <row r="741" spans="1:4" x14ac:dyDescent="0.25">
      <c r="A741">
        <v>2023</v>
      </c>
      <c r="B741" t="s">
        <v>36</v>
      </c>
      <c r="C741" t="s">
        <v>6</v>
      </c>
      <c r="D741">
        <v>23260000</v>
      </c>
    </row>
    <row r="742" spans="1:4" x14ac:dyDescent="0.25">
      <c r="A742">
        <v>2023</v>
      </c>
      <c r="B742" t="s">
        <v>36</v>
      </c>
      <c r="C742" t="s">
        <v>8</v>
      </c>
      <c r="D742">
        <v>15000000</v>
      </c>
    </row>
    <row r="743" spans="1:4" x14ac:dyDescent="0.25">
      <c r="A743">
        <v>2023</v>
      </c>
      <c r="B743" t="s">
        <v>36</v>
      </c>
      <c r="C743" t="s">
        <v>8</v>
      </c>
      <c r="D743">
        <v>1530000</v>
      </c>
    </row>
    <row r="744" spans="1:4" x14ac:dyDescent="0.25">
      <c r="A744">
        <v>2023</v>
      </c>
      <c r="B744" t="s">
        <v>37</v>
      </c>
      <c r="C744" t="s">
        <v>5</v>
      </c>
      <c r="D744">
        <v>11879000</v>
      </c>
    </row>
    <row r="745" spans="1:4" x14ac:dyDescent="0.25">
      <c r="A745">
        <v>2023</v>
      </c>
      <c r="B745" t="s">
        <v>37</v>
      </c>
      <c r="C745" t="s">
        <v>6</v>
      </c>
      <c r="D745">
        <v>10031000</v>
      </c>
    </row>
    <row r="746" spans="1:4" x14ac:dyDescent="0.25">
      <c r="A746">
        <v>2023</v>
      </c>
      <c r="B746" t="s">
        <v>37</v>
      </c>
      <c r="C746" t="s">
        <v>8</v>
      </c>
      <c r="D746">
        <v>10390000</v>
      </c>
    </row>
    <row r="747" spans="1:4" x14ac:dyDescent="0.25">
      <c r="A747">
        <v>2023</v>
      </c>
      <c r="B747" t="s">
        <v>38</v>
      </c>
      <c r="C747" t="s">
        <v>5</v>
      </c>
      <c r="D747">
        <v>965582</v>
      </c>
    </row>
    <row r="748" spans="1:4" x14ac:dyDescent="0.25">
      <c r="A748">
        <v>2023</v>
      </c>
      <c r="B748" t="s">
        <v>38</v>
      </c>
      <c r="C748" t="s">
        <v>5</v>
      </c>
      <c r="D748">
        <v>733068</v>
      </c>
    </row>
    <row r="749" spans="1:4" x14ac:dyDescent="0.25">
      <c r="A749">
        <v>2023</v>
      </c>
      <c r="B749" t="s">
        <v>38</v>
      </c>
      <c r="C749" t="s">
        <v>5</v>
      </c>
      <c r="D749">
        <v>35367902</v>
      </c>
    </row>
    <row r="750" spans="1:4" x14ac:dyDescent="0.25">
      <c r="A750">
        <v>2023</v>
      </c>
      <c r="B750" t="s">
        <v>38</v>
      </c>
      <c r="C750" t="s">
        <v>5</v>
      </c>
      <c r="D750">
        <v>4043448</v>
      </c>
    </row>
    <row r="751" spans="1:4" x14ac:dyDescent="0.25">
      <c r="A751">
        <v>2023</v>
      </c>
      <c r="B751" t="s">
        <v>38</v>
      </c>
      <c r="C751" t="s">
        <v>6</v>
      </c>
      <c r="D751">
        <v>22633000</v>
      </c>
    </row>
    <row r="752" spans="1:4" x14ac:dyDescent="0.25">
      <c r="A752">
        <v>2023</v>
      </c>
      <c r="B752" t="s">
        <v>38</v>
      </c>
      <c r="C752" t="s">
        <v>7</v>
      </c>
      <c r="D752">
        <v>153300000</v>
      </c>
    </row>
    <row r="753" spans="1:4" x14ac:dyDescent="0.25">
      <c r="A753">
        <v>2023</v>
      </c>
      <c r="B753" t="s">
        <v>38</v>
      </c>
      <c r="C753" t="s">
        <v>8</v>
      </c>
      <c r="D753">
        <v>135000</v>
      </c>
    </row>
    <row r="754" spans="1:4" x14ac:dyDescent="0.25">
      <c r="A754">
        <v>2023</v>
      </c>
      <c r="B754" t="s">
        <v>39</v>
      </c>
      <c r="C754" t="s">
        <v>5</v>
      </c>
      <c r="D754">
        <v>2844000</v>
      </c>
    </row>
    <row r="755" spans="1:4" x14ac:dyDescent="0.25">
      <c r="A755">
        <v>2023</v>
      </c>
      <c r="B755" t="s">
        <v>39</v>
      </c>
      <c r="C755" t="s">
        <v>6</v>
      </c>
      <c r="D755">
        <v>2076000</v>
      </c>
    </row>
    <row r="756" spans="1:4" x14ac:dyDescent="0.25">
      <c r="A756">
        <v>2023</v>
      </c>
      <c r="B756" t="s">
        <v>39</v>
      </c>
      <c r="C756" t="s">
        <v>8</v>
      </c>
      <c r="D756">
        <v>33000</v>
      </c>
    </row>
    <row r="757" spans="1:4" x14ac:dyDescent="0.25">
      <c r="A757">
        <v>2023</v>
      </c>
      <c r="B757" t="s">
        <v>40</v>
      </c>
      <c r="C757" t="s">
        <v>5</v>
      </c>
      <c r="D757">
        <v>18036000</v>
      </c>
    </row>
    <row r="758" spans="1:4" x14ac:dyDescent="0.25">
      <c r="A758">
        <v>2023</v>
      </c>
      <c r="B758" t="s">
        <v>40</v>
      </c>
      <c r="C758" t="s">
        <v>6</v>
      </c>
      <c r="D758">
        <v>20167000</v>
      </c>
    </row>
    <row r="759" spans="1:4" x14ac:dyDescent="0.25">
      <c r="A759">
        <v>2023</v>
      </c>
      <c r="B759" t="s">
        <v>40</v>
      </c>
      <c r="C759" t="s">
        <v>8</v>
      </c>
      <c r="D759">
        <v>400000</v>
      </c>
    </row>
    <row r="760" spans="1:4" x14ac:dyDescent="0.25">
      <c r="A760">
        <v>2023</v>
      </c>
      <c r="B760" t="s">
        <v>41</v>
      </c>
      <c r="C760" t="s">
        <v>5</v>
      </c>
      <c r="D760">
        <v>523704000</v>
      </c>
    </row>
    <row r="761" spans="1:4" x14ac:dyDescent="0.25">
      <c r="A761">
        <v>2023</v>
      </c>
      <c r="B761" t="s">
        <v>41</v>
      </c>
      <c r="C761" t="s">
        <v>5</v>
      </c>
      <c r="D761">
        <v>1046103972</v>
      </c>
    </row>
    <row r="762" spans="1:4" x14ac:dyDescent="0.25">
      <c r="A762">
        <v>2023</v>
      </c>
      <c r="B762" t="s">
        <v>41</v>
      </c>
      <c r="C762" t="s">
        <v>5</v>
      </c>
      <c r="D762">
        <v>58542288</v>
      </c>
    </row>
    <row r="763" spans="1:4" x14ac:dyDescent="0.25">
      <c r="A763">
        <v>2023</v>
      </c>
      <c r="B763" t="s">
        <v>41</v>
      </c>
      <c r="C763" t="s">
        <v>5</v>
      </c>
      <c r="D763">
        <v>137734780</v>
      </c>
    </row>
    <row r="764" spans="1:4" x14ac:dyDescent="0.25">
      <c r="A764">
        <v>2023</v>
      </c>
      <c r="B764" t="s">
        <v>41</v>
      </c>
      <c r="C764" t="s">
        <v>5</v>
      </c>
      <c r="D764">
        <v>43841868</v>
      </c>
    </row>
    <row r="765" spans="1:4" x14ac:dyDescent="0.25">
      <c r="A765">
        <v>2023</v>
      </c>
      <c r="B765" t="s">
        <v>41</v>
      </c>
      <c r="C765" t="s">
        <v>5</v>
      </c>
      <c r="D765">
        <v>71910960</v>
      </c>
    </row>
    <row r="766" spans="1:4" x14ac:dyDescent="0.25">
      <c r="A766">
        <v>2023</v>
      </c>
      <c r="B766" t="s">
        <v>41</v>
      </c>
      <c r="C766" t="s">
        <v>5</v>
      </c>
      <c r="D766">
        <v>104524748</v>
      </c>
    </row>
    <row r="767" spans="1:4" x14ac:dyDescent="0.25">
      <c r="A767">
        <v>2023</v>
      </c>
      <c r="B767" t="s">
        <v>41</v>
      </c>
      <c r="C767" t="s">
        <v>5</v>
      </c>
      <c r="D767">
        <v>42951908</v>
      </c>
    </row>
    <row r="768" spans="1:4" x14ac:dyDescent="0.25">
      <c r="A768">
        <v>2023</v>
      </c>
      <c r="B768" t="s">
        <v>41</v>
      </c>
      <c r="C768" t="s">
        <v>5</v>
      </c>
      <c r="D768">
        <v>9270476</v>
      </c>
    </row>
    <row r="769" spans="1:4" x14ac:dyDescent="0.25">
      <c r="A769">
        <v>2023</v>
      </c>
      <c r="B769" t="s">
        <v>41</v>
      </c>
      <c r="C769" t="s">
        <v>6</v>
      </c>
      <c r="D769">
        <v>439370000</v>
      </c>
    </row>
    <row r="770" spans="1:4" x14ac:dyDescent="0.25">
      <c r="A770">
        <v>2023</v>
      </c>
      <c r="B770" t="s">
        <v>41</v>
      </c>
      <c r="C770" t="s">
        <v>19</v>
      </c>
      <c r="D770">
        <v>100000</v>
      </c>
    </row>
    <row r="771" spans="1:4" x14ac:dyDescent="0.25">
      <c r="A771">
        <v>2023</v>
      </c>
      <c r="B771" t="s">
        <v>41</v>
      </c>
      <c r="C771" t="s">
        <v>8</v>
      </c>
      <c r="D771">
        <v>42488000</v>
      </c>
    </row>
    <row r="772" spans="1:4" x14ac:dyDescent="0.25">
      <c r="A772">
        <v>2023</v>
      </c>
      <c r="B772" t="s">
        <v>42</v>
      </c>
      <c r="C772" t="s">
        <v>5</v>
      </c>
      <c r="D772">
        <v>6502000</v>
      </c>
    </row>
    <row r="773" spans="1:4" x14ac:dyDescent="0.25">
      <c r="A773">
        <v>2023</v>
      </c>
      <c r="B773" t="s">
        <v>42</v>
      </c>
      <c r="C773" t="s">
        <v>6</v>
      </c>
      <c r="D773">
        <v>8448000</v>
      </c>
    </row>
    <row r="774" spans="1:4" x14ac:dyDescent="0.25">
      <c r="A774">
        <v>2023</v>
      </c>
      <c r="B774" t="s">
        <v>42</v>
      </c>
      <c r="C774" t="s">
        <v>8</v>
      </c>
      <c r="D774">
        <v>50000</v>
      </c>
    </row>
    <row r="775" spans="1:4" x14ac:dyDescent="0.25">
      <c r="A775">
        <v>2023</v>
      </c>
      <c r="B775" t="s">
        <v>43</v>
      </c>
      <c r="C775" t="s">
        <v>5</v>
      </c>
      <c r="D775">
        <v>34500000</v>
      </c>
    </row>
    <row r="776" spans="1:4" x14ac:dyDescent="0.25">
      <c r="A776">
        <v>2023</v>
      </c>
      <c r="B776" t="s">
        <v>43</v>
      </c>
      <c r="C776" t="s">
        <v>6</v>
      </c>
      <c r="D776">
        <v>15830000</v>
      </c>
    </row>
    <row r="777" spans="1:4" x14ac:dyDescent="0.25">
      <c r="A777">
        <v>2023</v>
      </c>
      <c r="B777" t="s">
        <v>43</v>
      </c>
      <c r="C777" t="s">
        <v>8</v>
      </c>
      <c r="D777">
        <v>1670000</v>
      </c>
    </row>
    <row r="778" spans="1:4" x14ac:dyDescent="0.25">
      <c r="A778">
        <v>2023</v>
      </c>
      <c r="B778" t="s">
        <v>44</v>
      </c>
      <c r="C778" t="s">
        <v>5</v>
      </c>
      <c r="D778">
        <v>68643000</v>
      </c>
    </row>
    <row r="779" spans="1:4" x14ac:dyDescent="0.25">
      <c r="A779">
        <v>2023</v>
      </c>
      <c r="B779" t="s">
        <v>44</v>
      </c>
      <c r="C779" t="s">
        <v>6</v>
      </c>
      <c r="D779">
        <v>19630000</v>
      </c>
    </row>
    <row r="780" spans="1:4" x14ac:dyDescent="0.25">
      <c r="A780">
        <v>2023</v>
      </c>
      <c r="B780" t="s">
        <v>44</v>
      </c>
      <c r="C780" t="s">
        <v>19</v>
      </c>
      <c r="D780">
        <v>70000</v>
      </c>
    </row>
    <row r="781" spans="1:4" x14ac:dyDescent="0.25">
      <c r="A781">
        <v>2023</v>
      </c>
      <c r="B781" t="s">
        <v>44</v>
      </c>
      <c r="C781" t="s">
        <v>8</v>
      </c>
      <c r="D781">
        <v>600000</v>
      </c>
    </row>
    <row r="782" spans="1:4" x14ac:dyDescent="0.25">
      <c r="A782">
        <v>2023</v>
      </c>
      <c r="B782" t="s">
        <v>45</v>
      </c>
      <c r="C782" t="s">
        <v>5</v>
      </c>
      <c r="D782">
        <v>1394018</v>
      </c>
    </row>
    <row r="783" spans="1:4" x14ac:dyDescent="0.25">
      <c r="A783">
        <v>2023</v>
      </c>
      <c r="B783" t="s">
        <v>45</v>
      </c>
      <c r="C783" t="s">
        <v>5</v>
      </c>
      <c r="D783">
        <v>54946982</v>
      </c>
    </row>
    <row r="784" spans="1:4" x14ac:dyDescent="0.25">
      <c r="A784">
        <v>2023</v>
      </c>
      <c r="B784" t="s">
        <v>45</v>
      </c>
      <c r="C784" t="s">
        <v>6</v>
      </c>
      <c r="D784">
        <v>35100814</v>
      </c>
    </row>
    <row r="785" spans="1:4" x14ac:dyDescent="0.25">
      <c r="A785">
        <v>2023</v>
      </c>
      <c r="B785" t="s">
        <v>45</v>
      </c>
      <c r="C785" t="s">
        <v>6</v>
      </c>
      <c r="D785">
        <v>5026186</v>
      </c>
    </row>
    <row r="786" spans="1:4" x14ac:dyDescent="0.25">
      <c r="A786">
        <v>2023</v>
      </c>
      <c r="B786" t="s">
        <v>45</v>
      </c>
      <c r="C786" t="s">
        <v>19</v>
      </c>
      <c r="D786">
        <v>20000</v>
      </c>
    </row>
    <row r="787" spans="1:4" x14ac:dyDescent="0.25">
      <c r="A787">
        <v>2023</v>
      </c>
      <c r="B787" t="s">
        <v>45</v>
      </c>
      <c r="C787" t="s">
        <v>8</v>
      </c>
      <c r="D787">
        <v>156108000</v>
      </c>
    </row>
    <row r="788" spans="1:4" x14ac:dyDescent="0.25">
      <c r="A788">
        <v>2023</v>
      </c>
      <c r="B788" t="s">
        <v>46</v>
      </c>
      <c r="C788" t="s">
        <v>5</v>
      </c>
      <c r="D788">
        <v>803996</v>
      </c>
    </row>
    <row r="789" spans="1:4" x14ac:dyDescent="0.25">
      <c r="A789">
        <v>2023</v>
      </c>
      <c r="B789" t="s">
        <v>46</v>
      </c>
      <c r="C789" t="s">
        <v>5</v>
      </c>
      <c r="D789">
        <v>141729545</v>
      </c>
    </row>
    <row r="790" spans="1:4" x14ac:dyDescent="0.25">
      <c r="A790">
        <v>2023</v>
      </c>
      <c r="B790" t="s">
        <v>46</v>
      </c>
      <c r="C790" t="s">
        <v>5</v>
      </c>
      <c r="D790">
        <v>894116</v>
      </c>
    </row>
    <row r="791" spans="1:4" x14ac:dyDescent="0.25">
      <c r="A791">
        <v>2023</v>
      </c>
      <c r="B791" t="s">
        <v>46</v>
      </c>
      <c r="C791" t="s">
        <v>5</v>
      </c>
      <c r="D791">
        <v>23697016</v>
      </c>
    </row>
    <row r="792" spans="1:4" x14ac:dyDescent="0.25">
      <c r="A792">
        <v>2023</v>
      </c>
      <c r="B792" t="s">
        <v>46</v>
      </c>
      <c r="C792" t="s">
        <v>5</v>
      </c>
      <c r="D792">
        <v>25603852</v>
      </c>
    </row>
    <row r="793" spans="1:4" x14ac:dyDescent="0.25">
      <c r="A793">
        <v>2023</v>
      </c>
      <c r="B793" t="s">
        <v>46</v>
      </c>
      <c r="C793" t="s">
        <v>5</v>
      </c>
      <c r="D793">
        <v>20526364</v>
      </c>
    </row>
    <row r="794" spans="1:4" x14ac:dyDescent="0.25">
      <c r="A794">
        <v>2023</v>
      </c>
      <c r="B794" t="s">
        <v>46</v>
      </c>
      <c r="C794" t="s">
        <v>5</v>
      </c>
      <c r="D794">
        <v>50823907</v>
      </c>
    </row>
    <row r="795" spans="1:4" x14ac:dyDescent="0.25">
      <c r="A795">
        <v>2023</v>
      </c>
      <c r="B795" t="s">
        <v>46</v>
      </c>
      <c r="C795" t="s">
        <v>5</v>
      </c>
      <c r="D795">
        <v>15512024</v>
      </c>
    </row>
    <row r="796" spans="1:4" x14ac:dyDescent="0.25">
      <c r="A796">
        <v>2023</v>
      </c>
      <c r="B796" t="s">
        <v>46</v>
      </c>
      <c r="C796" t="s">
        <v>5</v>
      </c>
      <c r="D796">
        <v>74651524</v>
      </c>
    </row>
    <row r="797" spans="1:4" x14ac:dyDescent="0.25">
      <c r="A797">
        <v>2023</v>
      </c>
      <c r="B797" t="s">
        <v>46</v>
      </c>
      <c r="C797" t="s">
        <v>5</v>
      </c>
      <c r="D797">
        <v>16466656</v>
      </c>
    </row>
    <row r="798" spans="1:4" x14ac:dyDescent="0.25">
      <c r="A798">
        <v>2023</v>
      </c>
      <c r="B798" t="s">
        <v>46</v>
      </c>
      <c r="C798" t="s">
        <v>6</v>
      </c>
      <c r="D798">
        <v>32077700</v>
      </c>
    </row>
    <row r="799" spans="1:4" x14ac:dyDescent="0.25">
      <c r="A799">
        <v>2023</v>
      </c>
      <c r="B799" t="s">
        <v>46</v>
      </c>
      <c r="C799" t="s">
        <v>6</v>
      </c>
      <c r="D799">
        <v>124000</v>
      </c>
    </row>
    <row r="800" spans="1:4" x14ac:dyDescent="0.25">
      <c r="A800">
        <v>2023</v>
      </c>
      <c r="B800" t="s">
        <v>46</v>
      </c>
      <c r="C800" t="s">
        <v>6</v>
      </c>
      <c r="D800">
        <v>10545450</v>
      </c>
    </row>
    <row r="801" spans="1:4" x14ac:dyDescent="0.25">
      <c r="A801">
        <v>2023</v>
      </c>
      <c r="B801" t="s">
        <v>46</v>
      </c>
      <c r="C801" t="s">
        <v>6</v>
      </c>
      <c r="D801">
        <v>15785450</v>
      </c>
    </row>
    <row r="802" spans="1:4" x14ac:dyDescent="0.25">
      <c r="A802">
        <v>2023</v>
      </c>
      <c r="B802" t="s">
        <v>46</v>
      </c>
      <c r="C802" t="s">
        <v>6</v>
      </c>
      <c r="D802">
        <v>16906150</v>
      </c>
    </row>
    <row r="803" spans="1:4" x14ac:dyDescent="0.25">
      <c r="A803">
        <v>2023</v>
      </c>
      <c r="B803" t="s">
        <v>46</v>
      </c>
      <c r="C803" t="s">
        <v>6</v>
      </c>
      <c r="D803">
        <v>43069850</v>
      </c>
    </row>
    <row r="804" spans="1:4" x14ac:dyDescent="0.25">
      <c r="A804">
        <v>2023</v>
      </c>
      <c r="B804" t="s">
        <v>46</v>
      </c>
      <c r="C804" t="s">
        <v>6</v>
      </c>
      <c r="D804">
        <v>12024700</v>
      </c>
    </row>
    <row r="805" spans="1:4" x14ac:dyDescent="0.25">
      <c r="A805">
        <v>2023</v>
      </c>
      <c r="B805" t="s">
        <v>46</v>
      </c>
      <c r="C805" t="s">
        <v>6</v>
      </c>
      <c r="D805">
        <v>916500</v>
      </c>
    </row>
    <row r="806" spans="1:4" x14ac:dyDescent="0.25">
      <c r="A806">
        <v>2023</v>
      </c>
      <c r="B806" t="s">
        <v>46</v>
      </c>
      <c r="C806" t="s">
        <v>6</v>
      </c>
      <c r="D806">
        <v>342200</v>
      </c>
    </row>
    <row r="807" spans="1:4" x14ac:dyDescent="0.25">
      <c r="A807">
        <v>2023</v>
      </c>
      <c r="B807" t="s">
        <v>46</v>
      </c>
      <c r="C807" t="s">
        <v>19</v>
      </c>
      <c r="D807">
        <v>75000</v>
      </c>
    </row>
    <row r="808" spans="1:4" x14ac:dyDescent="0.25">
      <c r="A808">
        <v>2023</v>
      </c>
      <c r="B808" t="s">
        <v>46</v>
      </c>
      <c r="C808" t="s">
        <v>8</v>
      </c>
      <c r="D808">
        <v>1555000</v>
      </c>
    </row>
    <row r="809" spans="1:4" x14ac:dyDescent="0.25">
      <c r="A809">
        <v>2023</v>
      </c>
      <c r="B809" t="s">
        <v>47</v>
      </c>
      <c r="C809" t="s">
        <v>5</v>
      </c>
      <c r="D809">
        <v>70788</v>
      </c>
    </row>
    <row r="810" spans="1:4" x14ac:dyDescent="0.25">
      <c r="A810">
        <v>2023</v>
      </c>
      <c r="B810" t="s">
        <v>47</v>
      </c>
      <c r="C810" t="s">
        <v>5</v>
      </c>
      <c r="D810">
        <v>5445408</v>
      </c>
    </row>
    <row r="811" spans="1:4" x14ac:dyDescent="0.25">
      <c r="A811">
        <v>2023</v>
      </c>
      <c r="B811" t="s">
        <v>47</v>
      </c>
      <c r="C811" t="s">
        <v>5</v>
      </c>
      <c r="D811">
        <v>51562804</v>
      </c>
    </row>
    <row r="812" spans="1:4" x14ac:dyDescent="0.25">
      <c r="A812">
        <v>2023</v>
      </c>
      <c r="B812" t="s">
        <v>47</v>
      </c>
      <c r="C812" t="s">
        <v>6</v>
      </c>
      <c r="D812">
        <v>15744000</v>
      </c>
    </row>
    <row r="813" spans="1:4" x14ac:dyDescent="0.25">
      <c r="A813">
        <v>2023</v>
      </c>
      <c r="B813" t="s">
        <v>47</v>
      </c>
      <c r="C813" t="s">
        <v>19</v>
      </c>
      <c r="D813">
        <v>6000</v>
      </c>
    </row>
    <row r="814" spans="1:4" x14ac:dyDescent="0.25">
      <c r="A814">
        <v>2023</v>
      </c>
      <c r="B814" t="s">
        <v>47</v>
      </c>
      <c r="C814" t="s">
        <v>8</v>
      </c>
      <c r="D814">
        <v>2025000</v>
      </c>
    </row>
    <row r="815" spans="1:4" x14ac:dyDescent="0.25">
      <c r="A815">
        <v>2023</v>
      </c>
      <c r="B815" t="s">
        <v>48</v>
      </c>
      <c r="C815" t="s">
        <v>5</v>
      </c>
      <c r="D815">
        <v>883575000</v>
      </c>
    </row>
    <row r="816" spans="1:4" x14ac:dyDescent="0.25">
      <c r="A816">
        <v>2023</v>
      </c>
      <c r="B816" t="s">
        <v>48</v>
      </c>
      <c r="C816" t="s">
        <v>6</v>
      </c>
      <c r="D816">
        <v>461118000</v>
      </c>
    </row>
    <row r="817" spans="1:4" x14ac:dyDescent="0.25">
      <c r="A817">
        <v>2023</v>
      </c>
      <c r="B817" t="s">
        <v>48</v>
      </c>
      <c r="C817" t="s">
        <v>19</v>
      </c>
      <c r="D817">
        <v>54000</v>
      </c>
    </row>
    <row r="818" spans="1:4" x14ac:dyDescent="0.25">
      <c r="A818">
        <v>2023</v>
      </c>
      <c r="B818" t="s">
        <v>48</v>
      </c>
      <c r="C818" t="s">
        <v>8</v>
      </c>
      <c r="D818">
        <v>48522000</v>
      </c>
    </row>
    <row r="819" spans="1:4" x14ac:dyDescent="0.25">
      <c r="A819">
        <v>2023</v>
      </c>
      <c r="B819" t="s">
        <v>49</v>
      </c>
      <c r="C819" t="s">
        <v>5</v>
      </c>
      <c r="D819">
        <v>12000000</v>
      </c>
    </row>
    <row r="820" spans="1:4" x14ac:dyDescent="0.25">
      <c r="A820">
        <v>2023</v>
      </c>
      <c r="B820" t="s">
        <v>49</v>
      </c>
      <c r="C820" t="s">
        <v>5</v>
      </c>
      <c r="D820">
        <v>259230064</v>
      </c>
    </row>
    <row r="821" spans="1:4" x14ac:dyDescent="0.25">
      <c r="A821">
        <v>2023</v>
      </c>
      <c r="B821" t="s">
        <v>49</v>
      </c>
      <c r="C821" t="s">
        <v>5</v>
      </c>
      <c r="D821">
        <v>116964684</v>
      </c>
    </row>
    <row r="822" spans="1:4" x14ac:dyDescent="0.25">
      <c r="A822">
        <v>2023</v>
      </c>
      <c r="B822" t="s">
        <v>49</v>
      </c>
      <c r="C822" t="s">
        <v>5</v>
      </c>
      <c r="D822">
        <v>110453304</v>
      </c>
    </row>
    <row r="823" spans="1:4" x14ac:dyDescent="0.25">
      <c r="A823">
        <v>2023</v>
      </c>
      <c r="B823" t="s">
        <v>49</v>
      </c>
      <c r="C823" t="s">
        <v>5</v>
      </c>
      <c r="D823">
        <v>66231528</v>
      </c>
    </row>
    <row r="824" spans="1:4" x14ac:dyDescent="0.25">
      <c r="A824">
        <v>2023</v>
      </c>
      <c r="B824" t="s">
        <v>49</v>
      </c>
      <c r="C824" t="s">
        <v>5</v>
      </c>
      <c r="D824">
        <v>64161504</v>
      </c>
    </row>
    <row r="825" spans="1:4" x14ac:dyDescent="0.25">
      <c r="A825">
        <v>2023</v>
      </c>
      <c r="B825" t="s">
        <v>49</v>
      </c>
      <c r="C825" t="s">
        <v>5</v>
      </c>
      <c r="D825">
        <v>54550188</v>
      </c>
    </row>
    <row r="826" spans="1:4" x14ac:dyDescent="0.25">
      <c r="A826">
        <v>2023</v>
      </c>
      <c r="B826" t="s">
        <v>49</v>
      </c>
      <c r="C826" t="s">
        <v>5</v>
      </c>
      <c r="D826">
        <v>23008728</v>
      </c>
    </row>
    <row r="827" spans="1:4" x14ac:dyDescent="0.25">
      <c r="A827">
        <v>2023</v>
      </c>
      <c r="B827" t="s">
        <v>49</v>
      </c>
      <c r="C827" t="s">
        <v>6</v>
      </c>
      <c r="D827">
        <v>187984000</v>
      </c>
    </row>
    <row r="828" spans="1:4" x14ac:dyDescent="0.25">
      <c r="A828">
        <v>2023</v>
      </c>
      <c r="B828" t="s">
        <v>49</v>
      </c>
      <c r="C828" t="s">
        <v>6</v>
      </c>
      <c r="D828">
        <v>1101000</v>
      </c>
    </row>
    <row r="829" spans="1:4" x14ac:dyDescent="0.25">
      <c r="A829">
        <v>2023</v>
      </c>
      <c r="B829" t="s">
        <v>49</v>
      </c>
      <c r="C829" t="s">
        <v>8</v>
      </c>
      <c r="D829">
        <v>59400000</v>
      </c>
    </row>
    <row r="830" spans="1:4" x14ac:dyDescent="0.25">
      <c r="A830">
        <v>2023</v>
      </c>
      <c r="B830" t="s">
        <v>50</v>
      </c>
      <c r="C830" t="s">
        <v>5</v>
      </c>
      <c r="D830">
        <v>236467469</v>
      </c>
    </row>
    <row r="831" spans="1:4" x14ac:dyDescent="0.25">
      <c r="A831">
        <v>2023</v>
      </c>
      <c r="B831" t="s">
        <v>50</v>
      </c>
      <c r="C831" t="s">
        <v>5</v>
      </c>
      <c r="D831">
        <v>218532531</v>
      </c>
    </row>
    <row r="832" spans="1:4" x14ac:dyDescent="0.25">
      <c r="A832">
        <v>2023</v>
      </c>
      <c r="B832" t="s">
        <v>50</v>
      </c>
      <c r="C832" t="s">
        <v>6</v>
      </c>
      <c r="D832">
        <v>7050000</v>
      </c>
    </row>
    <row r="833" spans="1:4" x14ac:dyDescent="0.25">
      <c r="A833">
        <v>2023</v>
      </c>
      <c r="B833" t="s">
        <v>50</v>
      </c>
      <c r="C833" t="s">
        <v>6</v>
      </c>
      <c r="D833">
        <v>7050000</v>
      </c>
    </row>
    <row r="834" spans="1:4" x14ac:dyDescent="0.25">
      <c r="A834">
        <v>2023</v>
      </c>
      <c r="B834" t="s">
        <v>51</v>
      </c>
      <c r="C834" t="s">
        <v>5</v>
      </c>
      <c r="D834">
        <v>20888000</v>
      </c>
    </row>
    <row r="835" spans="1:4" x14ac:dyDescent="0.25">
      <c r="A835">
        <v>2023</v>
      </c>
      <c r="B835" t="s">
        <v>51</v>
      </c>
      <c r="C835" t="s">
        <v>6</v>
      </c>
      <c r="D835">
        <v>7160000</v>
      </c>
    </row>
    <row r="836" spans="1:4" x14ac:dyDescent="0.25">
      <c r="A836">
        <v>2023</v>
      </c>
      <c r="B836" t="s">
        <v>51</v>
      </c>
      <c r="C836" t="s">
        <v>19</v>
      </c>
      <c r="D836">
        <v>3000</v>
      </c>
    </row>
    <row r="837" spans="1:4" x14ac:dyDescent="0.25">
      <c r="A837">
        <v>2023</v>
      </c>
      <c r="B837" t="s">
        <v>51</v>
      </c>
      <c r="C837" t="s">
        <v>8</v>
      </c>
      <c r="D837">
        <v>343000</v>
      </c>
    </row>
    <row r="838" spans="1:4" x14ac:dyDescent="0.25">
      <c r="A838">
        <v>2023</v>
      </c>
      <c r="B838" t="s">
        <v>52</v>
      </c>
      <c r="C838" t="s">
        <v>5</v>
      </c>
      <c r="D838">
        <v>3500000</v>
      </c>
    </row>
    <row r="839" spans="1:4" x14ac:dyDescent="0.25">
      <c r="A839">
        <v>2023</v>
      </c>
      <c r="B839" t="s">
        <v>52</v>
      </c>
      <c r="C839" t="s">
        <v>5</v>
      </c>
      <c r="D839">
        <v>78584749</v>
      </c>
    </row>
    <row r="840" spans="1:4" x14ac:dyDescent="0.25">
      <c r="A840">
        <v>2023</v>
      </c>
      <c r="B840" t="s">
        <v>52</v>
      </c>
      <c r="C840" t="s">
        <v>5</v>
      </c>
      <c r="D840">
        <v>69915251</v>
      </c>
    </row>
    <row r="841" spans="1:4" x14ac:dyDescent="0.25">
      <c r="A841">
        <v>2023</v>
      </c>
      <c r="B841" t="s">
        <v>52</v>
      </c>
      <c r="C841" t="s">
        <v>6</v>
      </c>
      <c r="D841">
        <v>11235000</v>
      </c>
    </row>
    <row r="842" spans="1:4" x14ac:dyDescent="0.25">
      <c r="A842">
        <v>2023</v>
      </c>
      <c r="B842" t="s">
        <v>52</v>
      </c>
      <c r="C842" t="s">
        <v>6</v>
      </c>
      <c r="D842">
        <v>3705000</v>
      </c>
    </row>
    <row r="843" spans="1:4" x14ac:dyDescent="0.25">
      <c r="A843">
        <v>2023</v>
      </c>
      <c r="B843" t="s">
        <v>52</v>
      </c>
      <c r="C843" t="s">
        <v>30</v>
      </c>
      <c r="D843">
        <v>260000</v>
      </c>
    </row>
    <row r="844" spans="1:4" x14ac:dyDescent="0.25">
      <c r="A844">
        <v>2023</v>
      </c>
      <c r="B844" t="s">
        <v>52</v>
      </c>
      <c r="C844" t="s">
        <v>8</v>
      </c>
      <c r="D844">
        <v>2800000</v>
      </c>
    </row>
    <row r="845" spans="1:4" x14ac:dyDescent="0.25">
      <c r="A845">
        <v>2023</v>
      </c>
      <c r="B845" t="s">
        <v>56</v>
      </c>
      <c r="C845" t="s">
        <v>5</v>
      </c>
      <c r="D845">
        <v>248673000</v>
      </c>
    </row>
    <row r="846" spans="1:4" x14ac:dyDescent="0.25">
      <c r="A846">
        <v>2023</v>
      </c>
      <c r="B846" t="s">
        <v>56</v>
      </c>
      <c r="C846" t="s">
        <v>6</v>
      </c>
      <c r="D846">
        <v>583221000</v>
      </c>
    </row>
    <row r="847" spans="1:4" x14ac:dyDescent="0.25">
      <c r="A847">
        <v>2023</v>
      </c>
      <c r="B847" t="s">
        <v>56</v>
      </c>
      <c r="C847" t="s">
        <v>30</v>
      </c>
      <c r="D847">
        <v>398420000</v>
      </c>
    </row>
    <row r="848" spans="1:4" x14ac:dyDescent="0.25">
      <c r="A848">
        <v>2023</v>
      </c>
      <c r="B848" t="s">
        <v>56</v>
      </c>
      <c r="C848" t="s">
        <v>19</v>
      </c>
      <c r="D848">
        <v>2147000</v>
      </c>
    </row>
    <row r="849" spans="1:4" x14ac:dyDescent="0.25">
      <c r="A849">
        <v>2023</v>
      </c>
      <c r="B849" t="s">
        <v>56</v>
      </c>
      <c r="C849" t="s">
        <v>8</v>
      </c>
      <c r="D849">
        <v>118092000</v>
      </c>
    </row>
    <row r="850" spans="1:4" x14ac:dyDescent="0.25">
      <c r="A850">
        <v>2023</v>
      </c>
      <c r="B850" t="s">
        <v>57</v>
      </c>
      <c r="C850" t="s">
        <v>5</v>
      </c>
      <c r="D850">
        <v>248630000</v>
      </c>
    </row>
    <row r="851" spans="1:4" x14ac:dyDescent="0.25">
      <c r="A851">
        <v>2023</v>
      </c>
      <c r="B851" t="s">
        <v>57</v>
      </c>
      <c r="C851" t="s">
        <v>6</v>
      </c>
      <c r="D851">
        <v>63651000</v>
      </c>
    </row>
    <row r="852" spans="1:4" x14ac:dyDescent="0.25">
      <c r="A852">
        <v>2023</v>
      </c>
      <c r="B852" t="s">
        <v>57</v>
      </c>
      <c r="C852" t="s">
        <v>19</v>
      </c>
      <c r="D852">
        <v>50000</v>
      </c>
    </row>
    <row r="853" spans="1:4" x14ac:dyDescent="0.25">
      <c r="A853">
        <v>2023</v>
      </c>
      <c r="B853" t="s">
        <v>57</v>
      </c>
      <c r="C853" t="s">
        <v>8</v>
      </c>
      <c r="D853">
        <v>2863000</v>
      </c>
    </row>
    <row r="854" spans="1:4" x14ac:dyDescent="0.25">
      <c r="A854">
        <v>2023</v>
      </c>
      <c r="B854" t="s">
        <v>53</v>
      </c>
      <c r="C854" t="s">
        <v>5</v>
      </c>
      <c r="D854">
        <v>0</v>
      </c>
    </row>
    <row r="855" spans="1:4" x14ac:dyDescent="0.25">
      <c r="A855">
        <v>2023</v>
      </c>
      <c r="B855" t="s">
        <v>53</v>
      </c>
      <c r="C855" t="s">
        <v>5</v>
      </c>
      <c r="D855">
        <v>42500000</v>
      </c>
    </row>
    <row r="856" spans="1:4" x14ac:dyDescent="0.25">
      <c r="A856">
        <v>2023</v>
      </c>
      <c r="B856" t="s">
        <v>53</v>
      </c>
      <c r="C856" t="s">
        <v>6</v>
      </c>
      <c r="D856">
        <v>22389000</v>
      </c>
    </row>
    <row r="857" spans="1:4" x14ac:dyDescent="0.25">
      <c r="A857">
        <v>2023</v>
      </c>
      <c r="B857" t="s">
        <v>53</v>
      </c>
      <c r="C857" t="s">
        <v>8</v>
      </c>
      <c r="D857">
        <v>100000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DFA90-1490-4746-90EE-2736AA827553}">
  <dimension ref="A1:D711"/>
  <sheetViews>
    <sheetView workbookViewId="0"/>
  </sheetViews>
  <sheetFormatPr defaultRowHeight="15" x14ac:dyDescent="0.25"/>
  <cols>
    <col min="1" max="1" width="8" bestFit="1" customWidth="1"/>
    <col min="2" max="2" width="49.42578125" bestFit="1" customWidth="1"/>
    <col min="3" max="3" width="27.42578125" bestFit="1" customWidth="1"/>
    <col min="4" max="4" width="20.140625" bestFit="1" customWidth="1"/>
  </cols>
  <sheetData>
    <row r="1" spans="1:4" x14ac:dyDescent="0.25">
      <c r="A1" t="s">
        <v>0</v>
      </c>
      <c r="B1" t="s">
        <v>1</v>
      </c>
      <c r="C1" t="s">
        <v>2</v>
      </c>
      <c r="D1" t="s">
        <v>3</v>
      </c>
    </row>
    <row r="2" spans="1:4" x14ac:dyDescent="0.25">
      <c r="A2">
        <v>2022</v>
      </c>
      <c r="B2" t="s">
        <v>4</v>
      </c>
      <c r="C2" t="s">
        <v>5</v>
      </c>
      <c r="D2">
        <v>488189</v>
      </c>
    </row>
    <row r="3" spans="1:4" x14ac:dyDescent="0.25">
      <c r="A3">
        <v>2022</v>
      </c>
      <c r="B3" t="s">
        <v>4</v>
      </c>
      <c r="C3" t="s">
        <v>5</v>
      </c>
      <c r="D3">
        <v>65962708</v>
      </c>
    </row>
    <row r="4" spans="1:4" x14ac:dyDescent="0.25">
      <c r="A4">
        <v>2022</v>
      </c>
      <c r="B4" t="s">
        <v>4</v>
      </c>
      <c r="C4" t="s">
        <v>5</v>
      </c>
      <c r="D4">
        <v>216880783</v>
      </c>
    </row>
    <row r="5" spans="1:4" x14ac:dyDescent="0.25">
      <c r="A5">
        <v>2022</v>
      </c>
      <c r="B5" t="s">
        <v>4</v>
      </c>
      <c r="C5" t="s">
        <v>5</v>
      </c>
      <c r="D5">
        <v>21176242</v>
      </c>
    </row>
    <row r="6" spans="1:4" x14ac:dyDescent="0.25">
      <c r="A6">
        <v>2022</v>
      </c>
      <c r="B6" t="s">
        <v>4</v>
      </c>
      <c r="C6" t="s">
        <v>5</v>
      </c>
      <c r="D6">
        <v>27140714</v>
      </c>
    </row>
    <row r="7" spans="1:4" x14ac:dyDescent="0.25">
      <c r="A7">
        <v>2022</v>
      </c>
      <c r="B7" t="s">
        <v>4</v>
      </c>
      <c r="C7" t="s">
        <v>5</v>
      </c>
      <c r="D7">
        <v>30468316</v>
      </c>
    </row>
    <row r="8" spans="1:4" x14ac:dyDescent="0.25">
      <c r="A8">
        <v>2022</v>
      </c>
      <c r="B8" t="s">
        <v>4</v>
      </c>
      <c r="C8" t="s">
        <v>5</v>
      </c>
      <c r="D8">
        <v>588048</v>
      </c>
    </row>
    <row r="9" spans="1:4" x14ac:dyDescent="0.25">
      <c r="A9">
        <v>2022</v>
      </c>
      <c r="B9" t="s">
        <v>4</v>
      </c>
      <c r="C9" t="s">
        <v>6</v>
      </c>
      <c r="D9">
        <v>122382000</v>
      </c>
    </row>
    <row r="10" spans="1:4" x14ac:dyDescent="0.25">
      <c r="A10">
        <v>2022</v>
      </c>
      <c r="B10" t="s">
        <v>4</v>
      </c>
      <c r="C10" t="s">
        <v>7</v>
      </c>
      <c r="D10">
        <v>200000000</v>
      </c>
    </row>
    <row r="11" spans="1:4" x14ac:dyDescent="0.25">
      <c r="A11">
        <v>2022</v>
      </c>
      <c r="B11" t="s">
        <v>4</v>
      </c>
      <c r="C11" t="s">
        <v>8</v>
      </c>
      <c r="D11">
        <v>584500000</v>
      </c>
    </row>
    <row r="12" spans="1:4" x14ac:dyDescent="0.25">
      <c r="A12">
        <v>2022</v>
      </c>
      <c r="B12" t="s">
        <v>4</v>
      </c>
      <c r="C12" t="s">
        <v>8</v>
      </c>
      <c r="D12">
        <v>11623000</v>
      </c>
    </row>
    <row r="13" spans="1:4" x14ac:dyDescent="0.25">
      <c r="A13">
        <v>2022</v>
      </c>
      <c r="B13" t="s">
        <v>9</v>
      </c>
      <c r="C13" t="s">
        <v>5</v>
      </c>
      <c r="D13">
        <v>200000</v>
      </c>
    </row>
    <row r="14" spans="1:4" x14ac:dyDescent="0.25">
      <c r="A14">
        <v>2022</v>
      </c>
      <c r="B14" t="s">
        <v>9</v>
      </c>
      <c r="C14" t="s">
        <v>5</v>
      </c>
      <c r="D14">
        <v>125266408</v>
      </c>
    </row>
    <row r="15" spans="1:4" x14ac:dyDescent="0.25">
      <c r="A15">
        <v>2022</v>
      </c>
      <c r="B15" t="s">
        <v>9</v>
      </c>
      <c r="C15" t="s">
        <v>5</v>
      </c>
      <c r="D15">
        <v>25880868</v>
      </c>
    </row>
    <row r="16" spans="1:4" x14ac:dyDescent="0.25">
      <c r="A16">
        <v>2022</v>
      </c>
      <c r="B16" t="s">
        <v>9</v>
      </c>
      <c r="C16" t="s">
        <v>5</v>
      </c>
      <c r="D16">
        <v>5027784</v>
      </c>
    </row>
    <row r="17" spans="1:4" x14ac:dyDescent="0.25">
      <c r="A17">
        <v>2022</v>
      </c>
      <c r="B17" t="s">
        <v>9</v>
      </c>
      <c r="C17" t="s">
        <v>5</v>
      </c>
      <c r="D17">
        <v>1556340</v>
      </c>
    </row>
    <row r="18" spans="1:4" x14ac:dyDescent="0.25">
      <c r="A18">
        <v>2022</v>
      </c>
      <c r="B18" t="s">
        <v>9</v>
      </c>
      <c r="C18" t="s">
        <v>5</v>
      </c>
      <c r="D18">
        <v>9459276</v>
      </c>
    </row>
    <row r="19" spans="1:4" x14ac:dyDescent="0.25">
      <c r="A19">
        <v>2022</v>
      </c>
      <c r="B19" t="s">
        <v>9</v>
      </c>
      <c r="C19" t="s">
        <v>5</v>
      </c>
      <c r="D19">
        <v>8863416</v>
      </c>
    </row>
    <row r="20" spans="1:4" x14ac:dyDescent="0.25">
      <c r="A20">
        <v>2022</v>
      </c>
      <c r="B20" t="s">
        <v>9</v>
      </c>
      <c r="C20" t="s">
        <v>5</v>
      </c>
      <c r="D20">
        <v>7926180</v>
      </c>
    </row>
    <row r="21" spans="1:4" x14ac:dyDescent="0.25">
      <c r="A21">
        <v>2022</v>
      </c>
      <c r="B21" t="s">
        <v>9</v>
      </c>
      <c r="C21" t="s">
        <v>5</v>
      </c>
      <c r="D21">
        <v>2344608</v>
      </c>
    </row>
    <row r="22" spans="1:4" x14ac:dyDescent="0.25">
      <c r="A22">
        <v>2022</v>
      </c>
      <c r="B22" t="s">
        <v>9</v>
      </c>
      <c r="C22" t="s">
        <v>5</v>
      </c>
      <c r="D22">
        <v>789780</v>
      </c>
    </row>
    <row r="23" spans="1:4" x14ac:dyDescent="0.25">
      <c r="A23">
        <v>2022</v>
      </c>
      <c r="B23" t="s">
        <v>9</v>
      </c>
      <c r="C23" t="s">
        <v>5</v>
      </c>
      <c r="D23">
        <v>793920</v>
      </c>
    </row>
    <row r="24" spans="1:4" x14ac:dyDescent="0.25">
      <c r="A24">
        <v>2022</v>
      </c>
      <c r="B24" t="s">
        <v>9</v>
      </c>
      <c r="C24" t="s">
        <v>5</v>
      </c>
      <c r="D24">
        <v>789780</v>
      </c>
    </row>
    <row r="25" spans="1:4" x14ac:dyDescent="0.25">
      <c r="A25">
        <v>2022</v>
      </c>
      <c r="B25" t="s">
        <v>9</v>
      </c>
      <c r="C25" t="s">
        <v>5</v>
      </c>
      <c r="D25">
        <v>789780</v>
      </c>
    </row>
    <row r="26" spans="1:4" x14ac:dyDescent="0.25">
      <c r="A26">
        <v>2022</v>
      </c>
      <c r="B26" t="s">
        <v>9</v>
      </c>
      <c r="C26" t="s">
        <v>5</v>
      </c>
      <c r="D26">
        <v>789780</v>
      </c>
    </row>
    <row r="27" spans="1:4" x14ac:dyDescent="0.25">
      <c r="A27">
        <v>2022</v>
      </c>
      <c r="B27" t="s">
        <v>9</v>
      </c>
      <c r="C27" t="s">
        <v>5</v>
      </c>
      <c r="D27">
        <v>769080</v>
      </c>
    </row>
    <row r="28" spans="1:4" x14ac:dyDescent="0.25">
      <c r="A28">
        <v>2022</v>
      </c>
      <c r="B28" t="s">
        <v>9</v>
      </c>
      <c r="C28" t="s">
        <v>6</v>
      </c>
      <c r="D28">
        <v>111828000</v>
      </c>
    </row>
    <row r="29" spans="1:4" x14ac:dyDescent="0.25">
      <c r="A29">
        <v>2022</v>
      </c>
      <c r="B29" t="s">
        <v>9</v>
      </c>
      <c r="C29" t="s">
        <v>7</v>
      </c>
      <c r="D29">
        <v>4550000</v>
      </c>
    </row>
    <row r="30" spans="1:4" x14ac:dyDescent="0.25">
      <c r="A30">
        <v>2022</v>
      </c>
      <c r="B30" t="s">
        <v>9</v>
      </c>
      <c r="C30" t="s">
        <v>8</v>
      </c>
      <c r="D30">
        <v>5250000</v>
      </c>
    </row>
    <row r="31" spans="1:4" x14ac:dyDescent="0.25">
      <c r="A31">
        <v>2022</v>
      </c>
      <c r="B31" t="s">
        <v>10</v>
      </c>
      <c r="C31" t="s">
        <v>5</v>
      </c>
      <c r="D31">
        <v>5051412</v>
      </c>
    </row>
    <row r="32" spans="1:4" x14ac:dyDescent="0.25">
      <c r="A32">
        <v>2022</v>
      </c>
      <c r="B32" t="s">
        <v>10</v>
      </c>
      <c r="C32" t="s">
        <v>5</v>
      </c>
      <c r="D32">
        <v>1244293408</v>
      </c>
    </row>
    <row r="33" spans="1:4" x14ac:dyDescent="0.25">
      <c r="A33">
        <v>2022</v>
      </c>
      <c r="B33" t="s">
        <v>10</v>
      </c>
      <c r="C33" t="s">
        <v>5</v>
      </c>
      <c r="D33">
        <v>7258740</v>
      </c>
    </row>
    <row r="34" spans="1:4" x14ac:dyDescent="0.25">
      <c r="A34">
        <v>2022</v>
      </c>
      <c r="B34" t="s">
        <v>10</v>
      </c>
      <c r="C34" t="s">
        <v>5</v>
      </c>
      <c r="D34">
        <v>3140800</v>
      </c>
    </row>
    <row r="35" spans="1:4" x14ac:dyDescent="0.25">
      <c r="A35">
        <v>2022</v>
      </c>
      <c r="B35" t="s">
        <v>10</v>
      </c>
      <c r="C35" t="s">
        <v>5</v>
      </c>
      <c r="D35">
        <v>355992</v>
      </c>
    </row>
    <row r="36" spans="1:4" x14ac:dyDescent="0.25">
      <c r="A36">
        <v>2022</v>
      </c>
      <c r="B36" t="s">
        <v>10</v>
      </c>
      <c r="C36" t="s">
        <v>5</v>
      </c>
      <c r="D36">
        <v>688032</v>
      </c>
    </row>
    <row r="37" spans="1:4" x14ac:dyDescent="0.25">
      <c r="A37">
        <v>2022</v>
      </c>
      <c r="B37" t="s">
        <v>10</v>
      </c>
      <c r="C37" t="s">
        <v>5</v>
      </c>
      <c r="D37">
        <v>638616</v>
      </c>
    </row>
    <row r="38" spans="1:4" x14ac:dyDescent="0.25">
      <c r="A38">
        <v>2022</v>
      </c>
      <c r="B38" t="s">
        <v>10</v>
      </c>
      <c r="C38" t="s">
        <v>5</v>
      </c>
      <c r="D38">
        <v>30000</v>
      </c>
    </row>
    <row r="39" spans="1:4" x14ac:dyDescent="0.25">
      <c r="A39">
        <v>2022</v>
      </c>
      <c r="B39" t="s">
        <v>10</v>
      </c>
      <c r="C39" t="s">
        <v>5</v>
      </c>
      <c r="D39">
        <v>3071592</v>
      </c>
    </row>
    <row r="40" spans="1:4" x14ac:dyDescent="0.25">
      <c r="A40">
        <v>2022</v>
      </c>
      <c r="B40" t="s">
        <v>10</v>
      </c>
      <c r="C40" t="s">
        <v>5</v>
      </c>
      <c r="D40">
        <v>4987720</v>
      </c>
    </row>
    <row r="41" spans="1:4" x14ac:dyDescent="0.25">
      <c r="A41">
        <v>2022</v>
      </c>
      <c r="B41" t="s">
        <v>10</v>
      </c>
      <c r="C41" t="s">
        <v>5</v>
      </c>
      <c r="D41">
        <v>280000</v>
      </c>
    </row>
    <row r="42" spans="1:4" x14ac:dyDescent="0.25">
      <c r="A42">
        <v>2022</v>
      </c>
      <c r="B42" t="s">
        <v>10</v>
      </c>
      <c r="C42" t="s">
        <v>5</v>
      </c>
      <c r="D42">
        <v>660000</v>
      </c>
    </row>
    <row r="43" spans="1:4" x14ac:dyDescent="0.25">
      <c r="A43">
        <v>2022</v>
      </c>
      <c r="B43" t="s">
        <v>10</v>
      </c>
      <c r="C43" t="s">
        <v>5</v>
      </c>
      <c r="D43">
        <v>610000</v>
      </c>
    </row>
    <row r="44" spans="1:4" x14ac:dyDescent="0.25">
      <c r="A44">
        <v>2022</v>
      </c>
      <c r="B44" t="s">
        <v>10</v>
      </c>
      <c r="C44" t="s">
        <v>5</v>
      </c>
      <c r="D44">
        <v>1014436</v>
      </c>
    </row>
    <row r="45" spans="1:4" x14ac:dyDescent="0.25">
      <c r="A45">
        <v>2022</v>
      </c>
      <c r="B45" t="s">
        <v>10</v>
      </c>
      <c r="C45" t="s">
        <v>5</v>
      </c>
      <c r="D45">
        <v>3306448</v>
      </c>
    </row>
    <row r="46" spans="1:4" x14ac:dyDescent="0.25">
      <c r="A46">
        <v>2022</v>
      </c>
      <c r="B46" t="s">
        <v>10</v>
      </c>
      <c r="C46" t="s">
        <v>5</v>
      </c>
      <c r="D46">
        <v>1839776</v>
      </c>
    </row>
    <row r="47" spans="1:4" x14ac:dyDescent="0.25">
      <c r="A47">
        <v>2022</v>
      </c>
      <c r="B47" t="s">
        <v>10</v>
      </c>
      <c r="C47" t="s">
        <v>5</v>
      </c>
      <c r="D47">
        <v>810000</v>
      </c>
    </row>
    <row r="48" spans="1:4" x14ac:dyDescent="0.25">
      <c r="A48">
        <v>2022</v>
      </c>
      <c r="B48" t="s">
        <v>10</v>
      </c>
      <c r="C48" t="s">
        <v>5</v>
      </c>
      <c r="D48">
        <v>1332056</v>
      </c>
    </row>
    <row r="49" spans="1:4" x14ac:dyDescent="0.25">
      <c r="A49">
        <v>2022</v>
      </c>
      <c r="B49" t="s">
        <v>10</v>
      </c>
      <c r="C49" t="s">
        <v>5</v>
      </c>
      <c r="D49">
        <v>1021380</v>
      </c>
    </row>
    <row r="50" spans="1:4" x14ac:dyDescent="0.25">
      <c r="A50">
        <v>2022</v>
      </c>
      <c r="B50" t="s">
        <v>10</v>
      </c>
      <c r="C50" t="s">
        <v>5</v>
      </c>
      <c r="D50">
        <v>963492</v>
      </c>
    </row>
    <row r="51" spans="1:4" x14ac:dyDescent="0.25">
      <c r="A51">
        <v>2022</v>
      </c>
      <c r="B51" t="s">
        <v>10</v>
      </c>
      <c r="C51" t="s">
        <v>5</v>
      </c>
      <c r="D51">
        <v>1450684</v>
      </c>
    </row>
    <row r="52" spans="1:4" x14ac:dyDescent="0.25">
      <c r="A52">
        <v>2022</v>
      </c>
      <c r="B52" t="s">
        <v>10</v>
      </c>
      <c r="C52" t="s">
        <v>5</v>
      </c>
      <c r="D52">
        <v>2914212</v>
      </c>
    </row>
    <row r="53" spans="1:4" x14ac:dyDescent="0.25">
      <c r="A53">
        <v>2022</v>
      </c>
      <c r="B53" t="s">
        <v>10</v>
      </c>
      <c r="C53" t="s">
        <v>5</v>
      </c>
      <c r="D53">
        <v>1466244</v>
      </c>
    </row>
    <row r="54" spans="1:4" x14ac:dyDescent="0.25">
      <c r="A54">
        <v>2022</v>
      </c>
      <c r="B54" t="s">
        <v>10</v>
      </c>
      <c r="C54" t="s">
        <v>5</v>
      </c>
      <c r="D54">
        <v>1320000</v>
      </c>
    </row>
    <row r="55" spans="1:4" x14ac:dyDescent="0.25">
      <c r="A55">
        <v>2022</v>
      </c>
      <c r="B55" t="s">
        <v>10</v>
      </c>
      <c r="C55" t="s">
        <v>5</v>
      </c>
      <c r="D55">
        <v>4169504</v>
      </c>
    </row>
    <row r="56" spans="1:4" x14ac:dyDescent="0.25">
      <c r="A56">
        <v>2022</v>
      </c>
      <c r="B56" t="s">
        <v>10</v>
      </c>
      <c r="C56" t="s">
        <v>5</v>
      </c>
      <c r="D56">
        <v>1733772</v>
      </c>
    </row>
    <row r="57" spans="1:4" x14ac:dyDescent="0.25">
      <c r="A57">
        <v>2022</v>
      </c>
      <c r="B57" t="s">
        <v>10</v>
      </c>
      <c r="C57" t="s">
        <v>5</v>
      </c>
      <c r="D57">
        <v>3536104</v>
      </c>
    </row>
    <row r="58" spans="1:4" x14ac:dyDescent="0.25">
      <c r="A58">
        <v>2022</v>
      </c>
      <c r="B58" t="s">
        <v>10</v>
      </c>
      <c r="C58" t="s">
        <v>5</v>
      </c>
      <c r="D58">
        <v>2313316</v>
      </c>
    </row>
    <row r="59" spans="1:4" x14ac:dyDescent="0.25">
      <c r="A59">
        <v>2022</v>
      </c>
      <c r="B59" t="s">
        <v>10</v>
      </c>
      <c r="C59" t="s">
        <v>5</v>
      </c>
      <c r="D59">
        <v>3024920</v>
      </c>
    </row>
    <row r="60" spans="1:4" x14ac:dyDescent="0.25">
      <c r="A60">
        <v>2022</v>
      </c>
      <c r="B60" t="s">
        <v>10</v>
      </c>
      <c r="C60" t="s">
        <v>5</v>
      </c>
      <c r="D60">
        <v>442000</v>
      </c>
    </row>
    <row r="61" spans="1:4" x14ac:dyDescent="0.25">
      <c r="A61">
        <v>2022</v>
      </c>
      <c r="B61" t="s">
        <v>10</v>
      </c>
      <c r="C61" t="s">
        <v>5</v>
      </c>
      <c r="D61">
        <v>3131632</v>
      </c>
    </row>
    <row r="62" spans="1:4" x14ac:dyDescent="0.25">
      <c r="A62">
        <v>2022</v>
      </c>
      <c r="B62" t="s">
        <v>10</v>
      </c>
      <c r="C62" t="s">
        <v>5</v>
      </c>
      <c r="D62">
        <v>1028468</v>
      </c>
    </row>
    <row r="63" spans="1:4" x14ac:dyDescent="0.25">
      <c r="A63">
        <v>2022</v>
      </c>
      <c r="B63" t="s">
        <v>10</v>
      </c>
      <c r="C63" t="s">
        <v>5</v>
      </c>
      <c r="D63">
        <v>710000</v>
      </c>
    </row>
    <row r="64" spans="1:4" x14ac:dyDescent="0.25">
      <c r="A64">
        <v>2022</v>
      </c>
      <c r="B64" t="s">
        <v>10</v>
      </c>
      <c r="C64" t="s">
        <v>5</v>
      </c>
      <c r="D64">
        <v>3296800</v>
      </c>
    </row>
    <row r="65" spans="1:4" x14ac:dyDescent="0.25">
      <c r="A65">
        <v>2022</v>
      </c>
      <c r="B65" t="s">
        <v>10</v>
      </c>
      <c r="C65" t="s">
        <v>5</v>
      </c>
      <c r="D65">
        <v>2362860</v>
      </c>
    </row>
    <row r="66" spans="1:4" x14ac:dyDescent="0.25">
      <c r="A66">
        <v>2022</v>
      </c>
      <c r="B66" t="s">
        <v>10</v>
      </c>
      <c r="C66" t="s">
        <v>5</v>
      </c>
      <c r="D66">
        <v>2943896</v>
      </c>
    </row>
    <row r="67" spans="1:4" x14ac:dyDescent="0.25">
      <c r="A67">
        <v>2022</v>
      </c>
      <c r="B67" t="s">
        <v>10</v>
      </c>
      <c r="C67" t="s">
        <v>5</v>
      </c>
      <c r="D67">
        <v>4329636</v>
      </c>
    </row>
    <row r="68" spans="1:4" x14ac:dyDescent="0.25">
      <c r="A68">
        <v>2022</v>
      </c>
      <c r="B68" t="s">
        <v>10</v>
      </c>
      <c r="C68" t="s">
        <v>5</v>
      </c>
      <c r="D68">
        <v>2378052</v>
      </c>
    </row>
    <row r="69" spans="1:4" x14ac:dyDescent="0.25">
      <c r="A69">
        <v>2022</v>
      </c>
      <c r="B69" t="s">
        <v>10</v>
      </c>
      <c r="C69" t="s">
        <v>5</v>
      </c>
      <c r="D69">
        <v>395000</v>
      </c>
    </row>
    <row r="70" spans="1:4" x14ac:dyDescent="0.25">
      <c r="A70">
        <v>2022</v>
      </c>
      <c r="B70" t="s">
        <v>10</v>
      </c>
      <c r="C70" t="s">
        <v>5</v>
      </c>
      <c r="D70">
        <v>130000</v>
      </c>
    </row>
    <row r="71" spans="1:4" x14ac:dyDescent="0.25">
      <c r="A71">
        <v>2022</v>
      </c>
      <c r="B71" t="s">
        <v>10</v>
      </c>
      <c r="C71" t="s">
        <v>5</v>
      </c>
      <c r="D71">
        <v>2037412</v>
      </c>
    </row>
    <row r="72" spans="1:4" x14ac:dyDescent="0.25">
      <c r="A72">
        <v>2022</v>
      </c>
      <c r="B72" t="s">
        <v>10</v>
      </c>
      <c r="C72" t="s">
        <v>5</v>
      </c>
      <c r="D72">
        <v>1208332</v>
      </c>
    </row>
    <row r="73" spans="1:4" x14ac:dyDescent="0.25">
      <c r="A73">
        <v>2022</v>
      </c>
      <c r="B73" t="s">
        <v>10</v>
      </c>
      <c r="C73" t="s">
        <v>5</v>
      </c>
      <c r="D73">
        <v>1506676</v>
      </c>
    </row>
    <row r="74" spans="1:4" x14ac:dyDescent="0.25">
      <c r="A74">
        <v>2022</v>
      </c>
      <c r="B74" t="s">
        <v>10</v>
      </c>
      <c r="C74" t="s">
        <v>5</v>
      </c>
      <c r="D74">
        <v>1457824</v>
      </c>
    </row>
    <row r="75" spans="1:4" x14ac:dyDescent="0.25">
      <c r="A75">
        <v>2022</v>
      </c>
      <c r="B75" t="s">
        <v>10</v>
      </c>
      <c r="C75" t="s">
        <v>5</v>
      </c>
      <c r="D75">
        <v>485000</v>
      </c>
    </row>
    <row r="76" spans="1:4" x14ac:dyDescent="0.25">
      <c r="A76">
        <v>2022</v>
      </c>
      <c r="B76" t="s">
        <v>10</v>
      </c>
      <c r="C76" t="s">
        <v>5</v>
      </c>
      <c r="D76">
        <v>971300</v>
      </c>
    </row>
    <row r="77" spans="1:4" x14ac:dyDescent="0.25">
      <c r="A77">
        <v>2022</v>
      </c>
      <c r="B77" t="s">
        <v>10</v>
      </c>
      <c r="C77" t="s">
        <v>5</v>
      </c>
      <c r="D77">
        <v>605000</v>
      </c>
    </row>
    <row r="78" spans="1:4" x14ac:dyDescent="0.25">
      <c r="A78">
        <v>2022</v>
      </c>
      <c r="B78" t="s">
        <v>10</v>
      </c>
      <c r="C78" t="s">
        <v>5</v>
      </c>
      <c r="D78">
        <v>250000</v>
      </c>
    </row>
    <row r="79" spans="1:4" x14ac:dyDescent="0.25">
      <c r="A79">
        <v>2022</v>
      </c>
      <c r="B79" t="s">
        <v>10</v>
      </c>
      <c r="C79" t="s">
        <v>5</v>
      </c>
      <c r="D79">
        <v>310000</v>
      </c>
    </row>
    <row r="80" spans="1:4" x14ac:dyDescent="0.25">
      <c r="A80">
        <v>2022</v>
      </c>
      <c r="B80" t="s">
        <v>10</v>
      </c>
      <c r="C80" t="s">
        <v>5</v>
      </c>
      <c r="D80">
        <v>250000</v>
      </c>
    </row>
    <row r="81" spans="1:4" x14ac:dyDescent="0.25">
      <c r="A81">
        <v>2022</v>
      </c>
      <c r="B81" t="s">
        <v>10</v>
      </c>
      <c r="C81" t="s">
        <v>5</v>
      </c>
      <c r="D81">
        <v>310000</v>
      </c>
    </row>
    <row r="82" spans="1:4" x14ac:dyDescent="0.25">
      <c r="A82">
        <v>2022</v>
      </c>
      <c r="B82" t="s">
        <v>10</v>
      </c>
      <c r="C82" t="s">
        <v>5</v>
      </c>
      <c r="D82">
        <v>20000</v>
      </c>
    </row>
    <row r="83" spans="1:4" x14ac:dyDescent="0.25">
      <c r="A83">
        <v>2022</v>
      </c>
      <c r="B83" t="s">
        <v>10</v>
      </c>
      <c r="C83" t="s">
        <v>5</v>
      </c>
      <c r="D83">
        <v>20000</v>
      </c>
    </row>
    <row r="84" spans="1:4" x14ac:dyDescent="0.25">
      <c r="A84">
        <v>2022</v>
      </c>
      <c r="B84" t="s">
        <v>10</v>
      </c>
      <c r="C84" t="s">
        <v>5</v>
      </c>
      <c r="D84">
        <v>3999000</v>
      </c>
    </row>
    <row r="85" spans="1:4" x14ac:dyDescent="0.25">
      <c r="A85">
        <v>2022</v>
      </c>
      <c r="B85" t="s">
        <v>10</v>
      </c>
      <c r="C85" t="s">
        <v>5</v>
      </c>
      <c r="D85">
        <v>2700000</v>
      </c>
    </row>
    <row r="86" spans="1:4" x14ac:dyDescent="0.25">
      <c r="A86">
        <v>2022</v>
      </c>
      <c r="B86" t="s">
        <v>10</v>
      </c>
      <c r="C86" t="s">
        <v>5</v>
      </c>
      <c r="D86">
        <v>1765524</v>
      </c>
    </row>
    <row r="87" spans="1:4" x14ac:dyDescent="0.25">
      <c r="A87">
        <v>2022</v>
      </c>
      <c r="B87" t="s">
        <v>10</v>
      </c>
      <c r="C87" t="s">
        <v>5</v>
      </c>
      <c r="D87">
        <v>625000</v>
      </c>
    </row>
    <row r="88" spans="1:4" x14ac:dyDescent="0.25">
      <c r="A88">
        <v>2022</v>
      </c>
      <c r="B88" t="s">
        <v>10</v>
      </c>
      <c r="C88" t="s">
        <v>5</v>
      </c>
      <c r="D88">
        <v>1407828</v>
      </c>
    </row>
    <row r="89" spans="1:4" x14ac:dyDescent="0.25">
      <c r="A89">
        <v>2022</v>
      </c>
      <c r="B89" t="s">
        <v>10</v>
      </c>
      <c r="C89" t="s">
        <v>5</v>
      </c>
      <c r="D89">
        <v>812100</v>
      </c>
    </row>
    <row r="90" spans="1:4" x14ac:dyDescent="0.25">
      <c r="A90">
        <v>2022</v>
      </c>
      <c r="B90" t="s">
        <v>10</v>
      </c>
      <c r="C90" t="s">
        <v>5</v>
      </c>
      <c r="D90">
        <v>2392012</v>
      </c>
    </row>
    <row r="91" spans="1:4" x14ac:dyDescent="0.25">
      <c r="A91">
        <v>2022</v>
      </c>
      <c r="B91" t="s">
        <v>10</v>
      </c>
      <c r="C91" t="s">
        <v>5</v>
      </c>
      <c r="D91">
        <v>1059020</v>
      </c>
    </row>
    <row r="92" spans="1:4" x14ac:dyDescent="0.25">
      <c r="A92">
        <v>2022</v>
      </c>
      <c r="B92" t="s">
        <v>10</v>
      </c>
      <c r="C92" t="s">
        <v>5</v>
      </c>
      <c r="D92">
        <v>1911668</v>
      </c>
    </row>
    <row r="93" spans="1:4" x14ac:dyDescent="0.25">
      <c r="A93">
        <v>2022</v>
      </c>
      <c r="B93" t="s">
        <v>10</v>
      </c>
      <c r="C93" t="s">
        <v>5</v>
      </c>
      <c r="D93">
        <v>70000</v>
      </c>
    </row>
    <row r="94" spans="1:4" x14ac:dyDescent="0.25">
      <c r="A94">
        <v>2022</v>
      </c>
      <c r="B94" t="s">
        <v>10</v>
      </c>
      <c r="C94" t="s">
        <v>5</v>
      </c>
      <c r="D94">
        <v>185000</v>
      </c>
    </row>
    <row r="95" spans="1:4" x14ac:dyDescent="0.25">
      <c r="A95">
        <v>2022</v>
      </c>
      <c r="B95" t="s">
        <v>10</v>
      </c>
      <c r="C95" t="s">
        <v>5</v>
      </c>
      <c r="D95">
        <v>2391344</v>
      </c>
    </row>
    <row r="96" spans="1:4" x14ac:dyDescent="0.25">
      <c r="A96">
        <v>2022</v>
      </c>
      <c r="B96" t="s">
        <v>10</v>
      </c>
      <c r="C96" t="s">
        <v>5</v>
      </c>
      <c r="D96">
        <v>1234308</v>
      </c>
    </row>
    <row r="97" spans="1:4" x14ac:dyDescent="0.25">
      <c r="A97">
        <v>2022</v>
      </c>
      <c r="B97" t="s">
        <v>10</v>
      </c>
      <c r="C97" t="s">
        <v>5</v>
      </c>
      <c r="D97">
        <v>1227816</v>
      </c>
    </row>
    <row r="98" spans="1:4" x14ac:dyDescent="0.25">
      <c r="A98">
        <v>2022</v>
      </c>
      <c r="B98" t="s">
        <v>10</v>
      </c>
      <c r="C98" t="s">
        <v>5</v>
      </c>
      <c r="D98">
        <v>753900</v>
      </c>
    </row>
    <row r="99" spans="1:4" x14ac:dyDescent="0.25">
      <c r="A99">
        <v>2022</v>
      </c>
      <c r="B99" t="s">
        <v>10</v>
      </c>
      <c r="C99" t="s">
        <v>5</v>
      </c>
      <c r="D99">
        <v>1405948</v>
      </c>
    </row>
    <row r="100" spans="1:4" x14ac:dyDescent="0.25">
      <c r="A100">
        <v>2022</v>
      </c>
      <c r="B100" t="s">
        <v>10</v>
      </c>
      <c r="C100" t="s">
        <v>5</v>
      </c>
      <c r="D100">
        <v>1391872</v>
      </c>
    </row>
    <row r="101" spans="1:4" x14ac:dyDescent="0.25">
      <c r="A101">
        <v>2022</v>
      </c>
      <c r="B101" t="s">
        <v>10</v>
      </c>
      <c r="C101" t="s">
        <v>5</v>
      </c>
      <c r="D101">
        <v>3942208</v>
      </c>
    </row>
    <row r="102" spans="1:4" x14ac:dyDescent="0.25">
      <c r="A102">
        <v>2022</v>
      </c>
      <c r="B102" t="s">
        <v>10</v>
      </c>
      <c r="C102" t="s">
        <v>5</v>
      </c>
      <c r="D102">
        <v>315000</v>
      </c>
    </row>
    <row r="103" spans="1:4" x14ac:dyDescent="0.25">
      <c r="A103">
        <v>2022</v>
      </c>
      <c r="B103" t="s">
        <v>10</v>
      </c>
      <c r="C103" t="s">
        <v>5</v>
      </c>
      <c r="D103">
        <v>507000</v>
      </c>
    </row>
    <row r="104" spans="1:4" x14ac:dyDescent="0.25">
      <c r="A104">
        <v>2022</v>
      </c>
      <c r="B104" t="s">
        <v>10</v>
      </c>
      <c r="C104" t="s">
        <v>5</v>
      </c>
      <c r="D104">
        <v>310000</v>
      </c>
    </row>
    <row r="105" spans="1:4" x14ac:dyDescent="0.25">
      <c r="A105">
        <v>2022</v>
      </c>
      <c r="B105" t="s">
        <v>10</v>
      </c>
      <c r="C105" t="s">
        <v>5</v>
      </c>
      <c r="D105">
        <v>20000</v>
      </c>
    </row>
    <row r="106" spans="1:4" x14ac:dyDescent="0.25">
      <c r="A106">
        <v>2022</v>
      </c>
      <c r="B106" t="s">
        <v>10</v>
      </c>
      <c r="C106" t="s">
        <v>5</v>
      </c>
      <c r="D106">
        <v>310000</v>
      </c>
    </row>
    <row r="107" spans="1:4" x14ac:dyDescent="0.25">
      <c r="A107">
        <v>2022</v>
      </c>
      <c r="B107" t="s">
        <v>10</v>
      </c>
      <c r="C107" t="s">
        <v>5</v>
      </c>
      <c r="D107">
        <v>180000</v>
      </c>
    </row>
    <row r="108" spans="1:4" x14ac:dyDescent="0.25">
      <c r="A108">
        <v>2022</v>
      </c>
      <c r="B108" t="s">
        <v>10</v>
      </c>
      <c r="C108" t="s">
        <v>5</v>
      </c>
      <c r="D108">
        <v>70000</v>
      </c>
    </row>
    <row r="109" spans="1:4" x14ac:dyDescent="0.25">
      <c r="A109">
        <v>2022</v>
      </c>
      <c r="B109" t="s">
        <v>10</v>
      </c>
      <c r="C109" t="s">
        <v>5</v>
      </c>
      <c r="D109">
        <v>20000</v>
      </c>
    </row>
    <row r="110" spans="1:4" x14ac:dyDescent="0.25">
      <c r="A110">
        <v>2022</v>
      </c>
      <c r="B110" t="s">
        <v>10</v>
      </c>
      <c r="C110" t="s">
        <v>5</v>
      </c>
      <c r="D110">
        <v>30000</v>
      </c>
    </row>
    <row r="111" spans="1:4" x14ac:dyDescent="0.25">
      <c r="A111">
        <v>2022</v>
      </c>
      <c r="B111" t="s">
        <v>10</v>
      </c>
      <c r="C111" t="s">
        <v>5</v>
      </c>
      <c r="D111">
        <v>5000</v>
      </c>
    </row>
    <row r="112" spans="1:4" x14ac:dyDescent="0.25">
      <c r="A112">
        <v>2022</v>
      </c>
      <c r="B112" t="s">
        <v>10</v>
      </c>
      <c r="C112" t="s">
        <v>5</v>
      </c>
      <c r="D112">
        <v>1300000</v>
      </c>
    </row>
    <row r="113" spans="1:4" x14ac:dyDescent="0.25">
      <c r="A113">
        <v>2022</v>
      </c>
      <c r="B113" t="s">
        <v>10</v>
      </c>
      <c r="C113" t="s">
        <v>5</v>
      </c>
      <c r="D113">
        <v>50000</v>
      </c>
    </row>
    <row r="114" spans="1:4" x14ac:dyDescent="0.25">
      <c r="A114">
        <v>2022</v>
      </c>
      <c r="B114" t="s">
        <v>10</v>
      </c>
      <c r="C114" t="s">
        <v>5</v>
      </c>
      <c r="D114">
        <v>2250000</v>
      </c>
    </row>
    <row r="115" spans="1:4" x14ac:dyDescent="0.25">
      <c r="A115">
        <v>2022</v>
      </c>
      <c r="B115" t="s">
        <v>10</v>
      </c>
      <c r="C115" t="s">
        <v>5</v>
      </c>
      <c r="D115">
        <v>2890000</v>
      </c>
    </row>
    <row r="116" spans="1:4" x14ac:dyDescent="0.25">
      <c r="A116">
        <v>2022</v>
      </c>
      <c r="B116" t="s">
        <v>10</v>
      </c>
      <c r="C116" t="s">
        <v>5</v>
      </c>
      <c r="D116">
        <v>714024</v>
      </c>
    </row>
    <row r="117" spans="1:4" x14ac:dyDescent="0.25">
      <c r="A117">
        <v>2022</v>
      </c>
      <c r="B117" t="s">
        <v>10</v>
      </c>
      <c r="C117" t="s">
        <v>5</v>
      </c>
      <c r="D117">
        <v>2492252</v>
      </c>
    </row>
    <row r="118" spans="1:4" x14ac:dyDescent="0.25">
      <c r="A118">
        <v>2022</v>
      </c>
      <c r="B118" t="s">
        <v>10</v>
      </c>
      <c r="C118" t="s">
        <v>5</v>
      </c>
      <c r="D118">
        <v>633016</v>
      </c>
    </row>
    <row r="119" spans="1:4" x14ac:dyDescent="0.25">
      <c r="A119">
        <v>2022</v>
      </c>
      <c r="B119" t="s">
        <v>10</v>
      </c>
      <c r="C119" t="s">
        <v>5</v>
      </c>
      <c r="D119">
        <v>445000</v>
      </c>
    </row>
    <row r="120" spans="1:4" x14ac:dyDescent="0.25">
      <c r="A120">
        <v>2022</v>
      </c>
      <c r="B120" t="s">
        <v>10</v>
      </c>
      <c r="C120" t="s">
        <v>5</v>
      </c>
      <c r="D120">
        <v>4593780</v>
      </c>
    </row>
    <row r="121" spans="1:4" x14ac:dyDescent="0.25">
      <c r="A121">
        <v>2022</v>
      </c>
      <c r="B121" t="s">
        <v>10</v>
      </c>
      <c r="C121" t="s">
        <v>5</v>
      </c>
      <c r="D121">
        <v>2148920</v>
      </c>
    </row>
    <row r="122" spans="1:4" x14ac:dyDescent="0.25">
      <c r="A122">
        <v>2022</v>
      </c>
      <c r="B122" t="s">
        <v>10</v>
      </c>
      <c r="C122" t="s">
        <v>5</v>
      </c>
      <c r="D122">
        <v>2336424</v>
      </c>
    </row>
    <row r="123" spans="1:4" x14ac:dyDescent="0.25">
      <c r="A123">
        <v>2022</v>
      </c>
      <c r="B123" t="s">
        <v>10</v>
      </c>
      <c r="C123" t="s">
        <v>5</v>
      </c>
      <c r="D123">
        <v>1856544</v>
      </c>
    </row>
    <row r="124" spans="1:4" x14ac:dyDescent="0.25">
      <c r="A124">
        <v>2022</v>
      </c>
      <c r="B124" t="s">
        <v>10</v>
      </c>
      <c r="C124" t="s">
        <v>5</v>
      </c>
      <c r="D124">
        <v>404000</v>
      </c>
    </row>
    <row r="125" spans="1:4" x14ac:dyDescent="0.25">
      <c r="A125">
        <v>2022</v>
      </c>
      <c r="B125" t="s">
        <v>10</v>
      </c>
      <c r="C125" t="s">
        <v>5</v>
      </c>
      <c r="D125">
        <v>1158004</v>
      </c>
    </row>
    <row r="126" spans="1:4" x14ac:dyDescent="0.25">
      <c r="A126">
        <v>2022</v>
      </c>
      <c r="B126" t="s">
        <v>10</v>
      </c>
      <c r="C126" t="s">
        <v>5</v>
      </c>
      <c r="D126">
        <v>2617444</v>
      </c>
    </row>
    <row r="127" spans="1:4" x14ac:dyDescent="0.25">
      <c r="A127">
        <v>2022</v>
      </c>
      <c r="B127" t="s">
        <v>10</v>
      </c>
      <c r="C127" t="s">
        <v>5</v>
      </c>
      <c r="D127">
        <v>360000</v>
      </c>
    </row>
    <row r="128" spans="1:4" x14ac:dyDescent="0.25">
      <c r="A128">
        <v>2022</v>
      </c>
      <c r="B128" t="s">
        <v>10</v>
      </c>
      <c r="C128" t="s">
        <v>5</v>
      </c>
      <c r="D128">
        <v>20000</v>
      </c>
    </row>
    <row r="129" spans="1:4" x14ac:dyDescent="0.25">
      <c r="A129">
        <v>2022</v>
      </c>
      <c r="B129" t="s">
        <v>10</v>
      </c>
      <c r="C129" t="s">
        <v>5</v>
      </c>
      <c r="D129">
        <v>4428876</v>
      </c>
    </row>
    <row r="130" spans="1:4" x14ac:dyDescent="0.25">
      <c r="A130">
        <v>2022</v>
      </c>
      <c r="B130" t="s">
        <v>10</v>
      </c>
      <c r="C130" t="s">
        <v>5</v>
      </c>
      <c r="D130">
        <v>785000</v>
      </c>
    </row>
    <row r="131" spans="1:4" x14ac:dyDescent="0.25">
      <c r="A131">
        <v>2022</v>
      </c>
      <c r="B131" t="s">
        <v>10</v>
      </c>
      <c r="C131" t="s">
        <v>5</v>
      </c>
      <c r="D131">
        <v>595000</v>
      </c>
    </row>
    <row r="132" spans="1:4" x14ac:dyDescent="0.25">
      <c r="A132">
        <v>2022</v>
      </c>
      <c r="B132" t="s">
        <v>10</v>
      </c>
      <c r="C132" t="s">
        <v>5</v>
      </c>
      <c r="D132">
        <v>1126012</v>
      </c>
    </row>
    <row r="133" spans="1:4" x14ac:dyDescent="0.25">
      <c r="A133">
        <v>2022</v>
      </c>
      <c r="B133" t="s">
        <v>10</v>
      </c>
      <c r="C133" t="s">
        <v>5</v>
      </c>
      <c r="D133">
        <v>1671088</v>
      </c>
    </row>
    <row r="134" spans="1:4" x14ac:dyDescent="0.25">
      <c r="A134">
        <v>2022</v>
      </c>
      <c r="B134" t="s">
        <v>10</v>
      </c>
      <c r="C134" t="s">
        <v>5</v>
      </c>
      <c r="D134">
        <v>140000</v>
      </c>
    </row>
    <row r="135" spans="1:4" x14ac:dyDescent="0.25">
      <c r="A135">
        <v>2022</v>
      </c>
      <c r="B135" t="s">
        <v>10</v>
      </c>
      <c r="C135" t="s">
        <v>5</v>
      </c>
      <c r="D135">
        <v>1710212</v>
      </c>
    </row>
    <row r="136" spans="1:4" x14ac:dyDescent="0.25">
      <c r="A136">
        <v>2022</v>
      </c>
      <c r="B136" t="s">
        <v>10</v>
      </c>
      <c r="C136" t="s">
        <v>5</v>
      </c>
      <c r="D136">
        <v>1332272</v>
      </c>
    </row>
    <row r="137" spans="1:4" x14ac:dyDescent="0.25">
      <c r="A137">
        <v>2022</v>
      </c>
      <c r="B137" t="s">
        <v>10</v>
      </c>
      <c r="C137" t="s">
        <v>5</v>
      </c>
      <c r="D137">
        <v>940000</v>
      </c>
    </row>
    <row r="138" spans="1:4" x14ac:dyDescent="0.25">
      <c r="A138">
        <v>2022</v>
      </c>
      <c r="B138" t="s">
        <v>10</v>
      </c>
      <c r="C138" t="s">
        <v>5</v>
      </c>
      <c r="D138">
        <v>3098440</v>
      </c>
    </row>
    <row r="139" spans="1:4" x14ac:dyDescent="0.25">
      <c r="A139">
        <v>2022</v>
      </c>
      <c r="B139" t="s">
        <v>10</v>
      </c>
      <c r="C139" t="s">
        <v>5</v>
      </c>
      <c r="D139">
        <v>135000</v>
      </c>
    </row>
    <row r="140" spans="1:4" x14ac:dyDescent="0.25">
      <c r="A140">
        <v>2022</v>
      </c>
      <c r="B140" t="s">
        <v>10</v>
      </c>
      <c r="C140" t="s">
        <v>5</v>
      </c>
      <c r="D140">
        <v>2262432</v>
      </c>
    </row>
    <row r="141" spans="1:4" x14ac:dyDescent="0.25">
      <c r="A141">
        <v>2022</v>
      </c>
      <c r="B141" t="s">
        <v>10</v>
      </c>
      <c r="C141" t="s">
        <v>5</v>
      </c>
      <c r="D141">
        <v>240000</v>
      </c>
    </row>
    <row r="142" spans="1:4" x14ac:dyDescent="0.25">
      <c r="A142">
        <v>2022</v>
      </c>
      <c r="B142" t="s">
        <v>10</v>
      </c>
      <c r="C142" t="s">
        <v>5</v>
      </c>
      <c r="D142">
        <v>661136</v>
      </c>
    </row>
    <row r="143" spans="1:4" x14ac:dyDescent="0.25">
      <c r="A143">
        <v>2022</v>
      </c>
      <c r="B143" t="s">
        <v>10</v>
      </c>
      <c r="C143" t="s">
        <v>5</v>
      </c>
      <c r="D143">
        <v>410000</v>
      </c>
    </row>
    <row r="144" spans="1:4" x14ac:dyDescent="0.25">
      <c r="A144">
        <v>2022</v>
      </c>
      <c r="B144" t="s">
        <v>10</v>
      </c>
      <c r="C144" t="s">
        <v>5</v>
      </c>
      <c r="D144">
        <v>190000</v>
      </c>
    </row>
    <row r="145" spans="1:4" x14ac:dyDescent="0.25">
      <c r="A145">
        <v>2022</v>
      </c>
      <c r="B145" t="s">
        <v>10</v>
      </c>
      <c r="C145" t="s">
        <v>5</v>
      </c>
      <c r="D145">
        <v>570000</v>
      </c>
    </row>
    <row r="146" spans="1:4" x14ac:dyDescent="0.25">
      <c r="A146">
        <v>2022</v>
      </c>
      <c r="B146" t="s">
        <v>10</v>
      </c>
      <c r="C146" t="s">
        <v>5</v>
      </c>
      <c r="D146">
        <v>640000</v>
      </c>
    </row>
    <row r="147" spans="1:4" x14ac:dyDescent="0.25">
      <c r="A147">
        <v>2022</v>
      </c>
      <c r="B147" t="s">
        <v>10</v>
      </c>
      <c r="C147" t="s">
        <v>5</v>
      </c>
      <c r="D147">
        <v>550000</v>
      </c>
    </row>
    <row r="148" spans="1:4" x14ac:dyDescent="0.25">
      <c r="A148">
        <v>2022</v>
      </c>
      <c r="B148" t="s">
        <v>10</v>
      </c>
      <c r="C148" t="s">
        <v>5</v>
      </c>
      <c r="D148">
        <v>490000</v>
      </c>
    </row>
    <row r="149" spans="1:4" x14ac:dyDescent="0.25">
      <c r="A149">
        <v>2022</v>
      </c>
      <c r="B149" t="s">
        <v>10</v>
      </c>
      <c r="C149" t="s">
        <v>5</v>
      </c>
      <c r="D149">
        <v>380000</v>
      </c>
    </row>
    <row r="150" spans="1:4" x14ac:dyDescent="0.25">
      <c r="A150">
        <v>2022</v>
      </c>
      <c r="B150" t="s">
        <v>10</v>
      </c>
      <c r="C150" t="s">
        <v>5</v>
      </c>
      <c r="D150">
        <v>420000</v>
      </c>
    </row>
    <row r="151" spans="1:4" x14ac:dyDescent="0.25">
      <c r="A151">
        <v>2022</v>
      </c>
      <c r="B151" t="s">
        <v>10</v>
      </c>
      <c r="C151" t="s">
        <v>5</v>
      </c>
      <c r="D151">
        <v>895916</v>
      </c>
    </row>
    <row r="152" spans="1:4" x14ac:dyDescent="0.25">
      <c r="A152">
        <v>2022</v>
      </c>
      <c r="B152" t="s">
        <v>10</v>
      </c>
      <c r="C152" t="s">
        <v>5</v>
      </c>
      <c r="D152">
        <v>1608524</v>
      </c>
    </row>
    <row r="153" spans="1:4" x14ac:dyDescent="0.25">
      <c r="A153">
        <v>2022</v>
      </c>
      <c r="B153" t="s">
        <v>10</v>
      </c>
      <c r="C153" t="s">
        <v>5</v>
      </c>
      <c r="D153">
        <v>11611640</v>
      </c>
    </row>
    <row r="154" spans="1:4" x14ac:dyDescent="0.25">
      <c r="A154">
        <v>2022</v>
      </c>
      <c r="B154" t="s">
        <v>10</v>
      </c>
      <c r="C154" t="s">
        <v>5</v>
      </c>
      <c r="D154">
        <v>16855632</v>
      </c>
    </row>
    <row r="155" spans="1:4" x14ac:dyDescent="0.25">
      <c r="A155">
        <v>2022</v>
      </c>
      <c r="B155" t="s">
        <v>10</v>
      </c>
      <c r="C155" t="s">
        <v>5</v>
      </c>
      <c r="D155">
        <v>35000</v>
      </c>
    </row>
    <row r="156" spans="1:4" x14ac:dyDescent="0.25">
      <c r="A156">
        <v>2022</v>
      </c>
      <c r="B156" t="s">
        <v>10</v>
      </c>
      <c r="C156" t="s">
        <v>5</v>
      </c>
      <c r="D156">
        <v>325000</v>
      </c>
    </row>
    <row r="157" spans="1:4" x14ac:dyDescent="0.25">
      <c r="A157">
        <v>2022</v>
      </c>
      <c r="B157" t="s">
        <v>10</v>
      </c>
      <c r="C157" t="s">
        <v>5</v>
      </c>
      <c r="D157">
        <v>2350052</v>
      </c>
    </row>
    <row r="158" spans="1:4" x14ac:dyDescent="0.25">
      <c r="A158">
        <v>2022</v>
      </c>
      <c r="B158" t="s">
        <v>10</v>
      </c>
      <c r="C158" t="s">
        <v>5</v>
      </c>
      <c r="D158">
        <v>340000</v>
      </c>
    </row>
    <row r="159" spans="1:4" x14ac:dyDescent="0.25">
      <c r="A159">
        <v>2022</v>
      </c>
      <c r="B159" t="s">
        <v>10</v>
      </c>
      <c r="C159" t="s">
        <v>5</v>
      </c>
      <c r="D159">
        <v>881000</v>
      </c>
    </row>
    <row r="160" spans="1:4" x14ac:dyDescent="0.25">
      <c r="A160">
        <v>2022</v>
      </c>
      <c r="B160" t="s">
        <v>10</v>
      </c>
      <c r="C160" t="s">
        <v>5</v>
      </c>
      <c r="D160">
        <v>1435056</v>
      </c>
    </row>
    <row r="161" spans="1:4" x14ac:dyDescent="0.25">
      <c r="A161">
        <v>2022</v>
      </c>
      <c r="B161" t="s">
        <v>10</v>
      </c>
      <c r="C161" t="s">
        <v>5</v>
      </c>
      <c r="D161">
        <v>4055156</v>
      </c>
    </row>
    <row r="162" spans="1:4" x14ac:dyDescent="0.25">
      <c r="A162">
        <v>2022</v>
      </c>
      <c r="B162" t="s">
        <v>10</v>
      </c>
      <c r="C162" t="s">
        <v>5</v>
      </c>
      <c r="D162">
        <v>353000</v>
      </c>
    </row>
    <row r="163" spans="1:4" x14ac:dyDescent="0.25">
      <c r="A163">
        <v>2022</v>
      </c>
      <c r="B163" t="s">
        <v>10</v>
      </c>
      <c r="C163" t="s">
        <v>5</v>
      </c>
      <c r="D163">
        <v>1210056</v>
      </c>
    </row>
    <row r="164" spans="1:4" x14ac:dyDescent="0.25">
      <c r="A164">
        <v>2022</v>
      </c>
      <c r="B164" t="s">
        <v>10</v>
      </c>
      <c r="C164" t="s">
        <v>5</v>
      </c>
      <c r="D164">
        <v>335000</v>
      </c>
    </row>
    <row r="165" spans="1:4" x14ac:dyDescent="0.25">
      <c r="A165">
        <v>2022</v>
      </c>
      <c r="B165" t="s">
        <v>10</v>
      </c>
      <c r="C165" t="s">
        <v>5</v>
      </c>
      <c r="D165">
        <v>250000</v>
      </c>
    </row>
    <row r="166" spans="1:4" x14ac:dyDescent="0.25">
      <c r="A166">
        <v>2022</v>
      </c>
      <c r="B166" t="s">
        <v>10</v>
      </c>
      <c r="C166" t="s">
        <v>5</v>
      </c>
      <c r="D166">
        <v>360000</v>
      </c>
    </row>
    <row r="167" spans="1:4" x14ac:dyDescent="0.25">
      <c r="A167">
        <v>2022</v>
      </c>
      <c r="B167" t="s">
        <v>10</v>
      </c>
      <c r="C167" t="s">
        <v>5</v>
      </c>
      <c r="D167">
        <v>610000</v>
      </c>
    </row>
    <row r="168" spans="1:4" x14ac:dyDescent="0.25">
      <c r="A168">
        <v>2022</v>
      </c>
      <c r="B168" t="s">
        <v>10</v>
      </c>
      <c r="C168" t="s">
        <v>5</v>
      </c>
      <c r="D168">
        <v>20000</v>
      </c>
    </row>
    <row r="169" spans="1:4" x14ac:dyDescent="0.25">
      <c r="A169">
        <v>2022</v>
      </c>
      <c r="B169" t="s">
        <v>10</v>
      </c>
      <c r="C169" t="s">
        <v>5</v>
      </c>
      <c r="D169">
        <v>250000</v>
      </c>
    </row>
    <row r="170" spans="1:4" x14ac:dyDescent="0.25">
      <c r="A170">
        <v>2022</v>
      </c>
      <c r="B170" t="s">
        <v>10</v>
      </c>
      <c r="C170" t="s">
        <v>5</v>
      </c>
      <c r="D170">
        <v>227000</v>
      </c>
    </row>
    <row r="171" spans="1:4" x14ac:dyDescent="0.25">
      <c r="A171">
        <v>2022</v>
      </c>
      <c r="B171" t="s">
        <v>10</v>
      </c>
      <c r="C171" t="s">
        <v>5</v>
      </c>
      <c r="D171">
        <v>270000</v>
      </c>
    </row>
    <row r="172" spans="1:4" x14ac:dyDescent="0.25">
      <c r="A172">
        <v>2022</v>
      </c>
      <c r="B172" t="s">
        <v>10</v>
      </c>
      <c r="C172" t="s">
        <v>5</v>
      </c>
      <c r="D172">
        <v>215000</v>
      </c>
    </row>
    <row r="173" spans="1:4" x14ac:dyDescent="0.25">
      <c r="A173">
        <v>2022</v>
      </c>
      <c r="B173" t="s">
        <v>10</v>
      </c>
      <c r="C173" t="s">
        <v>5</v>
      </c>
      <c r="D173">
        <v>185000</v>
      </c>
    </row>
    <row r="174" spans="1:4" x14ac:dyDescent="0.25">
      <c r="A174">
        <v>2022</v>
      </c>
      <c r="B174" t="s">
        <v>10</v>
      </c>
      <c r="C174" t="s">
        <v>5</v>
      </c>
      <c r="D174">
        <v>190000</v>
      </c>
    </row>
    <row r="175" spans="1:4" x14ac:dyDescent="0.25">
      <c r="A175">
        <v>2022</v>
      </c>
      <c r="B175" t="s">
        <v>10</v>
      </c>
      <c r="C175" t="s">
        <v>5</v>
      </c>
      <c r="D175">
        <v>220000</v>
      </c>
    </row>
    <row r="176" spans="1:4" x14ac:dyDescent="0.25">
      <c r="A176">
        <v>2022</v>
      </c>
      <c r="B176" t="s">
        <v>10</v>
      </c>
      <c r="C176" t="s">
        <v>5</v>
      </c>
      <c r="D176">
        <v>257000</v>
      </c>
    </row>
    <row r="177" spans="1:4" x14ac:dyDescent="0.25">
      <c r="A177">
        <v>2022</v>
      </c>
      <c r="B177" t="s">
        <v>10</v>
      </c>
      <c r="C177" t="s">
        <v>5</v>
      </c>
      <c r="D177">
        <v>185000</v>
      </c>
    </row>
    <row r="178" spans="1:4" x14ac:dyDescent="0.25">
      <c r="A178">
        <v>2022</v>
      </c>
      <c r="B178" t="s">
        <v>10</v>
      </c>
      <c r="C178" t="s">
        <v>5</v>
      </c>
      <c r="D178">
        <v>237000</v>
      </c>
    </row>
    <row r="179" spans="1:4" x14ac:dyDescent="0.25">
      <c r="A179">
        <v>2022</v>
      </c>
      <c r="B179" t="s">
        <v>10</v>
      </c>
      <c r="C179" t="s">
        <v>5</v>
      </c>
      <c r="D179">
        <v>2485000</v>
      </c>
    </row>
    <row r="180" spans="1:4" x14ac:dyDescent="0.25">
      <c r="A180">
        <v>2022</v>
      </c>
      <c r="B180" t="s">
        <v>10</v>
      </c>
      <c r="C180" t="s">
        <v>5</v>
      </c>
      <c r="D180">
        <v>2590000</v>
      </c>
    </row>
    <row r="181" spans="1:4" x14ac:dyDescent="0.25">
      <c r="A181">
        <v>2022</v>
      </c>
      <c r="B181" t="s">
        <v>10</v>
      </c>
      <c r="C181" t="s">
        <v>6</v>
      </c>
      <c r="D181">
        <v>652875800</v>
      </c>
    </row>
    <row r="182" spans="1:4" x14ac:dyDescent="0.25">
      <c r="A182">
        <v>2022</v>
      </c>
      <c r="B182" t="s">
        <v>10</v>
      </c>
      <c r="C182" t="s">
        <v>6</v>
      </c>
      <c r="D182">
        <v>871000</v>
      </c>
    </row>
    <row r="183" spans="1:4" x14ac:dyDescent="0.25">
      <c r="A183">
        <v>2022</v>
      </c>
      <c r="B183" t="s">
        <v>10</v>
      </c>
      <c r="C183" t="s">
        <v>6</v>
      </c>
      <c r="D183">
        <v>1010000</v>
      </c>
    </row>
    <row r="184" spans="1:4" x14ac:dyDescent="0.25">
      <c r="A184">
        <v>2022</v>
      </c>
      <c r="B184" t="s">
        <v>10</v>
      </c>
      <c r="C184" t="s">
        <v>6</v>
      </c>
      <c r="D184">
        <v>1198000</v>
      </c>
    </row>
    <row r="185" spans="1:4" x14ac:dyDescent="0.25">
      <c r="A185">
        <v>2022</v>
      </c>
      <c r="B185" t="s">
        <v>10</v>
      </c>
      <c r="C185" t="s">
        <v>6</v>
      </c>
      <c r="D185">
        <v>1099000</v>
      </c>
    </row>
    <row r="186" spans="1:4" x14ac:dyDescent="0.25">
      <c r="A186">
        <v>2022</v>
      </c>
      <c r="B186" t="s">
        <v>10</v>
      </c>
      <c r="C186" t="s">
        <v>6</v>
      </c>
      <c r="D186">
        <v>1374600</v>
      </c>
    </row>
    <row r="187" spans="1:4" x14ac:dyDescent="0.25">
      <c r="A187">
        <v>2022</v>
      </c>
      <c r="B187" t="s">
        <v>10</v>
      </c>
      <c r="C187" t="s">
        <v>6</v>
      </c>
      <c r="D187">
        <v>928600</v>
      </c>
    </row>
    <row r="188" spans="1:4" x14ac:dyDescent="0.25">
      <c r="A188">
        <v>2022</v>
      </c>
      <c r="B188" t="s">
        <v>10</v>
      </c>
      <c r="C188" t="s">
        <v>6</v>
      </c>
      <c r="D188">
        <v>424000</v>
      </c>
    </row>
    <row r="189" spans="1:4" x14ac:dyDescent="0.25">
      <c r="A189">
        <v>2022</v>
      </c>
      <c r="B189" t="s">
        <v>10</v>
      </c>
      <c r="C189" t="s">
        <v>6</v>
      </c>
      <c r="D189">
        <v>1381000</v>
      </c>
    </row>
    <row r="190" spans="1:4" x14ac:dyDescent="0.25">
      <c r="A190">
        <v>2022</v>
      </c>
      <c r="B190" t="s">
        <v>10</v>
      </c>
      <c r="C190" t="s">
        <v>6</v>
      </c>
      <c r="D190">
        <v>888500</v>
      </c>
    </row>
    <row r="191" spans="1:4" x14ac:dyDescent="0.25">
      <c r="A191">
        <v>2022</v>
      </c>
      <c r="B191" t="s">
        <v>10</v>
      </c>
      <c r="C191" t="s">
        <v>6</v>
      </c>
      <c r="D191">
        <v>663100</v>
      </c>
    </row>
    <row r="192" spans="1:4" x14ac:dyDescent="0.25">
      <c r="A192">
        <v>2022</v>
      </c>
      <c r="B192" t="s">
        <v>10</v>
      </c>
      <c r="C192" t="s">
        <v>6</v>
      </c>
      <c r="D192">
        <v>696000</v>
      </c>
    </row>
    <row r="193" spans="1:4" x14ac:dyDescent="0.25">
      <c r="A193">
        <v>2022</v>
      </c>
      <c r="B193" t="s">
        <v>10</v>
      </c>
      <c r="C193" t="s">
        <v>6</v>
      </c>
      <c r="D193">
        <v>1786000</v>
      </c>
    </row>
    <row r="194" spans="1:4" x14ac:dyDescent="0.25">
      <c r="A194">
        <v>2022</v>
      </c>
      <c r="B194" t="s">
        <v>10</v>
      </c>
      <c r="C194" t="s">
        <v>6</v>
      </c>
      <c r="D194">
        <v>590000</v>
      </c>
    </row>
    <row r="195" spans="1:4" x14ac:dyDescent="0.25">
      <c r="A195">
        <v>2022</v>
      </c>
      <c r="B195" t="s">
        <v>10</v>
      </c>
      <c r="C195" t="s">
        <v>6</v>
      </c>
      <c r="D195">
        <v>1313700</v>
      </c>
    </row>
    <row r="196" spans="1:4" x14ac:dyDescent="0.25">
      <c r="A196">
        <v>2022</v>
      </c>
      <c r="B196" t="s">
        <v>10</v>
      </c>
      <c r="C196" t="s">
        <v>6</v>
      </c>
      <c r="D196">
        <v>1401000</v>
      </c>
    </row>
    <row r="197" spans="1:4" x14ac:dyDescent="0.25">
      <c r="A197">
        <v>2022</v>
      </c>
      <c r="B197" t="s">
        <v>10</v>
      </c>
      <c r="C197" t="s">
        <v>6</v>
      </c>
      <c r="D197">
        <v>675000</v>
      </c>
    </row>
    <row r="198" spans="1:4" x14ac:dyDescent="0.25">
      <c r="A198">
        <v>2022</v>
      </c>
      <c r="B198" t="s">
        <v>10</v>
      </c>
      <c r="C198" t="s">
        <v>6</v>
      </c>
      <c r="D198">
        <v>1165700</v>
      </c>
    </row>
    <row r="199" spans="1:4" x14ac:dyDescent="0.25">
      <c r="A199">
        <v>2022</v>
      </c>
      <c r="B199" t="s">
        <v>10</v>
      </c>
      <c r="C199" t="s">
        <v>6</v>
      </c>
      <c r="D199">
        <v>820000</v>
      </c>
    </row>
    <row r="200" spans="1:4" x14ac:dyDescent="0.25">
      <c r="A200">
        <v>2022</v>
      </c>
      <c r="B200" t="s">
        <v>10</v>
      </c>
      <c r="C200" t="s">
        <v>6</v>
      </c>
      <c r="D200">
        <v>1953000</v>
      </c>
    </row>
    <row r="201" spans="1:4" x14ac:dyDescent="0.25">
      <c r="A201">
        <v>2022</v>
      </c>
      <c r="B201" t="s">
        <v>10</v>
      </c>
      <c r="C201" t="s">
        <v>6</v>
      </c>
      <c r="D201">
        <v>721000</v>
      </c>
    </row>
    <row r="202" spans="1:4" x14ac:dyDescent="0.25">
      <c r="A202">
        <v>2022</v>
      </c>
      <c r="B202" t="s">
        <v>10</v>
      </c>
      <c r="C202" t="s">
        <v>6</v>
      </c>
      <c r="D202">
        <v>716500</v>
      </c>
    </row>
    <row r="203" spans="1:4" x14ac:dyDescent="0.25">
      <c r="A203">
        <v>2022</v>
      </c>
      <c r="B203" t="s">
        <v>10</v>
      </c>
      <c r="C203" t="s">
        <v>6</v>
      </c>
      <c r="D203">
        <v>1026000</v>
      </c>
    </row>
    <row r="204" spans="1:4" x14ac:dyDescent="0.25">
      <c r="A204">
        <v>2022</v>
      </c>
      <c r="B204" t="s">
        <v>10</v>
      </c>
      <c r="C204" t="s">
        <v>6</v>
      </c>
      <c r="D204">
        <v>1366000</v>
      </c>
    </row>
    <row r="205" spans="1:4" x14ac:dyDescent="0.25">
      <c r="A205">
        <v>2022</v>
      </c>
      <c r="B205" t="s">
        <v>10</v>
      </c>
      <c r="C205" t="s">
        <v>6</v>
      </c>
      <c r="D205">
        <v>843000</v>
      </c>
    </row>
    <row r="206" spans="1:4" x14ac:dyDescent="0.25">
      <c r="A206">
        <v>2022</v>
      </c>
      <c r="B206" t="s">
        <v>10</v>
      </c>
      <c r="C206" t="s">
        <v>6</v>
      </c>
      <c r="D206">
        <v>147000</v>
      </c>
    </row>
    <row r="207" spans="1:4" x14ac:dyDescent="0.25">
      <c r="A207">
        <v>2022</v>
      </c>
      <c r="B207" t="s">
        <v>10</v>
      </c>
      <c r="C207" t="s">
        <v>6</v>
      </c>
      <c r="D207">
        <v>1638000</v>
      </c>
    </row>
    <row r="208" spans="1:4" x14ac:dyDescent="0.25">
      <c r="A208">
        <v>2022</v>
      </c>
      <c r="B208" t="s">
        <v>10</v>
      </c>
      <c r="C208" t="s">
        <v>6</v>
      </c>
      <c r="D208">
        <v>3558000</v>
      </c>
    </row>
    <row r="209" spans="1:4" x14ac:dyDescent="0.25">
      <c r="A209">
        <v>2022</v>
      </c>
      <c r="B209" t="s">
        <v>10</v>
      </c>
      <c r="C209" t="s">
        <v>6</v>
      </c>
      <c r="D209">
        <v>1137000</v>
      </c>
    </row>
    <row r="210" spans="1:4" x14ac:dyDescent="0.25">
      <c r="A210">
        <v>2022</v>
      </c>
      <c r="B210" t="s">
        <v>10</v>
      </c>
      <c r="C210" t="s">
        <v>6</v>
      </c>
      <c r="D210">
        <v>791000</v>
      </c>
    </row>
    <row r="211" spans="1:4" x14ac:dyDescent="0.25">
      <c r="A211">
        <v>2022</v>
      </c>
      <c r="B211" t="s">
        <v>10</v>
      </c>
      <c r="C211" t="s">
        <v>6</v>
      </c>
      <c r="D211">
        <v>720000</v>
      </c>
    </row>
    <row r="212" spans="1:4" x14ac:dyDescent="0.25">
      <c r="A212">
        <v>2022</v>
      </c>
      <c r="B212" t="s">
        <v>10</v>
      </c>
      <c r="C212" t="s">
        <v>6</v>
      </c>
      <c r="D212">
        <v>995000</v>
      </c>
    </row>
    <row r="213" spans="1:4" x14ac:dyDescent="0.25">
      <c r="A213">
        <v>2022</v>
      </c>
      <c r="B213" t="s">
        <v>10</v>
      </c>
      <c r="C213" t="s">
        <v>6</v>
      </c>
      <c r="D213">
        <v>838000</v>
      </c>
    </row>
    <row r="214" spans="1:4" x14ac:dyDescent="0.25">
      <c r="A214">
        <v>2022</v>
      </c>
      <c r="B214" t="s">
        <v>10</v>
      </c>
      <c r="C214" t="s">
        <v>6</v>
      </c>
      <c r="D214">
        <v>720000</v>
      </c>
    </row>
    <row r="215" spans="1:4" x14ac:dyDescent="0.25">
      <c r="A215">
        <v>2022</v>
      </c>
      <c r="B215" t="s">
        <v>10</v>
      </c>
      <c r="C215" t="s">
        <v>6</v>
      </c>
      <c r="D215">
        <v>698000</v>
      </c>
    </row>
    <row r="216" spans="1:4" x14ac:dyDescent="0.25">
      <c r="A216">
        <v>2022</v>
      </c>
      <c r="B216" t="s">
        <v>10</v>
      </c>
      <c r="C216" t="s">
        <v>6</v>
      </c>
      <c r="D216">
        <v>925000</v>
      </c>
    </row>
    <row r="217" spans="1:4" x14ac:dyDescent="0.25">
      <c r="A217">
        <v>2022</v>
      </c>
      <c r="B217" t="s">
        <v>10</v>
      </c>
      <c r="C217" t="s">
        <v>6</v>
      </c>
      <c r="D217">
        <v>801000</v>
      </c>
    </row>
    <row r="218" spans="1:4" x14ac:dyDescent="0.25">
      <c r="A218">
        <v>2022</v>
      </c>
      <c r="B218" t="s">
        <v>10</v>
      </c>
      <c r="C218" t="s">
        <v>6</v>
      </c>
      <c r="D218">
        <v>624000</v>
      </c>
    </row>
    <row r="219" spans="1:4" x14ac:dyDescent="0.25">
      <c r="A219">
        <v>2022</v>
      </c>
      <c r="B219" t="s">
        <v>10</v>
      </c>
      <c r="C219" t="s">
        <v>6</v>
      </c>
      <c r="D219">
        <v>311000</v>
      </c>
    </row>
    <row r="220" spans="1:4" x14ac:dyDescent="0.25">
      <c r="A220">
        <v>2022</v>
      </c>
      <c r="B220" t="s">
        <v>10</v>
      </c>
      <c r="C220" t="s">
        <v>6</v>
      </c>
      <c r="D220">
        <v>683000</v>
      </c>
    </row>
    <row r="221" spans="1:4" x14ac:dyDescent="0.25">
      <c r="A221">
        <v>2022</v>
      </c>
      <c r="B221" t="s">
        <v>10</v>
      </c>
      <c r="C221" t="s">
        <v>6</v>
      </c>
      <c r="D221">
        <v>570500</v>
      </c>
    </row>
    <row r="222" spans="1:4" x14ac:dyDescent="0.25">
      <c r="A222">
        <v>2022</v>
      </c>
      <c r="B222" t="s">
        <v>10</v>
      </c>
      <c r="C222" t="s">
        <v>6</v>
      </c>
      <c r="D222">
        <v>656000</v>
      </c>
    </row>
    <row r="223" spans="1:4" x14ac:dyDescent="0.25">
      <c r="A223">
        <v>2022</v>
      </c>
      <c r="B223" t="s">
        <v>10</v>
      </c>
      <c r="C223" t="s">
        <v>6</v>
      </c>
      <c r="D223">
        <v>780000</v>
      </c>
    </row>
    <row r="224" spans="1:4" x14ac:dyDescent="0.25">
      <c r="A224">
        <v>2022</v>
      </c>
      <c r="B224" t="s">
        <v>10</v>
      </c>
      <c r="C224" t="s">
        <v>6</v>
      </c>
      <c r="D224">
        <v>392000</v>
      </c>
    </row>
    <row r="225" spans="1:4" x14ac:dyDescent="0.25">
      <c r="A225">
        <v>2022</v>
      </c>
      <c r="B225" t="s">
        <v>10</v>
      </c>
      <c r="C225" t="s">
        <v>6</v>
      </c>
      <c r="D225">
        <v>482000</v>
      </c>
    </row>
    <row r="226" spans="1:4" x14ac:dyDescent="0.25">
      <c r="A226">
        <v>2022</v>
      </c>
      <c r="B226" t="s">
        <v>10</v>
      </c>
      <c r="C226" t="s">
        <v>6</v>
      </c>
      <c r="D226">
        <v>477500</v>
      </c>
    </row>
    <row r="227" spans="1:4" x14ac:dyDescent="0.25">
      <c r="A227">
        <v>2022</v>
      </c>
      <c r="B227" t="s">
        <v>10</v>
      </c>
      <c r="C227" t="s">
        <v>6</v>
      </c>
      <c r="D227">
        <v>670000</v>
      </c>
    </row>
    <row r="228" spans="1:4" x14ac:dyDescent="0.25">
      <c r="A228">
        <v>2022</v>
      </c>
      <c r="B228" t="s">
        <v>10</v>
      </c>
      <c r="C228" t="s">
        <v>6</v>
      </c>
      <c r="D228">
        <v>668000</v>
      </c>
    </row>
    <row r="229" spans="1:4" x14ac:dyDescent="0.25">
      <c r="A229">
        <v>2022</v>
      </c>
      <c r="B229" t="s">
        <v>10</v>
      </c>
      <c r="C229" t="s">
        <v>6</v>
      </c>
      <c r="D229">
        <v>5882000</v>
      </c>
    </row>
    <row r="230" spans="1:4" x14ac:dyDescent="0.25">
      <c r="A230">
        <v>2022</v>
      </c>
      <c r="B230" t="s">
        <v>10</v>
      </c>
      <c r="C230" t="s">
        <v>6</v>
      </c>
      <c r="D230">
        <v>2160000</v>
      </c>
    </row>
    <row r="231" spans="1:4" x14ac:dyDescent="0.25">
      <c r="A231">
        <v>2022</v>
      </c>
      <c r="B231" t="s">
        <v>10</v>
      </c>
      <c r="C231" t="s">
        <v>6</v>
      </c>
      <c r="D231">
        <v>506000</v>
      </c>
    </row>
    <row r="232" spans="1:4" x14ac:dyDescent="0.25">
      <c r="A232">
        <v>2022</v>
      </c>
      <c r="B232" t="s">
        <v>10</v>
      </c>
      <c r="C232" t="s">
        <v>6</v>
      </c>
      <c r="D232">
        <v>989500</v>
      </c>
    </row>
    <row r="233" spans="1:4" x14ac:dyDescent="0.25">
      <c r="A233">
        <v>2022</v>
      </c>
      <c r="B233" t="s">
        <v>10</v>
      </c>
      <c r="C233" t="s">
        <v>6</v>
      </c>
      <c r="D233">
        <v>631000</v>
      </c>
    </row>
    <row r="234" spans="1:4" x14ac:dyDescent="0.25">
      <c r="A234">
        <v>2022</v>
      </c>
      <c r="B234" t="s">
        <v>10</v>
      </c>
      <c r="C234" t="s">
        <v>6</v>
      </c>
      <c r="D234">
        <v>909000</v>
      </c>
    </row>
    <row r="235" spans="1:4" x14ac:dyDescent="0.25">
      <c r="A235">
        <v>2022</v>
      </c>
      <c r="B235" t="s">
        <v>10</v>
      </c>
      <c r="C235" t="s">
        <v>6</v>
      </c>
      <c r="D235">
        <v>1983000</v>
      </c>
    </row>
    <row r="236" spans="1:4" x14ac:dyDescent="0.25">
      <c r="A236">
        <v>2022</v>
      </c>
      <c r="B236" t="s">
        <v>10</v>
      </c>
      <c r="C236" t="s">
        <v>6</v>
      </c>
      <c r="D236">
        <v>668000</v>
      </c>
    </row>
    <row r="237" spans="1:4" x14ac:dyDescent="0.25">
      <c r="A237">
        <v>2022</v>
      </c>
      <c r="B237" t="s">
        <v>10</v>
      </c>
      <c r="C237" t="s">
        <v>6</v>
      </c>
      <c r="D237">
        <v>861500</v>
      </c>
    </row>
    <row r="238" spans="1:4" x14ac:dyDescent="0.25">
      <c r="A238">
        <v>2022</v>
      </c>
      <c r="B238" t="s">
        <v>10</v>
      </c>
      <c r="C238" t="s">
        <v>6</v>
      </c>
      <c r="D238">
        <v>331000</v>
      </c>
    </row>
    <row r="239" spans="1:4" x14ac:dyDescent="0.25">
      <c r="A239">
        <v>2022</v>
      </c>
      <c r="B239" t="s">
        <v>10</v>
      </c>
      <c r="C239" t="s">
        <v>6</v>
      </c>
      <c r="D239">
        <v>1070500</v>
      </c>
    </row>
    <row r="240" spans="1:4" x14ac:dyDescent="0.25">
      <c r="A240">
        <v>2022</v>
      </c>
      <c r="B240" t="s">
        <v>10</v>
      </c>
      <c r="C240" t="s">
        <v>6</v>
      </c>
      <c r="D240">
        <v>653000</v>
      </c>
    </row>
    <row r="241" spans="1:4" x14ac:dyDescent="0.25">
      <c r="A241">
        <v>2022</v>
      </c>
      <c r="B241" t="s">
        <v>10</v>
      </c>
      <c r="C241" t="s">
        <v>6</v>
      </c>
      <c r="D241">
        <v>1241000</v>
      </c>
    </row>
    <row r="242" spans="1:4" x14ac:dyDescent="0.25">
      <c r="A242">
        <v>2022</v>
      </c>
      <c r="B242" t="s">
        <v>10</v>
      </c>
      <c r="C242" t="s">
        <v>6</v>
      </c>
      <c r="D242">
        <v>589000</v>
      </c>
    </row>
    <row r="243" spans="1:4" x14ac:dyDescent="0.25">
      <c r="A243">
        <v>2022</v>
      </c>
      <c r="B243" t="s">
        <v>10</v>
      </c>
      <c r="C243" t="s">
        <v>6</v>
      </c>
      <c r="D243">
        <v>647500</v>
      </c>
    </row>
    <row r="244" spans="1:4" x14ac:dyDescent="0.25">
      <c r="A244">
        <v>2022</v>
      </c>
      <c r="B244" t="s">
        <v>10</v>
      </c>
      <c r="C244" t="s">
        <v>6</v>
      </c>
      <c r="D244">
        <v>715000</v>
      </c>
    </row>
    <row r="245" spans="1:4" x14ac:dyDescent="0.25">
      <c r="A245">
        <v>2022</v>
      </c>
      <c r="B245" t="s">
        <v>10</v>
      </c>
      <c r="C245" t="s">
        <v>6</v>
      </c>
      <c r="D245">
        <v>694000</v>
      </c>
    </row>
    <row r="246" spans="1:4" x14ac:dyDescent="0.25">
      <c r="A246">
        <v>2022</v>
      </c>
      <c r="B246" t="s">
        <v>10</v>
      </c>
      <c r="C246" t="s">
        <v>6</v>
      </c>
      <c r="D246">
        <v>1765000</v>
      </c>
    </row>
    <row r="247" spans="1:4" x14ac:dyDescent="0.25">
      <c r="A247">
        <v>2022</v>
      </c>
      <c r="B247" t="s">
        <v>10</v>
      </c>
      <c r="C247" t="s">
        <v>6</v>
      </c>
      <c r="D247">
        <v>881500</v>
      </c>
    </row>
    <row r="248" spans="1:4" x14ac:dyDescent="0.25">
      <c r="A248">
        <v>2022</v>
      </c>
      <c r="B248" t="s">
        <v>10</v>
      </c>
      <c r="C248" t="s">
        <v>6</v>
      </c>
      <c r="D248">
        <v>469500</v>
      </c>
    </row>
    <row r="249" spans="1:4" x14ac:dyDescent="0.25">
      <c r="A249">
        <v>2022</v>
      </c>
      <c r="B249" t="s">
        <v>10</v>
      </c>
      <c r="C249" t="s">
        <v>6</v>
      </c>
      <c r="D249">
        <v>525000</v>
      </c>
    </row>
    <row r="250" spans="1:4" x14ac:dyDescent="0.25">
      <c r="A250">
        <v>2022</v>
      </c>
      <c r="B250" t="s">
        <v>10</v>
      </c>
      <c r="C250" t="s">
        <v>6</v>
      </c>
      <c r="D250">
        <v>956000</v>
      </c>
    </row>
    <row r="251" spans="1:4" x14ac:dyDescent="0.25">
      <c r="A251">
        <v>2022</v>
      </c>
      <c r="B251" t="s">
        <v>10</v>
      </c>
      <c r="C251" t="s">
        <v>6</v>
      </c>
      <c r="D251">
        <v>535500</v>
      </c>
    </row>
    <row r="252" spans="1:4" x14ac:dyDescent="0.25">
      <c r="A252">
        <v>2022</v>
      </c>
      <c r="B252" t="s">
        <v>10</v>
      </c>
      <c r="C252" t="s">
        <v>6</v>
      </c>
      <c r="D252">
        <v>487000</v>
      </c>
    </row>
    <row r="253" spans="1:4" x14ac:dyDescent="0.25">
      <c r="A253">
        <v>2022</v>
      </c>
      <c r="B253" t="s">
        <v>10</v>
      </c>
      <c r="C253" t="s">
        <v>6</v>
      </c>
      <c r="D253">
        <v>875500</v>
      </c>
    </row>
    <row r="254" spans="1:4" x14ac:dyDescent="0.25">
      <c r="A254">
        <v>2022</v>
      </c>
      <c r="B254" t="s">
        <v>10</v>
      </c>
      <c r="C254" t="s">
        <v>6</v>
      </c>
      <c r="D254">
        <v>1016000</v>
      </c>
    </row>
    <row r="255" spans="1:4" x14ac:dyDescent="0.25">
      <c r="A255">
        <v>2022</v>
      </c>
      <c r="B255" t="s">
        <v>10</v>
      </c>
      <c r="C255" t="s">
        <v>6</v>
      </c>
      <c r="D255">
        <v>828000</v>
      </c>
    </row>
    <row r="256" spans="1:4" x14ac:dyDescent="0.25">
      <c r="A256">
        <v>2022</v>
      </c>
      <c r="B256" t="s">
        <v>10</v>
      </c>
      <c r="C256" t="s">
        <v>6</v>
      </c>
      <c r="D256">
        <v>670000</v>
      </c>
    </row>
    <row r="257" spans="1:4" x14ac:dyDescent="0.25">
      <c r="A257">
        <v>2022</v>
      </c>
      <c r="B257" t="s">
        <v>10</v>
      </c>
      <c r="C257" t="s">
        <v>6</v>
      </c>
      <c r="D257">
        <v>959000</v>
      </c>
    </row>
    <row r="258" spans="1:4" x14ac:dyDescent="0.25">
      <c r="A258">
        <v>2022</v>
      </c>
      <c r="B258" t="s">
        <v>10</v>
      </c>
      <c r="C258" t="s">
        <v>6</v>
      </c>
      <c r="D258">
        <v>789000</v>
      </c>
    </row>
    <row r="259" spans="1:4" x14ac:dyDescent="0.25">
      <c r="A259">
        <v>2022</v>
      </c>
      <c r="B259" t="s">
        <v>10</v>
      </c>
      <c r="C259" t="s">
        <v>6</v>
      </c>
      <c r="D259">
        <v>4770000</v>
      </c>
    </row>
    <row r="260" spans="1:4" x14ac:dyDescent="0.25">
      <c r="A260">
        <v>2022</v>
      </c>
      <c r="B260" t="s">
        <v>10</v>
      </c>
      <c r="C260" t="s">
        <v>6</v>
      </c>
      <c r="D260">
        <v>2820000</v>
      </c>
    </row>
    <row r="261" spans="1:4" x14ac:dyDescent="0.25">
      <c r="A261">
        <v>2022</v>
      </c>
      <c r="B261" t="s">
        <v>10</v>
      </c>
      <c r="C261" t="s">
        <v>6</v>
      </c>
      <c r="D261">
        <v>1079000</v>
      </c>
    </row>
    <row r="262" spans="1:4" x14ac:dyDescent="0.25">
      <c r="A262">
        <v>2022</v>
      </c>
      <c r="B262" t="s">
        <v>10</v>
      </c>
      <c r="C262" t="s">
        <v>6</v>
      </c>
      <c r="D262">
        <v>595000</v>
      </c>
    </row>
    <row r="263" spans="1:4" x14ac:dyDescent="0.25">
      <c r="A263">
        <v>2022</v>
      </c>
      <c r="B263" t="s">
        <v>10</v>
      </c>
      <c r="C263" t="s">
        <v>6</v>
      </c>
      <c r="D263">
        <v>707000</v>
      </c>
    </row>
    <row r="264" spans="1:4" x14ac:dyDescent="0.25">
      <c r="A264">
        <v>2022</v>
      </c>
      <c r="B264" t="s">
        <v>10</v>
      </c>
      <c r="C264" t="s">
        <v>6</v>
      </c>
      <c r="D264">
        <v>1703000</v>
      </c>
    </row>
    <row r="265" spans="1:4" x14ac:dyDescent="0.25">
      <c r="A265">
        <v>2022</v>
      </c>
      <c r="B265" t="s">
        <v>10</v>
      </c>
      <c r="C265" t="s">
        <v>6</v>
      </c>
      <c r="D265">
        <v>2183000</v>
      </c>
    </row>
    <row r="266" spans="1:4" x14ac:dyDescent="0.25">
      <c r="A266">
        <v>2022</v>
      </c>
      <c r="B266" t="s">
        <v>10</v>
      </c>
      <c r="C266" t="s">
        <v>6</v>
      </c>
      <c r="D266">
        <v>3314000</v>
      </c>
    </row>
    <row r="267" spans="1:4" x14ac:dyDescent="0.25">
      <c r="A267">
        <v>2022</v>
      </c>
      <c r="B267" t="s">
        <v>10</v>
      </c>
      <c r="C267" t="s">
        <v>6</v>
      </c>
      <c r="D267">
        <v>915000</v>
      </c>
    </row>
    <row r="268" spans="1:4" x14ac:dyDescent="0.25">
      <c r="A268">
        <v>2022</v>
      </c>
      <c r="B268" t="s">
        <v>10</v>
      </c>
      <c r="C268" t="s">
        <v>6</v>
      </c>
      <c r="D268">
        <v>1089000</v>
      </c>
    </row>
    <row r="269" spans="1:4" x14ac:dyDescent="0.25">
      <c r="A269">
        <v>2022</v>
      </c>
      <c r="B269" t="s">
        <v>10</v>
      </c>
      <c r="C269" t="s">
        <v>6</v>
      </c>
      <c r="D269">
        <v>802000</v>
      </c>
    </row>
    <row r="270" spans="1:4" x14ac:dyDescent="0.25">
      <c r="A270">
        <v>2022</v>
      </c>
      <c r="B270" t="s">
        <v>10</v>
      </c>
      <c r="C270" t="s">
        <v>6</v>
      </c>
      <c r="D270">
        <v>2034000</v>
      </c>
    </row>
    <row r="271" spans="1:4" x14ac:dyDescent="0.25">
      <c r="A271">
        <v>2022</v>
      </c>
      <c r="B271" t="s">
        <v>10</v>
      </c>
      <c r="C271" t="s">
        <v>6</v>
      </c>
      <c r="D271">
        <v>665000</v>
      </c>
    </row>
    <row r="272" spans="1:4" x14ac:dyDescent="0.25">
      <c r="A272">
        <v>2022</v>
      </c>
      <c r="B272" t="s">
        <v>10</v>
      </c>
      <c r="C272" t="s">
        <v>6</v>
      </c>
      <c r="D272">
        <v>531000</v>
      </c>
    </row>
    <row r="273" spans="1:4" x14ac:dyDescent="0.25">
      <c r="A273">
        <v>2022</v>
      </c>
      <c r="B273" t="s">
        <v>10</v>
      </c>
      <c r="C273" t="s">
        <v>6</v>
      </c>
      <c r="D273">
        <v>1159000</v>
      </c>
    </row>
    <row r="274" spans="1:4" x14ac:dyDescent="0.25">
      <c r="A274">
        <v>2022</v>
      </c>
      <c r="B274" t="s">
        <v>10</v>
      </c>
      <c r="C274" t="s">
        <v>6</v>
      </c>
      <c r="D274">
        <v>792000</v>
      </c>
    </row>
    <row r="275" spans="1:4" x14ac:dyDescent="0.25">
      <c r="A275">
        <v>2022</v>
      </c>
      <c r="B275" t="s">
        <v>10</v>
      </c>
      <c r="C275" t="s">
        <v>6</v>
      </c>
      <c r="D275">
        <v>760000</v>
      </c>
    </row>
    <row r="276" spans="1:4" x14ac:dyDescent="0.25">
      <c r="A276">
        <v>2022</v>
      </c>
      <c r="B276" t="s">
        <v>10</v>
      </c>
      <c r="C276" t="s">
        <v>6</v>
      </c>
      <c r="D276">
        <v>1171000</v>
      </c>
    </row>
    <row r="277" spans="1:4" x14ac:dyDescent="0.25">
      <c r="A277">
        <v>2022</v>
      </c>
      <c r="B277" t="s">
        <v>10</v>
      </c>
      <c r="C277" t="s">
        <v>6</v>
      </c>
      <c r="D277">
        <v>593000</v>
      </c>
    </row>
    <row r="278" spans="1:4" x14ac:dyDescent="0.25">
      <c r="A278">
        <v>2022</v>
      </c>
      <c r="B278" t="s">
        <v>10</v>
      </c>
      <c r="C278" t="s">
        <v>6</v>
      </c>
      <c r="D278">
        <v>717000</v>
      </c>
    </row>
    <row r="279" spans="1:4" x14ac:dyDescent="0.25">
      <c r="A279">
        <v>2022</v>
      </c>
      <c r="B279" t="s">
        <v>10</v>
      </c>
      <c r="C279" t="s">
        <v>6</v>
      </c>
      <c r="D279">
        <v>1457000</v>
      </c>
    </row>
    <row r="280" spans="1:4" x14ac:dyDescent="0.25">
      <c r="A280">
        <v>2022</v>
      </c>
      <c r="B280" t="s">
        <v>10</v>
      </c>
      <c r="C280" t="s">
        <v>6</v>
      </c>
      <c r="D280">
        <v>750000</v>
      </c>
    </row>
    <row r="281" spans="1:4" x14ac:dyDescent="0.25">
      <c r="A281">
        <v>2022</v>
      </c>
      <c r="B281" t="s">
        <v>10</v>
      </c>
      <c r="C281" t="s">
        <v>6</v>
      </c>
      <c r="D281">
        <v>689000</v>
      </c>
    </row>
    <row r="282" spans="1:4" x14ac:dyDescent="0.25">
      <c r="A282">
        <v>2022</v>
      </c>
      <c r="B282" t="s">
        <v>10</v>
      </c>
      <c r="C282" t="s">
        <v>6</v>
      </c>
      <c r="D282">
        <v>1489000</v>
      </c>
    </row>
    <row r="283" spans="1:4" x14ac:dyDescent="0.25">
      <c r="A283">
        <v>2022</v>
      </c>
      <c r="B283" t="s">
        <v>10</v>
      </c>
      <c r="C283" t="s">
        <v>6</v>
      </c>
      <c r="D283">
        <v>1185000</v>
      </c>
    </row>
    <row r="284" spans="1:4" x14ac:dyDescent="0.25">
      <c r="A284">
        <v>2022</v>
      </c>
      <c r="B284" t="s">
        <v>10</v>
      </c>
      <c r="C284" t="s">
        <v>6</v>
      </c>
      <c r="D284">
        <v>3610000</v>
      </c>
    </row>
    <row r="285" spans="1:4" x14ac:dyDescent="0.25">
      <c r="A285">
        <v>2022</v>
      </c>
      <c r="B285" t="s">
        <v>10</v>
      </c>
      <c r="C285" t="s">
        <v>6</v>
      </c>
      <c r="D285">
        <v>700000</v>
      </c>
    </row>
    <row r="286" spans="1:4" x14ac:dyDescent="0.25">
      <c r="A286">
        <v>2022</v>
      </c>
      <c r="B286" t="s">
        <v>10</v>
      </c>
      <c r="C286" t="s">
        <v>6</v>
      </c>
      <c r="D286">
        <v>405000</v>
      </c>
    </row>
    <row r="287" spans="1:4" x14ac:dyDescent="0.25">
      <c r="A287">
        <v>2022</v>
      </c>
      <c r="B287" t="s">
        <v>10</v>
      </c>
      <c r="C287" t="s">
        <v>6</v>
      </c>
      <c r="D287">
        <v>610000</v>
      </c>
    </row>
    <row r="288" spans="1:4" x14ac:dyDescent="0.25">
      <c r="A288">
        <v>2022</v>
      </c>
      <c r="B288" t="s">
        <v>10</v>
      </c>
      <c r="C288" t="s">
        <v>6</v>
      </c>
      <c r="D288">
        <v>706000</v>
      </c>
    </row>
    <row r="289" spans="1:4" x14ac:dyDescent="0.25">
      <c r="A289">
        <v>2022</v>
      </c>
      <c r="B289" t="s">
        <v>10</v>
      </c>
      <c r="C289" t="s">
        <v>6</v>
      </c>
      <c r="D289">
        <v>752000</v>
      </c>
    </row>
    <row r="290" spans="1:4" x14ac:dyDescent="0.25">
      <c r="A290">
        <v>2022</v>
      </c>
      <c r="B290" t="s">
        <v>10</v>
      </c>
      <c r="C290" t="s">
        <v>6</v>
      </c>
      <c r="D290">
        <v>1043000</v>
      </c>
    </row>
    <row r="291" spans="1:4" x14ac:dyDescent="0.25">
      <c r="A291">
        <v>2022</v>
      </c>
      <c r="B291" t="s">
        <v>10</v>
      </c>
      <c r="C291" t="s">
        <v>6</v>
      </c>
      <c r="D291">
        <v>823000</v>
      </c>
    </row>
    <row r="292" spans="1:4" x14ac:dyDescent="0.25">
      <c r="A292">
        <v>2022</v>
      </c>
      <c r="B292" t="s">
        <v>10</v>
      </c>
      <c r="C292" t="s">
        <v>6</v>
      </c>
      <c r="D292">
        <v>612000</v>
      </c>
    </row>
    <row r="293" spans="1:4" x14ac:dyDescent="0.25">
      <c r="A293">
        <v>2022</v>
      </c>
      <c r="B293" t="s">
        <v>10</v>
      </c>
      <c r="C293" t="s">
        <v>6</v>
      </c>
      <c r="D293">
        <v>772000</v>
      </c>
    </row>
    <row r="294" spans="1:4" x14ac:dyDescent="0.25">
      <c r="A294">
        <v>2022</v>
      </c>
      <c r="B294" t="s">
        <v>10</v>
      </c>
      <c r="C294" t="s">
        <v>6</v>
      </c>
      <c r="D294">
        <v>1235000</v>
      </c>
    </row>
    <row r="295" spans="1:4" x14ac:dyDescent="0.25">
      <c r="A295">
        <v>2022</v>
      </c>
      <c r="B295" t="s">
        <v>10</v>
      </c>
      <c r="C295" t="s">
        <v>6</v>
      </c>
      <c r="D295">
        <v>1191500</v>
      </c>
    </row>
    <row r="296" spans="1:4" x14ac:dyDescent="0.25">
      <c r="A296">
        <v>2022</v>
      </c>
      <c r="B296" t="s">
        <v>10</v>
      </c>
      <c r="C296" t="s">
        <v>6</v>
      </c>
      <c r="D296">
        <v>997000</v>
      </c>
    </row>
    <row r="297" spans="1:4" x14ac:dyDescent="0.25">
      <c r="A297">
        <v>2022</v>
      </c>
      <c r="B297" t="s">
        <v>10</v>
      </c>
      <c r="C297" t="s">
        <v>6</v>
      </c>
      <c r="D297">
        <v>5181000</v>
      </c>
    </row>
    <row r="298" spans="1:4" x14ac:dyDescent="0.25">
      <c r="A298">
        <v>2022</v>
      </c>
      <c r="B298" t="s">
        <v>10</v>
      </c>
      <c r="C298" t="s">
        <v>6</v>
      </c>
      <c r="D298">
        <v>4592000</v>
      </c>
    </row>
    <row r="299" spans="1:4" x14ac:dyDescent="0.25">
      <c r="A299">
        <v>2022</v>
      </c>
      <c r="B299" t="s">
        <v>10</v>
      </c>
      <c r="C299" t="s">
        <v>6</v>
      </c>
      <c r="D299">
        <v>865000</v>
      </c>
    </row>
    <row r="300" spans="1:4" x14ac:dyDescent="0.25">
      <c r="A300">
        <v>2022</v>
      </c>
      <c r="B300" t="s">
        <v>10</v>
      </c>
      <c r="C300" t="s">
        <v>6</v>
      </c>
      <c r="D300">
        <v>557000</v>
      </c>
    </row>
    <row r="301" spans="1:4" x14ac:dyDescent="0.25">
      <c r="A301">
        <v>2022</v>
      </c>
      <c r="B301" t="s">
        <v>10</v>
      </c>
      <c r="C301" t="s">
        <v>6</v>
      </c>
      <c r="D301">
        <v>931000</v>
      </c>
    </row>
    <row r="302" spans="1:4" x14ac:dyDescent="0.25">
      <c r="A302">
        <v>2022</v>
      </c>
      <c r="B302" t="s">
        <v>10</v>
      </c>
      <c r="C302" t="s">
        <v>6</v>
      </c>
      <c r="D302">
        <v>728000</v>
      </c>
    </row>
    <row r="303" spans="1:4" x14ac:dyDescent="0.25">
      <c r="A303">
        <v>2022</v>
      </c>
      <c r="B303" t="s">
        <v>10</v>
      </c>
      <c r="C303" t="s">
        <v>6</v>
      </c>
      <c r="D303">
        <v>847000</v>
      </c>
    </row>
    <row r="304" spans="1:4" x14ac:dyDescent="0.25">
      <c r="A304">
        <v>2022</v>
      </c>
      <c r="B304" t="s">
        <v>10</v>
      </c>
      <c r="C304" t="s">
        <v>6</v>
      </c>
      <c r="D304">
        <v>658000</v>
      </c>
    </row>
    <row r="305" spans="1:4" x14ac:dyDescent="0.25">
      <c r="A305">
        <v>2022</v>
      </c>
      <c r="B305" t="s">
        <v>10</v>
      </c>
      <c r="C305" t="s">
        <v>6</v>
      </c>
      <c r="D305">
        <v>958000</v>
      </c>
    </row>
    <row r="306" spans="1:4" x14ac:dyDescent="0.25">
      <c r="A306">
        <v>2022</v>
      </c>
      <c r="B306" t="s">
        <v>10</v>
      </c>
      <c r="C306" t="s">
        <v>6</v>
      </c>
      <c r="D306">
        <v>844000</v>
      </c>
    </row>
    <row r="307" spans="1:4" x14ac:dyDescent="0.25">
      <c r="A307">
        <v>2022</v>
      </c>
      <c r="B307" t="s">
        <v>10</v>
      </c>
      <c r="C307" t="s">
        <v>6</v>
      </c>
      <c r="D307">
        <v>836000</v>
      </c>
    </row>
    <row r="308" spans="1:4" x14ac:dyDescent="0.25">
      <c r="A308">
        <v>2022</v>
      </c>
      <c r="B308" t="s">
        <v>10</v>
      </c>
      <c r="C308" t="s">
        <v>6</v>
      </c>
      <c r="D308">
        <v>842500</v>
      </c>
    </row>
    <row r="309" spans="1:4" x14ac:dyDescent="0.25">
      <c r="A309">
        <v>2022</v>
      </c>
      <c r="B309" t="s">
        <v>10</v>
      </c>
      <c r="C309" t="s">
        <v>6</v>
      </c>
      <c r="D309">
        <v>1268000</v>
      </c>
    </row>
    <row r="310" spans="1:4" x14ac:dyDescent="0.25">
      <c r="A310">
        <v>2022</v>
      </c>
      <c r="B310" t="s">
        <v>10</v>
      </c>
      <c r="C310" t="s">
        <v>6</v>
      </c>
      <c r="D310">
        <v>560000</v>
      </c>
    </row>
    <row r="311" spans="1:4" x14ac:dyDescent="0.25">
      <c r="A311">
        <v>2022</v>
      </c>
      <c r="B311" t="s">
        <v>10</v>
      </c>
      <c r="C311" t="s">
        <v>6</v>
      </c>
      <c r="D311">
        <v>534000</v>
      </c>
    </row>
    <row r="312" spans="1:4" x14ac:dyDescent="0.25">
      <c r="A312">
        <v>2022</v>
      </c>
      <c r="B312" t="s">
        <v>10</v>
      </c>
      <c r="C312" t="s">
        <v>6</v>
      </c>
      <c r="D312">
        <v>704000</v>
      </c>
    </row>
    <row r="313" spans="1:4" x14ac:dyDescent="0.25">
      <c r="A313">
        <v>2022</v>
      </c>
      <c r="B313" t="s">
        <v>10</v>
      </c>
      <c r="C313" t="s">
        <v>6</v>
      </c>
      <c r="D313">
        <v>571000</v>
      </c>
    </row>
    <row r="314" spans="1:4" x14ac:dyDescent="0.25">
      <c r="A314">
        <v>2022</v>
      </c>
      <c r="B314" t="s">
        <v>10</v>
      </c>
      <c r="C314" t="s">
        <v>6</v>
      </c>
      <c r="D314">
        <v>562000</v>
      </c>
    </row>
    <row r="315" spans="1:4" x14ac:dyDescent="0.25">
      <c r="A315">
        <v>2022</v>
      </c>
      <c r="B315" t="s">
        <v>10</v>
      </c>
      <c r="C315" t="s">
        <v>6</v>
      </c>
      <c r="D315">
        <v>488000</v>
      </c>
    </row>
    <row r="316" spans="1:4" x14ac:dyDescent="0.25">
      <c r="A316">
        <v>2022</v>
      </c>
      <c r="B316" t="s">
        <v>10</v>
      </c>
      <c r="C316" t="s">
        <v>6</v>
      </c>
      <c r="D316">
        <v>616000</v>
      </c>
    </row>
    <row r="317" spans="1:4" x14ac:dyDescent="0.25">
      <c r="A317">
        <v>2022</v>
      </c>
      <c r="B317" t="s">
        <v>10</v>
      </c>
      <c r="C317" t="s">
        <v>6</v>
      </c>
      <c r="D317">
        <v>947000</v>
      </c>
    </row>
    <row r="318" spans="1:4" x14ac:dyDescent="0.25">
      <c r="A318">
        <v>2022</v>
      </c>
      <c r="B318" t="s">
        <v>10</v>
      </c>
      <c r="C318" t="s">
        <v>6</v>
      </c>
      <c r="D318">
        <v>458500</v>
      </c>
    </row>
    <row r="319" spans="1:4" x14ac:dyDescent="0.25">
      <c r="A319">
        <v>2022</v>
      </c>
      <c r="B319" t="s">
        <v>10</v>
      </c>
      <c r="C319" t="s">
        <v>6</v>
      </c>
      <c r="D319">
        <v>969000</v>
      </c>
    </row>
    <row r="320" spans="1:4" x14ac:dyDescent="0.25">
      <c r="A320">
        <v>2022</v>
      </c>
      <c r="B320" t="s">
        <v>10</v>
      </c>
      <c r="C320" t="s">
        <v>6</v>
      </c>
      <c r="D320">
        <v>1254000</v>
      </c>
    </row>
    <row r="321" spans="1:4" x14ac:dyDescent="0.25">
      <c r="A321">
        <v>2022</v>
      </c>
      <c r="B321" t="s">
        <v>10</v>
      </c>
      <c r="C321" t="s">
        <v>6</v>
      </c>
      <c r="D321">
        <v>1147000</v>
      </c>
    </row>
    <row r="322" spans="1:4" x14ac:dyDescent="0.25">
      <c r="A322">
        <v>2022</v>
      </c>
      <c r="B322" t="s">
        <v>10</v>
      </c>
      <c r="C322" t="s">
        <v>6</v>
      </c>
      <c r="D322">
        <v>1034000</v>
      </c>
    </row>
    <row r="323" spans="1:4" x14ac:dyDescent="0.25">
      <c r="A323">
        <v>2022</v>
      </c>
      <c r="B323" t="s">
        <v>10</v>
      </c>
      <c r="C323" t="s">
        <v>6</v>
      </c>
      <c r="D323">
        <v>2675000</v>
      </c>
    </row>
    <row r="324" spans="1:4" x14ac:dyDescent="0.25">
      <c r="A324">
        <v>2022</v>
      </c>
      <c r="B324" t="s">
        <v>10</v>
      </c>
      <c r="C324" t="s">
        <v>6</v>
      </c>
      <c r="D324">
        <v>2860000</v>
      </c>
    </row>
    <row r="325" spans="1:4" x14ac:dyDescent="0.25">
      <c r="A325">
        <v>2022</v>
      </c>
      <c r="B325" t="s">
        <v>10</v>
      </c>
      <c r="C325" t="s">
        <v>8</v>
      </c>
      <c r="D325">
        <v>146812000</v>
      </c>
    </row>
    <row r="326" spans="1:4" x14ac:dyDescent="0.25">
      <c r="A326">
        <v>2022</v>
      </c>
      <c r="B326" t="s">
        <v>10</v>
      </c>
      <c r="C326" t="s">
        <v>8</v>
      </c>
      <c r="D326">
        <v>1950000</v>
      </c>
    </row>
    <row r="327" spans="1:4" x14ac:dyDescent="0.25">
      <c r="A327">
        <v>2022</v>
      </c>
      <c r="B327" t="s">
        <v>10</v>
      </c>
      <c r="C327" t="s">
        <v>8</v>
      </c>
      <c r="D327">
        <v>500000</v>
      </c>
    </row>
    <row r="328" spans="1:4" x14ac:dyDescent="0.25">
      <c r="A328">
        <v>2022</v>
      </c>
      <c r="B328" t="s">
        <v>11</v>
      </c>
      <c r="C328" t="s">
        <v>5</v>
      </c>
      <c r="D328">
        <v>2628406348</v>
      </c>
    </row>
    <row r="329" spans="1:4" x14ac:dyDescent="0.25">
      <c r="A329">
        <v>2022</v>
      </c>
      <c r="B329" t="s">
        <v>11</v>
      </c>
      <c r="C329" t="s">
        <v>5</v>
      </c>
      <c r="D329">
        <v>37137096</v>
      </c>
    </row>
    <row r="330" spans="1:4" x14ac:dyDescent="0.25">
      <c r="A330">
        <v>2022</v>
      </c>
      <c r="B330" t="s">
        <v>11</v>
      </c>
      <c r="C330" t="s">
        <v>5</v>
      </c>
      <c r="D330">
        <v>1217977152</v>
      </c>
    </row>
    <row r="331" spans="1:4" x14ac:dyDescent="0.25">
      <c r="A331">
        <v>2022</v>
      </c>
      <c r="B331" t="s">
        <v>11</v>
      </c>
      <c r="C331" t="s">
        <v>5</v>
      </c>
      <c r="D331">
        <v>403692312</v>
      </c>
    </row>
    <row r="332" spans="1:4" x14ac:dyDescent="0.25">
      <c r="A332">
        <v>2022</v>
      </c>
      <c r="B332" t="s">
        <v>11</v>
      </c>
      <c r="C332" t="s">
        <v>5</v>
      </c>
      <c r="D332">
        <v>757744728</v>
      </c>
    </row>
    <row r="333" spans="1:4" x14ac:dyDescent="0.25">
      <c r="A333">
        <v>2022</v>
      </c>
      <c r="B333" t="s">
        <v>11</v>
      </c>
      <c r="C333" t="s">
        <v>5</v>
      </c>
      <c r="D333">
        <v>673138104</v>
      </c>
    </row>
    <row r="334" spans="1:4" x14ac:dyDescent="0.25">
      <c r="A334">
        <v>2022</v>
      </c>
      <c r="B334" t="s">
        <v>11</v>
      </c>
      <c r="C334" t="s">
        <v>5</v>
      </c>
      <c r="D334">
        <v>342913860</v>
      </c>
    </row>
    <row r="335" spans="1:4" x14ac:dyDescent="0.25">
      <c r="A335">
        <v>2022</v>
      </c>
      <c r="B335" t="s">
        <v>11</v>
      </c>
      <c r="C335" t="s">
        <v>5</v>
      </c>
      <c r="D335">
        <v>2282400</v>
      </c>
    </row>
    <row r="336" spans="1:4" x14ac:dyDescent="0.25">
      <c r="A336">
        <v>2022</v>
      </c>
      <c r="B336" t="s">
        <v>11</v>
      </c>
      <c r="C336" t="s">
        <v>6</v>
      </c>
      <c r="D336">
        <v>605135800</v>
      </c>
    </row>
    <row r="337" spans="1:4" x14ac:dyDescent="0.25">
      <c r="A337">
        <v>2022</v>
      </c>
      <c r="B337" t="s">
        <v>11</v>
      </c>
      <c r="C337" t="s">
        <v>6</v>
      </c>
      <c r="D337">
        <v>37757000</v>
      </c>
    </row>
    <row r="338" spans="1:4" x14ac:dyDescent="0.25">
      <c r="A338">
        <v>2022</v>
      </c>
      <c r="B338" t="s">
        <v>11</v>
      </c>
      <c r="C338" t="s">
        <v>6</v>
      </c>
      <c r="D338">
        <v>356400</v>
      </c>
    </row>
    <row r="339" spans="1:4" x14ac:dyDescent="0.25">
      <c r="A339">
        <v>2022</v>
      </c>
      <c r="B339" t="s">
        <v>11</v>
      </c>
      <c r="C339" t="s">
        <v>6</v>
      </c>
      <c r="D339">
        <v>800000</v>
      </c>
    </row>
    <row r="340" spans="1:4" x14ac:dyDescent="0.25">
      <c r="A340">
        <v>2022</v>
      </c>
      <c r="B340" t="s">
        <v>11</v>
      </c>
      <c r="C340" t="s">
        <v>6</v>
      </c>
      <c r="D340">
        <v>888900</v>
      </c>
    </row>
    <row r="341" spans="1:4" x14ac:dyDescent="0.25">
      <c r="A341">
        <v>2022</v>
      </c>
      <c r="B341" t="s">
        <v>11</v>
      </c>
      <c r="C341" t="s">
        <v>6</v>
      </c>
      <c r="D341">
        <v>2115000</v>
      </c>
    </row>
    <row r="342" spans="1:4" x14ac:dyDescent="0.25">
      <c r="A342">
        <v>2022</v>
      </c>
      <c r="B342" t="s">
        <v>11</v>
      </c>
      <c r="C342" t="s">
        <v>6</v>
      </c>
      <c r="D342">
        <v>2293900</v>
      </c>
    </row>
    <row r="343" spans="1:4" x14ac:dyDescent="0.25">
      <c r="A343">
        <v>2022</v>
      </c>
      <c r="B343" t="s">
        <v>11</v>
      </c>
      <c r="C343" t="s">
        <v>8</v>
      </c>
      <c r="D343">
        <v>119904800</v>
      </c>
    </row>
    <row r="344" spans="1:4" x14ac:dyDescent="0.25">
      <c r="A344">
        <v>2022</v>
      </c>
      <c r="B344" t="s">
        <v>11</v>
      </c>
      <c r="C344" t="s">
        <v>8</v>
      </c>
      <c r="D344">
        <v>1265500</v>
      </c>
    </row>
    <row r="345" spans="1:4" x14ac:dyDescent="0.25">
      <c r="A345">
        <v>2022</v>
      </c>
      <c r="B345" t="s">
        <v>11</v>
      </c>
      <c r="C345" t="s">
        <v>8</v>
      </c>
      <c r="D345">
        <v>5503500</v>
      </c>
    </row>
    <row r="346" spans="1:4" x14ac:dyDescent="0.25">
      <c r="A346">
        <v>2022</v>
      </c>
      <c r="B346" t="s">
        <v>11</v>
      </c>
      <c r="C346" t="s">
        <v>8</v>
      </c>
      <c r="D346">
        <v>4001000</v>
      </c>
    </row>
    <row r="347" spans="1:4" x14ac:dyDescent="0.25">
      <c r="A347">
        <v>2022</v>
      </c>
      <c r="B347" t="s">
        <v>11</v>
      </c>
      <c r="C347" t="s">
        <v>8</v>
      </c>
      <c r="D347">
        <v>12002000</v>
      </c>
    </row>
    <row r="348" spans="1:4" x14ac:dyDescent="0.25">
      <c r="A348">
        <v>2022</v>
      </c>
      <c r="B348" t="s">
        <v>11</v>
      </c>
      <c r="C348" t="s">
        <v>8</v>
      </c>
      <c r="D348">
        <v>24226000</v>
      </c>
    </row>
    <row r="349" spans="1:4" x14ac:dyDescent="0.25">
      <c r="A349">
        <v>2022</v>
      </c>
      <c r="B349" t="s">
        <v>11</v>
      </c>
      <c r="C349" t="s">
        <v>8</v>
      </c>
      <c r="D349">
        <v>32501000</v>
      </c>
    </row>
    <row r="350" spans="1:4" x14ac:dyDescent="0.25">
      <c r="A350">
        <v>2022</v>
      </c>
      <c r="B350" t="s">
        <v>11</v>
      </c>
      <c r="C350" t="s">
        <v>8</v>
      </c>
      <c r="D350">
        <v>30000</v>
      </c>
    </row>
    <row r="351" spans="1:4" x14ac:dyDescent="0.25">
      <c r="A351">
        <v>2022</v>
      </c>
      <c r="B351" t="s">
        <v>11</v>
      </c>
      <c r="C351" t="s">
        <v>8</v>
      </c>
      <c r="D351">
        <v>43200</v>
      </c>
    </row>
    <row r="352" spans="1:4" x14ac:dyDescent="0.25">
      <c r="A352">
        <v>2022</v>
      </c>
      <c r="B352" t="s">
        <v>11</v>
      </c>
      <c r="C352" t="s">
        <v>8</v>
      </c>
      <c r="D352">
        <v>22000</v>
      </c>
    </row>
    <row r="353" spans="1:4" x14ac:dyDescent="0.25">
      <c r="A353">
        <v>2022</v>
      </c>
      <c r="B353" t="s">
        <v>12</v>
      </c>
      <c r="C353" t="s">
        <v>6</v>
      </c>
      <c r="D353">
        <v>6495704000</v>
      </c>
    </row>
    <row r="354" spans="1:4" x14ac:dyDescent="0.25">
      <c r="A354">
        <v>2022</v>
      </c>
      <c r="B354" t="s">
        <v>13</v>
      </c>
      <c r="C354" t="s">
        <v>6</v>
      </c>
      <c r="D354">
        <v>1329816000</v>
      </c>
    </row>
    <row r="355" spans="1:4" x14ac:dyDescent="0.25">
      <c r="A355">
        <v>2022</v>
      </c>
      <c r="B355" t="s">
        <v>14</v>
      </c>
      <c r="C355" t="s">
        <v>5</v>
      </c>
      <c r="D355">
        <v>11396180</v>
      </c>
    </row>
    <row r="356" spans="1:4" x14ac:dyDescent="0.25">
      <c r="A356">
        <v>2022</v>
      </c>
      <c r="B356" t="s">
        <v>14</v>
      </c>
      <c r="C356" t="s">
        <v>5</v>
      </c>
      <c r="D356">
        <v>44619072</v>
      </c>
    </row>
    <row r="357" spans="1:4" x14ac:dyDescent="0.25">
      <c r="A357">
        <v>2022</v>
      </c>
      <c r="B357" t="s">
        <v>14</v>
      </c>
      <c r="C357" t="s">
        <v>5</v>
      </c>
      <c r="D357">
        <v>249618552</v>
      </c>
    </row>
    <row r="358" spans="1:4" x14ac:dyDescent="0.25">
      <c r="A358">
        <v>2022</v>
      </c>
      <c r="B358" t="s">
        <v>14</v>
      </c>
      <c r="C358" t="s">
        <v>5</v>
      </c>
      <c r="D358">
        <v>41318100</v>
      </c>
    </row>
    <row r="359" spans="1:4" x14ac:dyDescent="0.25">
      <c r="A359">
        <v>2022</v>
      </c>
      <c r="B359" t="s">
        <v>14</v>
      </c>
      <c r="C359" t="s">
        <v>5</v>
      </c>
      <c r="D359">
        <v>19957036</v>
      </c>
    </row>
    <row r="360" spans="1:4" x14ac:dyDescent="0.25">
      <c r="A360">
        <v>2022</v>
      </c>
      <c r="B360" t="s">
        <v>14</v>
      </c>
      <c r="C360" t="s">
        <v>5</v>
      </c>
      <c r="D360">
        <v>19873144</v>
      </c>
    </row>
    <row r="361" spans="1:4" x14ac:dyDescent="0.25">
      <c r="A361">
        <v>2022</v>
      </c>
      <c r="B361" t="s">
        <v>14</v>
      </c>
      <c r="C361" t="s">
        <v>5</v>
      </c>
      <c r="D361">
        <v>32453984</v>
      </c>
    </row>
    <row r="362" spans="1:4" x14ac:dyDescent="0.25">
      <c r="A362">
        <v>2022</v>
      </c>
      <c r="B362" t="s">
        <v>14</v>
      </c>
      <c r="C362" t="s">
        <v>5</v>
      </c>
      <c r="D362">
        <v>9675096</v>
      </c>
    </row>
    <row r="363" spans="1:4" x14ac:dyDescent="0.25">
      <c r="A363">
        <v>2022</v>
      </c>
      <c r="B363" t="s">
        <v>14</v>
      </c>
      <c r="C363" t="s">
        <v>5</v>
      </c>
      <c r="D363">
        <v>5463436</v>
      </c>
    </row>
    <row r="364" spans="1:4" x14ac:dyDescent="0.25">
      <c r="A364">
        <v>2022</v>
      </c>
      <c r="B364" t="s">
        <v>14</v>
      </c>
      <c r="C364" t="s">
        <v>5</v>
      </c>
      <c r="D364">
        <v>578600</v>
      </c>
    </row>
    <row r="365" spans="1:4" x14ac:dyDescent="0.25">
      <c r="A365">
        <v>2022</v>
      </c>
      <c r="B365" t="s">
        <v>14</v>
      </c>
      <c r="C365" t="s">
        <v>5</v>
      </c>
      <c r="D365">
        <v>1585200</v>
      </c>
    </row>
    <row r="366" spans="1:4" x14ac:dyDescent="0.25">
      <c r="A366">
        <v>2022</v>
      </c>
      <c r="B366" t="s">
        <v>14</v>
      </c>
      <c r="C366" t="s">
        <v>5</v>
      </c>
      <c r="D366">
        <v>405600</v>
      </c>
    </row>
    <row r="367" spans="1:4" x14ac:dyDescent="0.25">
      <c r="A367">
        <v>2022</v>
      </c>
      <c r="B367" t="s">
        <v>14</v>
      </c>
      <c r="C367" t="s">
        <v>5</v>
      </c>
      <c r="D367">
        <v>141600</v>
      </c>
    </row>
    <row r="368" spans="1:4" x14ac:dyDescent="0.25">
      <c r="A368">
        <v>2022</v>
      </c>
      <c r="B368" t="s">
        <v>14</v>
      </c>
      <c r="C368" t="s">
        <v>5</v>
      </c>
      <c r="D368">
        <v>175000</v>
      </c>
    </row>
    <row r="369" spans="1:4" x14ac:dyDescent="0.25">
      <c r="A369">
        <v>2022</v>
      </c>
      <c r="B369" t="s">
        <v>14</v>
      </c>
      <c r="C369" t="s">
        <v>5</v>
      </c>
      <c r="D369">
        <v>231600</v>
      </c>
    </row>
    <row r="370" spans="1:4" x14ac:dyDescent="0.25">
      <c r="A370">
        <v>2022</v>
      </c>
      <c r="B370" t="s">
        <v>14</v>
      </c>
      <c r="C370" t="s">
        <v>5</v>
      </c>
      <c r="D370">
        <v>2704200</v>
      </c>
    </row>
    <row r="371" spans="1:4" x14ac:dyDescent="0.25">
      <c r="A371">
        <v>2022</v>
      </c>
      <c r="B371" t="s">
        <v>14</v>
      </c>
      <c r="C371" t="s">
        <v>5</v>
      </c>
      <c r="D371">
        <v>581600</v>
      </c>
    </row>
    <row r="372" spans="1:4" x14ac:dyDescent="0.25">
      <c r="A372">
        <v>2022</v>
      </c>
      <c r="B372" t="s">
        <v>14</v>
      </c>
      <c r="C372" t="s">
        <v>5</v>
      </c>
      <c r="D372">
        <v>349600</v>
      </c>
    </row>
    <row r="373" spans="1:4" x14ac:dyDescent="0.25">
      <c r="A373">
        <v>2022</v>
      </c>
      <c r="B373" t="s">
        <v>14</v>
      </c>
      <c r="C373" t="s">
        <v>5</v>
      </c>
      <c r="D373">
        <v>153000</v>
      </c>
    </row>
    <row r="374" spans="1:4" x14ac:dyDescent="0.25">
      <c r="A374">
        <v>2022</v>
      </c>
      <c r="B374" t="s">
        <v>14</v>
      </c>
      <c r="C374" t="s">
        <v>5</v>
      </c>
      <c r="D374">
        <v>81600</v>
      </c>
    </row>
    <row r="375" spans="1:4" x14ac:dyDescent="0.25">
      <c r="A375">
        <v>2022</v>
      </c>
      <c r="B375" t="s">
        <v>14</v>
      </c>
      <c r="C375" t="s">
        <v>5</v>
      </c>
      <c r="D375">
        <v>11306800</v>
      </c>
    </row>
    <row r="376" spans="1:4" x14ac:dyDescent="0.25">
      <c r="A376">
        <v>2022</v>
      </c>
      <c r="B376" t="s">
        <v>14</v>
      </c>
      <c r="C376" t="s">
        <v>5</v>
      </c>
      <c r="D376">
        <v>1051600</v>
      </c>
    </row>
    <row r="377" spans="1:4" x14ac:dyDescent="0.25">
      <c r="A377">
        <v>2022</v>
      </c>
      <c r="B377" t="s">
        <v>14</v>
      </c>
      <c r="C377" t="s">
        <v>5</v>
      </c>
      <c r="D377">
        <v>10246400</v>
      </c>
    </row>
    <row r="378" spans="1:4" x14ac:dyDescent="0.25">
      <c r="A378">
        <v>2022</v>
      </c>
      <c r="B378" t="s">
        <v>14</v>
      </c>
      <c r="C378" t="s">
        <v>6</v>
      </c>
      <c r="D378">
        <v>351090000</v>
      </c>
    </row>
    <row r="379" spans="1:4" x14ac:dyDescent="0.25">
      <c r="A379">
        <v>2022</v>
      </c>
      <c r="B379" t="s">
        <v>14</v>
      </c>
      <c r="C379" t="s">
        <v>6</v>
      </c>
      <c r="D379">
        <v>216587300</v>
      </c>
    </row>
    <row r="380" spans="1:4" x14ac:dyDescent="0.25">
      <c r="A380">
        <v>2022</v>
      </c>
      <c r="B380" t="s">
        <v>14</v>
      </c>
      <c r="C380" t="s">
        <v>6</v>
      </c>
      <c r="D380">
        <v>1349100</v>
      </c>
    </row>
    <row r="381" spans="1:4" x14ac:dyDescent="0.25">
      <c r="A381">
        <v>2022</v>
      </c>
      <c r="B381" t="s">
        <v>14</v>
      </c>
      <c r="C381" t="s">
        <v>6</v>
      </c>
      <c r="D381">
        <v>54400</v>
      </c>
    </row>
    <row r="382" spans="1:4" x14ac:dyDescent="0.25">
      <c r="A382">
        <v>2022</v>
      </c>
      <c r="B382" t="s">
        <v>14</v>
      </c>
      <c r="C382" t="s">
        <v>6</v>
      </c>
      <c r="D382">
        <v>349800</v>
      </c>
    </row>
    <row r="383" spans="1:4" x14ac:dyDescent="0.25">
      <c r="A383">
        <v>2022</v>
      </c>
      <c r="B383" t="s">
        <v>14</v>
      </c>
      <c r="C383" t="s">
        <v>6</v>
      </c>
      <c r="D383">
        <v>24400</v>
      </c>
    </row>
    <row r="384" spans="1:4" x14ac:dyDescent="0.25">
      <c r="A384">
        <v>2022</v>
      </c>
      <c r="B384" t="s">
        <v>14</v>
      </c>
      <c r="C384" t="s">
        <v>6</v>
      </c>
      <c r="D384">
        <v>3400</v>
      </c>
    </row>
    <row r="385" spans="1:4" x14ac:dyDescent="0.25">
      <c r="A385">
        <v>2022</v>
      </c>
      <c r="B385" t="s">
        <v>14</v>
      </c>
      <c r="C385" t="s">
        <v>6</v>
      </c>
      <c r="D385">
        <v>30000</v>
      </c>
    </row>
    <row r="386" spans="1:4" x14ac:dyDescent="0.25">
      <c r="A386">
        <v>2022</v>
      </c>
      <c r="B386" t="s">
        <v>14</v>
      </c>
      <c r="C386" t="s">
        <v>6</v>
      </c>
      <c r="D386">
        <v>44400</v>
      </c>
    </row>
    <row r="387" spans="1:4" x14ac:dyDescent="0.25">
      <c r="A387">
        <v>2022</v>
      </c>
      <c r="B387" t="s">
        <v>14</v>
      </c>
      <c r="C387" t="s">
        <v>6</v>
      </c>
      <c r="D387">
        <v>582800</v>
      </c>
    </row>
    <row r="388" spans="1:4" x14ac:dyDescent="0.25">
      <c r="A388">
        <v>2022</v>
      </c>
      <c r="B388" t="s">
        <v>14</v>
      </c>
      <c r="C388" t="s">
        <v>6</v>
      </c>
      <c r="D388">
        <v>21400</v>
      </c>
    </row>
    <row r="389" spans="1:4" x14ac:dyDescent="0.25">
      <c r="A389">
        <v>2022</v>
      </c>
      <c r="B389" t="s">
        <v>14</v>
      </c>
      <c r="C389" t="s">
        <v>6</v>
      </c>
      <c r="D389">
        <v>22400</v>
      </c>
    </row>
    <row r="390" spans="1:4" x14ac:dyDescent="0.25">
      <c r="A390">
        <v>2022</v>
      </c>
      <c r="B390" t="s">
        <v>14</v>
      </c>
      <c r="C390" t="s">
        <v>6</v>
      </c>
      <c r="D390">
        <v>1400</v>
      </c>
    </row>
    <row r="391" spans="1:4" x14ac:dyDescent="0.25">
      <c r="A391">
        <v>2022</v>
      </c>
      <c r="B391" t="s">
        <v>14</v>
      </c>
      <c r="C391" t="s">
        <v>6</v>
      </c>
      <c r="D391">
        <v>5827200</v>
      </c>
    </row>
    <row r="392" spans="1:4" x14ac:dyDescent="0.25">
      <c r="A392">
        <v>2022</v>
      </c>
      <c r="B392" t="s">
        <v>14</v>
      </c>
      <c r="C392" t="s">
        <v>6</v>
      </c>
      <c r="D392">
        <v>297400</v>
      </c>
    </row>
    <row r="393" spans="1:4" x14ac:dyDescent="0.25">
      <c r="A393">
        <v>2022</v>
      </c>
      <c r="B393" t="s">
        <v>14</v>
      </c>
      <c r="C393" t="s">
        <v>6</v>
      </c>
      <c r="D393">
        <v>2595600</v>
      </c>
    </row>
    <row r="394" spans="1:4" x14ac:dyDescent="0.25">
      <c r="A394">
        <v>2022</v>
      </c>
      <c r="B394" t="s">
        <v>14</v>
      </c>
      <c r="C394" t="s">
        <v>7</v>
      </c>
      <c r="D394">
        <v>1000000</v>
      </c>
    </row>
    <row r="395" spans="1:4" x14ac:dyDescent="0.25">
      <c r="A395">
        <v>2022</v>
      </c>
      <c r="B395" t="s">
        <v>14</v>
      </c>
      <c r="C395" t="s">
        <v>8</v>
      </c>
      <c r="D395">
        <v>8512000</v>
      </c>
    </row>
    <row r="396" spans="1:4" x14ac:dyDescent="0.25">
      <c r="A396">
        <v>2022</v>
      </c>
      <c r="B396" t="s">
        <v>14</v>
      </c>
      <c r="C396" t="s">
        <v>8</v>
      </c>
      <c r="D396">
        <v>98000</v>
      </c>
    </row>
    <row r="397" spans="1:4" x14ac:dyDescent="0.25">
      <c r="A397">
        <v>2022</v>
      </c>
      <c r="B397" t="s">
        <v>14</v>
      </c>
      <c r="C397" t="s">
        <v>8</v>
      </c>
      <c r="D397">
        <v>200000</v>
      </c>
    </row>
    <row r="398" spans="1:4" x14ac:dyDescent="0.25">
      <c r="A398">
        <v>2022</v>
      </c>
      <c r="B398" t="s">
        <v>14</v>
      </c>
      <c r="C398" t="s">
        <v>8</v>
      </c>
      <c r="D398">
        <v>12000</v>
      </c>
    </row>
    <row r="399" spans="1:4" x14ac:dyDescent="0.25">
      <c r="A399">
        <v>2022</v>
      </c>
      <c r="B399" t="s">
        <v>14</v>
      </c>
      <c r="C399" t="s">
        <v>8</v>
      </c>
      <c r="D399">
        <v>610000</v>
      </c>
    </row>
    <row r="400" spans="1:4" x14ac:dyDescent="0.25">
      <c r="A400">
        <v>2022</v>
      </c>
      <c r="B400" t="s">
        <v>14</v>
      </c>
      <c r="C400" t="s">
        <v>8</v>
      </c>
      <c r="D400">
        <v>30000</v>
      </c>
    </row>
    <row r="401" spans="1:4" x14ac:dyDescent="0.25">
      <c r="A401">
        <v>2022</v>
      </c>
      <c r="B401" t="s">
        <v>15</v>
      </c>
      <c r="C401" t="s">
        <v>5</v>
      </c>
      <c r="D401">
        <v>360693</v>
      </c>
    </row>
    <row r="402" spans="1:4" x14ac:dyDescent="0.25">
      <c r="A402">
        <v>2022</v>
      </c>
      <c r="B402" t="s">
        <v>15</v>
      </c>
      <c r="C402" t="s">
        <v>5</v>
      </c>
      <c r="D402">
        <v>15776568</v>
      </c>
    </row>
    <row r="403" spans="1:4" x14ac:dyDescent="0.25">
      <c r="A403">
        <v>2022</v>
      </c>
      <c r="B403" t="s">
        <v>15</v>
      </c>
      <c r="C403" t="s">
        <v>5</v>
      </c>
      <c r="D403">
        <v>148047282</v>
      </c>
    </row>
    <row r="404" spans="1:4" x14ac:dyDescent="0.25">
      <c r="A404">
        <v>2022</v>
      </c>
      <c r="B404" t="s">
        <v>15</v>
      </c>
      <c r="C404" t="s">
        <v>5</v>
      </c>
      <c r="D404">
        <v>21760816</v>
      </c>
    </row>
    <row r="405" spans="1:4" x14ac:dyDescent="0.25">
      <c r="A405">
        <v>2022</v>
      </c>
      <c r="B405" t="s">
        <v>15</v>
      </c>
      <c r="C405" t="s">
        <v>5</v>
      </c>
      <c r="D405">
        <v>9921732</v>
      </c>
    </row>
    <row r="406" spans="1:4" x14ac:dyDescent="0.25">
      <c r="A406">
        <v>2022</v>
      </c>
      <c r="B406" t="s">
        <v>15</v>
      </c>
      <c r="C406" t="s">
        <v>5</v>
      </c>
      <c r="D406">
        <v>14406900</v>
      </c>
    </row>
    <row r="407" spans="1:4" x14ac:dyDescent="0.25">
      <c r="A407">
        <v>2022</v>
      </c>
      <c r="B407" t="s">
        <v>15</v>
      </c>
      <c r="C407" t="s">
        <v>5</v>
      </c>
      <c r="D407">
        <v>15236332</v>
      </c>
    </row>
    <row r="408" spans="1:4" x14ac:dyDescent="0.25">
      <c r="A408">
        <v>2022</v>
      </c>
      <c r="B408" t="s">
        <v>15</v>
      </c>
      <c r="C408" t="s">
        <v>5</v>
      </c>
      <c r="D408">
        <v>6108417</v>
      </c>
    </row>
    <row r="409" spans="1:4" x14ac:dyDescent="0.25">
      <c r="A409">
        <v>2022</v>
      </c>
      <c r="B409" t="s">
        <v>15</v>
      </c>
      <c r="C409" t="s">
        <v>5</v>
      </c>
      <c r="D409">
        <v>1369273</v>
      </c>
    </row>
    <row r="410" spans="1:4" x14ac:dyDescent="0.25">
      <c r="A410">
        <v>2022</v>
      </c>
      <c r="B410" t="s">
        <v>15</v>
      </c>
      <c r="C410" t="s">
        <v>5</v>
      </c>
      <c r="D410">
        <v>921987</v>
      </c>
    </row>
    <row r="411" spans="1:4" x14ac:dyDescent="0.25">
      <c r="A411">
        <v>2022</v>
      </c>
      <c r="B411" t="s">
        <v>15</v>
      </c>
      <c r="C411" t="s">
        <v>5</v>
      </c>
      <c r="D411">
        <v>8825000</v>
      </c>
    </row>
    <row r="412" spans="1:4" x14ac:dyDescent="0.25">
      <c r="A412">
        <v>2022</v>
      </c>
      <c r="B412" t="s">
        <v>15</v>
      </c>
      <c r="C412" t="s">
        <v>6</v>
      </c>
      <c r="D412">
        <v>3595315</v>
      </c>
    </row>
    <row r="413" spans="1:4" x14ac:dyDescent="0.25">
      <c r="A413">
        <v>2022</v>
      </c>
      <c r="B413" t="s">
        <v>15</v>
      </c>
      <c r="C413" t="s">
        <v>6</v>
      </c>
      <c r="D413">
        <v>199001891</v>
      </c>
    </row>
    <row r="414" spans="1:4" x14ac:dyDescent="0.25">
      <c r="A414">
        <v>2022</v>
      </c>
      <c r="B414" t="s">
        <v>15</v>
      </c>
      <c r="C414" t="s">
        <v>6</v>
      </c>
      <c r="D414">
        <v>3485872</v>
      </c>
    </row>
    <row r="415" spans="1:4" x14ac:dyDescent="0.25">
      <c r="A415">
        <v>2022</v>
      </c>
      <c r="B415" t="s">
        <v>15</v>
      </c>
      <c r="C415" t="s">
        <v>6</v>
      </c>
      <c r="D415">
        <v>967200</v>
      </c>
    </row>
    <row r="416" spans="1:4" x14ac:dyDescent="0.25">
      <c r="A416">
        <v>2022</v>
      </c>
      <c r="B416" t="s">
        <v>15</v>
      </c>
      <c r="C416" t="s">
        <v>6</v>
      </c>
      <c r="D416">
        <v>1572574</v>
      </c>
    </row>
    <row r="417" spans="1:4" x14ac:dyDescent="0.25">
      <c r="A417">
        <v>2022</v>
      </c>
      <c r="B417" t="s">
        <v>15</v>
      </c>
      <c r="C417" t="s">
        <v>6</v>
      </c>
      <c r="D417">
        <v>1640494</v>
      </c>
    </row>
    <row r="418" spans="1:4" x14ac:dyDescent="0.25">
      <c r="A418">
        <v>2022</v>
      </c>
      <c r="B418" t="s">
        <v>15</v>
      </c>
      <c r="C418" t="s">
        <v>6</v>
      </c>
      <c r="D418">
        <v>2453050</v>
      </c>
    </row>
    <row r="419" spans="1:4" x14ac:dyDescent="0.25">
      <c r="A419">
        <v>2022</v>
      </c>
      <c r="B419" t="s">
        <v>15</v>
      </c>
      <c r="C419" t="s">
        <v>6</v>
      </c>
      <c r="D419">
        <v>4589880</v>
      </c>
    </row>
    <row r="420" spans="1:4" x14ac:dyDescent="0.25">
      <c r="A420">
        <v>2022</v>
      </c>
      <c r="B420" t="s">
        <v>15</v>
      </c>
      <c r="C420" t="s">
        <v>6</v>
      </c>
      <c r="D420">
        <v>2323724</v>
      </c>
    </row>
    <row r="421" spans="1:4" x14ac:dyDescent="0.25">
      <c r="A421">
        <v>2022</v>
      </c>
      <c r="B421" t="s">
        <v>15</v>
      </c>
      <c r="C421" t="s">
        <v>6</v>
      </c>
      <c r="D421">
        <v>13213000</v>
      </c>
    </row>
    <row r="422" spans="1:4" x14ac:dyDescent="0.25">
      <c r="A422">
        <v>2022</v>
      </c>
      <c r="B422" t="s">
        <v>15</v>
      </c>
      <c r="C422" t="s">
        <v>8</v>
      </c>
      <c r="D422">
        <v>31980628</v>
      </c>
    </row>
    <row r="423" spans="1:4" x14ac:dyDescent="0.25">
      <c r="A423">
        <v>2022</v>
      </c>
      <c r="B423" t="s">
        <v>15</v>
      </c>
      <c r="C423" t="s">
        <v>8</v>
      </c>
      <c r="D423">
        <v>320000</v>
      </c>
    </row>
    <row r="424" spans="1:4" x14ac:dyDescent="0.25">
      <c r="A424">
        <v>2022</v>
      </c>
      <c r="B424" t="s">
        <v>15</v>
      </c>
      <c r="C424" t="s">
        <v>8</v>
      </c>
      <c r="D424">
        <v>150000</v>
      </c>
    </row>
    <row r="425" spans="1:4" x14ac:dyDescent="0.25">
      <c r="A425">
        <v>2022</v>
      </c>
      <c r="B425" t="s">
        <v>15</v>
      </c>
      <c r="C425" t="s">
        <v>8</v>
      </c>
      <c r="D425">
        <v>100000</v>
      </c>
    </row>
    <row r="426" spans="1:4" x14ac:dyDescent="0.25">
      <c r="A426">
        <v>2022</v>
      </c>
      <c r="B426" t="s">
        <v>15</v>
      </c>
      <c r="C426" t="s">
        <v>8</v>
      </c>
      <c r="D426">
        <v>25000</v>
      </c>
    </row>
    <row r="427" spans="1:4" x14ac:dyDescent="0.25">
      <c r="A427">
        <v>2022</v>
      </c>
      <c r="B427" t="s">
        <v>15</v>
      </c>
      <c r="C427" t="s">
        <v>8</v>
      </c>
      <c r="D427">
        <v>451950</v>
      </c>
    </row>
    <row r="428" spans="1:4" x14ac:dyDescent="0.25">
      <c r="A428">
        <v>2022</v>
      </c>
      <c r="B428" t="s">
        <v>15</v>
      </c>
      <c r="C428" t="s">
        <v>8</v>
      </c>
      <c r="D428">
        <v>23422</v>
      </c>
    </row>
    <row r="429" spans="1:4" x14ac:dyDescent="0.25">
      <c r="A429">
        <v>2022</v>
      </c>
      <c r="B429" t="s">
        <v>16</v>
      </c>
      <c r="C429" t="s">
        <v>5</v>
      </c>
      <c r="D429">
        <v>54893</v>
      </c>
    </row>
    <row r="430" spans="1:4" x14ac:dyDescent="0.25">
      <c r="A430">
        <v>2022</v>
      </c>
      <c r="B430" t="s">
        <v>16</v>
      </c>
      <c r="C430" t="s">
        <v>5</v>
      </c>
      <c r="D430">
        <v>34533435</v>
      </c>
    </row>
    <row r="431" spans="1:4" x14ac:dyDescent="0.25">
      <c r="A431">
        <v>2022</v>
      </c>
      <c r="B431" t="s">
        <v>16</v>
      </c>
      <c r="C431" t="s">
        <v>5</v>
      </c>
      <c r="D431">
        <v>42300672</v>
      </c>
    </row>
    <row r="432" spans="1:4" x14ac:dyDescent="0.25">
      <c r="A432">
        <v>2022</v>
      </c>
      <c r="B432" t="s">
        <v>16</v>
      </c>
      <c r="C432" t="s">
        <v>6</v>
      </c>
      <c r="D432">
        <v>1147320</v>
      </c>
    </row>
    <row r="433" spans="1:4" x14ac:dyDescent="0.25">
      <c r="A433">
        <v>2022</v>
      </c>
      <c r="B433" t="s">
        <v>16</v>
      </c>
      <c r="C433" t="s">
        <v>6</v>
      </c>
      <c r="D433">
        <v>33795680</v>
      </c>
    </row>
    <row r="434" spans="1:4" x14ac:dyDescent="0.25">
      <c r="A434">
        <v>2022</v>
      </c>
      <c r="B434" t="s">
        <v>16</v>
      </c>
      <c r="C434" t="s">
        <v>8</v>
      </c>
      <c r="D434">
        <v>3373000</v>
      </c>
    </row>
    <row r="435" spans="1:4" x14ac:dyDescent="0.25">
      <c r="A435">
        <v>2022</v>
      </c>
      <c r="B435" t="s">
        <v>17</v>
      </c>
      <c r="C435" t="s">
        <v>5</v>
      </c>
      <c r="D435">
        <v>72138424</v>
      </c>
    </row>
    <row r="436" spans="1:4" x14ac:dyDescent="0.25">
      <c r="A436">
        <v>2022</v>
      </c>
      <c r="B436" t="s">
        <v>17</v>
      </c>
      <c r="C436" t="s">
        <v>5</v>
      </c>
      <c r="D436">
        <v>26923576</v>
      </c>
    </row>
    <row r="437" spans="1:4" x14ac:dyDescent="0.25">
      <c r="A437">
        <v>2022</v>
      </c>
      <c r="B437" t="s">
        <v>17</v>
      </c>
      <c r="C437" t="s">
        <v>6</v>
      </c>
      <c r="D437">
        <v>108000000</v>
      </c>
    </row>
    <row r="438" spans="1:4" x14ac:dyDescent="0.25">
      <c r="A438">
        <v>2022</v>
      </c>
      <c r="B438" t="s">
        <v>17</v>
      </c>
      <c r="C438" t="s">
        <v>8</v>
      </c>
      <c r="D438">
        <v>4800000</v>
      </c>
    </row>
    <row r="439" spans="1:4" x14ac:dyDescent="0.25">
      <c r="A439">
        <v>2022</v>
      </c>
      <c r="B439" t="s">
        <v>18</v>
      </c>
      <c r="C439" t="s">
        <v>5</v>
      </c>
      <c r="D439">
        <v>881785</v>
      </c>
    </row>
    <row r="440" spans="1:4" x14ac:dyDescent="0.25">
      <c r="A440">
        <v>2022</v>
      </c>
      <c r="B440" t="s">
        <v>18</v>
      </c>
      <c r="C440" t="s">
        <v>5</v>
      </c>
      <c r="D440">
        <v>76439271</v>
      </c>
    </row>
    <row r="441" spans="1:4" x14ac:dyDescent="0.25">
      <c r="A441">
        <v>2022</v>
      </c>
      <c r="B441" t="s">
        <v>18</v>
      </c>
      <c r="C441" t="s">
        <v>5</v>
      </c>
      <c r="D441">
        <v>37066899</v>
      </c>
    </row>
    <row r="442" spans="1:4" x14ac:dyDescent="0.25">
      <c r="A442">
        <v>2022</v>
      </c>
      <c r="B442" t="s">
        <v>18</v>
      </c>
      <c r="C442" t="s">
        <v>5</v>
      </c>
      <c r="D442">
        <v>4079803</v>
      </c>
    </row>
    <row r="443" spans="1:4" x14ac:dyDescent="0.25">
      <c r="A443">
        <v>2022</v>
      </c>
      <c r="B443" t="s">
        <v>18</v>
      </c>
      <c r="C443" t="s">
        <v>5</v>
      </c>
      <c r="D443">
        <v>3069827</v>
      </c>
    </row>
    <row r="444" spans="1:4" x14ac:dyDescent="0.25">
      <c r="A444">
        <v>2022</v>
      </c>
      <c r="B444" t="s">
        <v>18</v>
      </c>
      <c r="C444" t="s">
        <v>5</v>
      </c>
      <c r="D444">
        <v>2004797</v>
      </c>
    </row>
    <row r="445" spans="1:4" x14ac:dyDescent="0.25">
      <c r="A445">
        <v>2022</v>
      </c>
      <c r="B445" t="s">
        <v>18</v>
      </c>
      <c r="C445" t="s">
        <v>5</v>
      </c>
      <c r="D445">
        <v>5304727</v>
      </c>
    </row>
    <row r="446" spans="1:4" x14ac:dyDescent="0.25">
      <c r="A446">
        <v>2022</v>
      </c>
      <c r="B446" t="s">
        <v>18</v>
      </c>
      <c r="C446" t="s">
        <v>5</v>
      </c>
      <c r="D446">
        <v>1878162</v>
      </c>
    </row>
    <row r="447" spans="1:4" x14ac:dyDescent="0.25">
      <c r="A447">
        <v>2022</v>
      </c>
      <c r="B447" t="s">
        <v>18</v>
      </c>
      <c r="C447" t="s">
        <v>5</v>
      </c>
      <c r="D447">
        <v>936123</v>
      </c>
    </row>
    <row r="448" spans="1:4" x14ac:dyDescent="0.25">
      <c r="A448">
        <v>2022</v>
      </c>
      <c r="B448" t="s">
        <v>18</v>
      </c>
      <c r="C448" t="s">
        <v>5</v>
      </c>
      <c r="D448">
        <v>2173168</v>
      </c>
    </row>
    <row r="449" spans="1:4" x14ac:dyDescent="0.25">
      <c r="A449">
        <v>2022</v>
      </c>
      <c r="B449" t="s">
        <v>18</v>
      </c>
      <c r="C449" t="s">
        <v>5</v>
      </c>
      <c r="D449">
        <v>2956436</v>
      </c>
    </row>
    <row r="450" spans="1:4" x14ac:dyDescent="0.25">
      <c r="A450">
        <v>2022</v>
      </c>
      <c r="B450" t="s">
        <v>18</v>
      </c>
      <c r="C450" t="s">
        <v>5</v>
      </c>
      <c r="D450">
        <v>2361000</v>
      </c>
    </row>
    <row r="451" spans="1:4" x14ac:dyDescent="0.25">
      <c r="A451">
        <v>2022</v>
      </c>
      <c r="B451" t="s">
        <v>18</v>
      </c>
      <c r="C451" t="s">
        <v>5</v>
      </c>
      <c r="D451">
        <v>4294452</v>
      </c>
    </row>
    <row r="452" spans="1:4" x14ac:dyDescent="0.25">
      <c r="A452">
        <v>2022</v>
      </c>
      <c r="B452" t="s">
        <v>18</v>
      </c>
      <c r="C452" t="s">
        <v>5</v>
      </c>
      <c r="D452">
        <v>713550</v>
      </c>
    </row>
    <row r="453" spans="1:4" x14ac:dyDescent="0.25">
      <c r="A453">
        <v>2022</v>
      </c>
      <c r="B453" t="s">
        <v>18</v>
      </c>
      <c r="C453" t="s">
        <v>6</v>
      </c>
      <c r="D453">
        <v>78582396</v>
      </c>
    </row>
    <row r="454" spans="1:4" x14ac:dyDescent="0.25">
      <c r="A454">
        <v>2022</v>
      </c>
      <c r="B454" t="s">
        <v>18</v>
      </c>
      <c r="C454" t="s">
        <v>6</v>
      </c>
      <c r="D454">
        <v>14914104</v>
      </c>
    </row>
    <row r="455" spans="1:4" x14ac:dyDescent="0.25">
      <c r="A455">
        <v>2022</v>
      </c>
      <c r="B455" t="s">
        <v>18</v>
      </c>
      <c r="C455" t="s">
        <v>6</v>
      </c>
      <c r="D455">
        <v>168000</v>
      </c>
    </row>
    <row r="456" spans="1:4" x14ac:dyDescent="0.25">
      <c r="A456">
        <v>2022</v>
      </c>
      <c r="B456" t="s">
        <v>18</v>
      </c>
      <c r="C456" t="s">
        <v>6</v>
      </c>
      <c r="D456">
        <v>189000</v>
      </c>
    </row>
    <row r="457" spans="1:4" x14ac:dyDescent="0.25">
      <c r="A457">
        <v>2022</v>
      </c>
      <c r="B457" t="s">
        <v>18</v>
      </c>
      <c r="C457" t="s">
        <v>6</v>
      </c>
      <c r="D457">
        <v>239000</v>
      </c>
    </row>
    <row r="458" spans="1:4" x14ac:dyDescent="0.25">
      <c r="A458">
        <v>2022</v>
      </c>
      <c r="B458" t="s">
        <v>18</v>
      </c>
      <c r="C458" t="s">
        <v>6</v>
      </c>
      <c r="D458">
        <v>913000</v>
      </c>
    </row>
    <row r="459" spans="1:4" x14ac:dyDescent="0.25">
      <c r="A459">
        <v>2022</v>
      </c>
      <c r="B459" t="s">
        <v>18</v>
      </c>
      <c r="C459" t="s">
        <v>6</v>
      </c>
      <c r="D459">
        <v>798500</v>
      </c>
    </row>
    <row r="460" spans="1:4" x14ac:dyDescent="0.25">
      <c r="A460">
        <v>2022</v>
      </c>
      <c r="B460" t="s">
        <v>18</v>
      </c>
      <c r="C460" t="s">
        <v>19</v>
      </c>
      <c r="D460">
        <v>50000</v>
      </c>
    </row>
    <row r="461" spans="1:4" x14ac:dyDescent="0.25">
      <c r="A461">
        <v>2022</v>
      </c>
      <c r="B461" t="s">
        <v>18</v>
      </c>
      <c r="C461" t="s">
        <v>8</v>
      </c>
      <c r="D461">
        <v>1820000</v>
      </c>
    </row>
    <row r="462" spans="1:4" x14ac:dyDescent="0.25">
      <c r="A462">
        <v>2022</v>
      </c>
      <c r="B462" t="s">
        <v>18</v>
      </c>
      <c r="C462" t="s">
        <v>8</v>
      </c>
      <c r="D462">
        <v>1005000</v>
      </c>
    </row>
    <row r="463" spans="1:4" x14ac:dyDescent="0.25">
      <c r="A463">
        <v>2022</v>
      </c>
      <c r="B463" t="s">
        <v>18</v>
      </c>
      <c r="C463" t="s">
        <v>8</v>
      </c>
      <c r="D463">
        <v>300000</v>
      </c>
    </row>
    <row r="464" spans="1:4" x14ac:dyDescent="0.25">
      <c r="A464">
        <v>2022</v>
      </c>
      <c r="B464" t="s">
        <v>20</v>
      </c>
      <c r="C464" t="s">
        <v>5</v>
      </c>
      <c r="D464">
        <v>119214000</v>
      </c>
    </row>
    <row r="465" spans="1:4" x14ac:dyDescent="0.25">
      <c r="A465">
        <v>2022</v>
      </c>
      <c r="B465" t="s">
        <v>20</v>
      </c>
      <c r="C465" t="s">
        <v>6</v>
      </c>
      <c r="D465">
        <v>12000000</v>
      </c>
    </row>
    <row r="466" spans="1:4" x14ac:dyDescent="0.25">
      <c r="A466">
        <v>2022</v>
      </c>
      <c r="B466" t="s">
        <v>20</v>
      </c>
      <c r="C466" t="s">
        <v>8</v>
      </c>
      <c r="D466">
        <v>2500000</v>
      </c>
    </row>
    <row r="467" spans="1:4" x14ac:dyDescent="0.25">
      <c r="A467">
        <v>2022</v>
      </c>
      <c r="B467" t="s">
        <v>21</v>
      </c>
      <c r="C467" t="s">
        <v>5</v>
      </c>
      <c r="D467">
        <v>1471108</v>
      </c>
    </row>
    <row r="468" spans="1:4" x14ac:dyDescent="0.25">
      <c r="A468">
        <v>2022</v>
      </c>
      <c r="B468" t="s">
        <v>21</v>
      </c>
      <c r="C468" t="s">
        <v>5</v>
      </c>
      <c r="D468">
        <v>73583928</v>
      </c>
    </row>
    <row r="469" spans="1:4" x14ac:dyDescent="0.25">
      <c r="A469">
        <v>2022</v>
      </c>
      <c r="B469" t="s">
        <v>21</v>
      </c>
      <c r="C469" t="s">
        <v>5</v>
      </c>
      <c r="D469">
        <v>226556364</v>
      </c>
    </row>
    <row r="470" spans="1:4" x14ac:dyDescent="0.25">
      <c r="A470">
        <v>2022</v>
      </c>
      <c r="B470" t="s">
        <v>21</v>
      </c>
      <c r="C470" t="s">
        <v>5</v>
      </c>
      <c r="D470">
        <v>39757704</v>
      </c>
    </row>
    <row r="471" spans="1:4" x14ac:dyDescent="0.25">
      <c r="A471">
        <v>2022</v>
      </c>
      <c r="B471" t="s">
        <v>21</v>
      </c>
      <c r="C471" t="s">
        <v>5</v>
      </c>
      <c r="D471">
        <v>25953372</v>
      </c>
    </row>
    <row r="472" spans="1:4" x14ac:dyDescent="0.25">
      <c r="A472">
        <v>2022</v>
      </c>
      <c r="B472" t="s">
        <v>21</v>
      </c>
      <c r="C472" t="s">
        <v>5</v>
      </c>
      <c r="D472">
        <v>21664452</v>
      </c>
    </row>
    <row r="473" spans="1:4" x14ac:dyDescent="0.25">
      <c r="A473">
        <v>2022</v>
      </c>
      <c r="B473" t="s">
        <v>21</v>
      </c>
      <c r="C473" t="s">
        <v>5</v>
      </c>
      <c r="D473">
        <v>30899172</v>
      </c>
    </row>
    <row r="474" spans="1:4" x14ac:dyDescent="0.25">
      <c r="A474">
        <v>2022</v>
      </c>
      <c r="B474" t="s">
        <v>21</v>
      </c>
      <c r="C474" t="s">
        <v>5</v>
      </c>
      <c r="D474">
        <v>11397480</v>
      </c>
    </row>
    <row r="475" spans="1:4" x14ac:dyDescent="0.25">
      <c r="A475">
        <v>2022</v>
      </c>
      <c r="B475" t="s">
        <v>21</v>
      </c>
      <c r="C475" t="s">
        <v>5</v>
      </c>
      <c r="D475">
        <v>26107404</v>
      </c>
    </row>
    <row r="476" spans="1:4" x14ac:dyDescent="0.25">
      <c r="A476">
        <v>2022</v>
      </c>
      <c r="B476" t="s">
        <v>21</v>
      </c>
      <c r="C476" t="s">
        <v>5</v>
      </c>
      <c r="D476">
        <v>3233016</v>
      </c>
    </row>
    <row r="477" spans="1:4" x14ac:dyDescent="0.25">
      <c r="A477">
        <v>2022</v>
      </c>
      <c r="B477" t="s">
        <v>21</v>
      </c>
      <c r="C477" t="s">
        <v>6</v>
      </c>
      <c r="D477">
        <v>18809090</v>
      </c>
    </row>
    <row r="478" spans="1:4" x14ac:dyDescent="0.25">
      <c r="A478">
        <v>2022</v>
      </c>
      <c r="B478" t="s">
        <v>21</v>
      </c>
      <c r="C478" t="s">
        <v>6</v>
      </c>
      <c r="D478">
        <v>92180998</v>
      </c>
    </row>
    <row r="479" spans="1:4" x14ac:dyDescent="0.25">
      <c r="A479">
        <v>2022</v>
      </c>
      <c r="B479" t="s">
        <v>21</v>
      </c>
      <c r="C479" t="s">
        <v>6</v>
      </c>
      <c r="D479">
        <v>4565555</v>
      </c>
    </row>
    <row r="480" spans="1:4" x14ac:dyDescent="0.25">
      <c r="A480">
        <v>2022</v>
      </c>
      <c r="B480" t="s">
        <v>21</v>
      </c>
      <c r="C480" t="s">
        <v>6</v>
      </c>
      <c r="D480">
        <v>1148670</v>
      </c>
    </row>
    <row r="481" spans="1:4" x14ac:dyDescent="0.25">
      <c r="A481">
        <v>2022</v>
      </c>
      <c r="B481" t="s">
        <v>21</v>
      </c>
      <c r="C481" t="s">
        <v>6</v>
      </c>
      <c r="D481">
        <v>801670</v>
      </c>
    </row>
    <row r="482" spans="1:4" x14ac:dyDescent="0.25">
      <c r="A482">
        <v>2022</v>
      </c>
      <c r="B482" t="s">
        <v>21</v>
      </c>
      <c r="C482" t="s">
        <v>6</v>
      </c>
      <c r="D482">
        <v>806670</v>
      </c>
    </row>
    <row r="483" spans="1:4" x14ac:dyDescent="0.25">
      <c r="A483">
        <v>2022</v>
      </c>
      <c r="B483" t="s">
        <v>21</v>
      </c>
      <c r="C483" t="s">
        <v>6</v>
      </c>
      <c r="D483">
        <v>767347</v>
      </c>
    </row>
    <row r="484" spans="1:4" x14ac:dyDescent="0.25">
      <c r="A484">
        <v>2022</v>
      </c>
      <c r="B484" t="s">
        <v>21</v>
      </c>
      <c r="C484" t="s">
        <v>8</v>
      </c>
      <c r="D484">
        <v>55005000</v>
      </c>
    </row>
    <row r="485" spans="1:4" x14ac:dyDescent="0.25">
      <c r="A485">
        <v>2022</v>
      </c>
      <c r="B485" t="s">
        <v>21</v>
      </c>
      <c r="C485" t="s">
        <v>8</v>
      </c>
      <c r="D485">
        <v>1000</v>
      </c>
    </row>
    <row r="486" spans="1:4" x14ac:dyDescent="0.25">
      <c r="A486">
        <v>2022</v>
      </c>
      <c r="B486" t="s">
        <v>22</v>
      </c>
      <c r="C486" t="s">
        <v>5</v>
      </c>
      <c r="D486">
        <v>880360</v>
      </c>
    </row>
    <row r="487" spans="1:4" x14ac:dyDescent="0.25">
      <c r="A487">
        <v>2022</v>
      </c>
      <c r="B487" t="s">
        <v>22</v>
      </c>
      <c r="C487" t="s">
        <v>5</v>
      </c>
      <c r="D487">
        <v>302405118</v>
      </c>
    </row>
    <row r="488" spans="1:4" x14ac:dyDescent="0.25">
      <c r="A488">
        <v>2022</v>
      </c>
      <c r="B488" t="s">
        <v>22</v>
      </c>
      <c r="C488" t="s">
        <v>5</v>
      </c>
      <c r="D488">
        <v>3873444</v>
      </c>
    </row>
    <row r="489" spans="1:4" x14ac:dyDescent="0.25">
      <c r="A489">
        <v>2022</v>
      </c>
      <c r="B489" t="s">
        <v>22</v>
      </c>
      <c r="C489" t="s">
        <v>5</v>
      </c>
      <c r="D489">
        <v>229322344</v>
      </c>
    </row>
    <row r="490" spans="1:4" x14ac:dyDescent="0.25">
      <c r="A490">
        <v>2022</v>
      </c>
      <c r="B490" t="s">
        <v>22</v>
      </c>
      <c r="C490" t="s">
        <v>5</v>
      </c>
      <c r="D490">
        <v>89920494</v>
      </c>
    </row>
    <row r="491" spans="1:4" x14ac:dyDescent="0.25">
      <c r="A491">
        <v>2022</v>
      </c>
      <c r="B491" t="s">
        <v>22</v>
      </c>
      <c r="C491" t="s">
        <v>5</v>
      </c>
      <c r="D491">
        <v>83598432</v>
      </c>
    </row>
    <row r="492" spans="1:4" x14ac:dyDescent="0.25">
      <c r="A492">
        <v>2022</v>
      </c>
      <c r="B492" t="s">
        <v>22</v>
      </c>
      <c r="C492" t="s">
        <v>5</v>
      </c>
      <c r="D492">
        <v>1106100</v>
      </c>
    </row>
    <row r="493" spans="1:4" x14ac:dyDescent="0.25">
      <c r="A493">
        <v>2022</v>
      </c>
      <c r="B493" t="s">
        <v>22</v>
      </c>
      <c r="C493" t="s">
        <v>5</v>
      </c>
      <c r="D493">
        <v>30441708</v>
      </c>
    </row>
    <row r="494" spans="1:4" x14ac:dyDescent="0.25">
      <c r="A494">
        <v>2022</v>
      </c>
      <c r="B494" t="s">
        <v>22</v>
      </c>
      <c r="C494" t="s">
        <v>6</v>
      </c>
      <c r="D494">
        <v>128856400</v>
      </c>
    </row>
    <row r="495" spans="1:4" x14ac:dyDescent="0.25">
      <c r="A495">
        <v>2022</v>
      </c>
      <c r="B495" t="s">
        <v>22</v>
      </c>
      <c r="C495" t="s">
        <v>6</v>
      </c>
      <c r="D495">
        <v>5071600</v>
      </c>
    </row>
    <row r="496" spans="1:4" x14ac:dyDescent="0.25">
      <c r="A496">
        <v>2022</v>
      </c>
      <c r="B496" t="s">
        <v>22</v>
      </c>
      <c r="C496" t="s">
        <v>6</v>
      </c>
      <c r="D496">
        <v>1780000</v>
      </c>
    </row>
    <row r="497" spans="1:4" x14ac:dyDescent="0.25">
      <c r="A497">
        <v>2022</v>
      </c>
      <c r="B497" t="s">
        <v>22</v>
      </c>
      <c r="C497" t="s">
        <v>19</v>
      </c>
      <c r="D497">
        <v>159000</v>
      </c>
    </row>
    <row r="498" spans="1:4" x14ac:dyDescent="0.25">
      <c r="A498">
        <v>2022</v>
      </c>
      <c r="B498" t="s">
        <v>22</v>
      </c>
      <c r="C498" t="s">
        <v>8</v>
      </c>
      <c r="D498">
        <v>650000</v>
      </c>
    </row>
    <row r="499" spans="1:4" x14ac:dyDescent="0.25">
      <c r="A499">
        <v>2022</v>
      </c>
      <c r="B499" t="s">
        <v>22</v>
      </c>
      <c r="C499" t="s">
        <v>8</v>
      </c>
      <c r="D499">
        <v>7215000</v>
      </c>
    </row>
    <row r="500" spans="1:4" x14ac:dyDescent="0.25">
      <c r="A500">
        <v>2022</v>
      </c>
      <c r="B500" t="s">
        <v>22</v>
      </c>
      <c r="C500" t="s">
        <v>8</v>
      </c>
      <c r="D500">
        <v>60000</v>
      </c>
    </row>
    <row r="501" spans="1:4" x14ac:dyDescent="0.25">
      <c r="A501">
        <v>2022</v>
      </c>
      <c r="B501" t="s">
        <v>22</v>
      </c>
      <c r="C501" t="s">
        <v>8</v>
      </c>
      <c r="D501">
        <v>16500000</v>
      </c>
    </row>
    <row r="502" spans="1:4" x14ac:dyDescent="0.25">
      <c r="A502">
        <v>2022</v>
      </c>
      <c r="B502" t="s">
        <v>23</v>
      </c>
      <c r="C502" t="s">
        <v>5</v>
      </c>
      <c r="D502">
        <v>274797</v>
      </c>
    </row>
    <row r="503" spans="1:4" x14ac:dyDescent="0.25">
      <c r="A503">
        <v>2022</v>
      </c>
      <c r="B503" t="s">
        <v>23</v>
      </c>
      <c r="C503" t="s">
        <v>5</v>
      </c>
      <c r="D503">
        <v>17002140</v>
      </c>
    </row>
    <row r="504" spans="1:4" x14ac:dyDescent="0.25">
      <c r="A504">
        <v>2022</v>
      </c>
      <c r="B504" t="s">
        <v>23</v>
      </c>
      <c r="C504" t="s">
        <v>5</v>
      </c>
      <c r="D504">
        <v>116081459</v>
      </c>
    </row>
    <row r="505" spans="1:4" x14ac:dyDescent="0.25">
      <c r="A505">
        <v>2022</v>
      </c>
      <c r="B505" t="s">
        <v>23</v>
      </c>
      <c r="C505" t="s">
        <v>5</v>
      </c>
      <c r="D505">
        <v>13930956</v>
      </c>
    </row>
    <row r="506" spans="1:4" x14ac:dyDescent="0.25">
      <c r="A506">
        <v>2022</v>
      </c>
      <c r="B506" t="s">
        <v>23</v>
      </c>
      <c r="C506" t="s">
        <v>5</v>
      </c>
      <c r="D506">
        <v>2788356</v>
      </c>
    </row>
    <row r="507" spans="1:4" x14ac:dyDescent="0.25">
      <c r="A507">
        <v>2022</v>
      </c>
      <c r="B507" t="s">
        <v>23</v>
      </c>
      <c r="C507" t="s">
        <v>5</v>
      </c>
      <c r="D507">
        <v>14478192</v>
      </c>
    </row>
    <row r="508" spans="1:4" x14ac:dyDescent="0.25">
      <c r="A508">
        <v>2022</v>
      </c>
      <c r="B508" t="s">
        <v>23</v>
      </c>
      <c r="C508" t="s">
        <v>5</v>
      </c>
      <c r="D508">
        <v>11416932</v>
      </c>
    </row>
    <row r="509" spans="1:4" x14ac:dyDescent="0.25">
      <c r="A509">
        <v>2022</v>
      </c>
      <c r="B509" t="s">
        <v>23</v>
      </c>
      <c r="C509" t="s">
        <v>5</v>
      </c>
      <c r="D509">
        <v>6510168</v>
      </c>
    </row>
    <row r="510" spans="1:4" x14ac:dyDescent="0.25">
      <c r="A510">
        <v>2022</v>
      </c>
      <c r="B510" t="s">
        <v>23</v>
      </c>
      <c r="C510" t="s">
        <v>6</v>
      </c>
      <c r="D510">
        <v>62100000</v>
      </c>
    </row>
    <row r="511" spans="1:4" x14ac:dyDescent="0.25">
      <c r="A511">
        <v>2022</v>
      </c>
      <c r="B511" t="s">
        <v>23</v>
      </c>
      <c r="C511" t="s">
        <v>6</v>
      </c>
      <c r="D511">
        <v>4405000</v>
      </c>
    </row>
    <row r="512" spans="1:4" x14ac:dyDescent="0.25">
      <c r="A512">
        <v>2022</v>
      </c>
      <c r="B512" t="s">
        <v>23</v>
      </c>
      <c r="C512" t="s">
        <v>6</v>
      </c>
      <c r="D512">
        <v>5000</v>
      </c>
    </row>
    <row r="513" spans="1:4" x14ac:dyDescent="0.25">
      <c r="A513">
        <v>2022</v>
      </c>
      <c r="B513" t="s">
        <v>23</v>
      </c>
      <c r="C513" t="s">
        <v>6</v>
      </c>
      <c r="D513">
        <v>5000</v>
      </c>
    </row>
    <row r="514" spans="1:4" x14ac:dyDescent="0.25">
      <c r="A514">
        <v>2022</v>
      </c>
      <c r="B514" t="s">
        <v>23</v>
      </c>
      <c r="C514" t="s">
        <v>6</v>
      </c>
      <c r="D514">
        <v>391000</v>
      </c>
    </row>
    <row r="515" spans="1:4" x14ac:dyDescent="0.25">
      <c r="A515">
        <v>2022</v>
      </c>
      <c r="B515" t="s">
        <v>23</v>
      </c>
      <c r="C515" t="s">
        <v>7</v>
      </c>
      <c r="D515">
        <v>11780000</v>
      </c>
    </row>
    <row r="516" spans="1:4" x14ac:dyDescent="0.25">
      <c r="A516">
        <v>2022</v>
      </c>
      <c r="B516" t="s">
        <v>23</v>
      </c>
      <c r="C516" t="s">
        <v>8</v>
      </c>
      <c r="D516">
        <v>3890000</v>
      </c>
    </row>
    <row r="517" spans="1:4" x14ac:dyDescent="0.25">
      <c r="A517">
        <v>2022</v>
      </c>
      <c r="B517" t="s">
        <v>23</v>
      </c>
      <c r="C517" t="s">
        <v>8</v>
      </c>
      <c r="D517">
        <v>400000</v>
      </c>
    </row>
    <row r="518" spans="1:4" x14ac:dyDescent="0.25">
      <c r="A518">
        <v>2022</v>
      </c>
      <c r="B518" t="s">
        <v>24</v>
      </c>
      <c r="C518" t="s">
        <v>5</v>
      </c>
      <c r="D518">
        <v>336504</v>
      </c>
    </row>
    <row r="519" spans="1:4" x14ac:dyDescent="0.25">
      <c r="A519">
        <v>2022</v>
      </c>
      <c r="B519" t="s">
        <v>24</v>
      </c>
      <c r="C519" t="s">
        <v>5</v>
      </c>
      <c r="D519">
        <v>30796145</v>
      </c>
    </row>
    <row r="520" spans="1:4" x14ac:dyDescent="0.25">
      <c r="A520">
        <v>2022</v>
      </c>
      <c r="B520" t="s">
        <v>24</v>
      </c>
      <c r="C520" t="s">
        <v>5</v>
      </c>
      <c r="D520">
        <v>106334191</v>
      </c>
    </row>
    <row r="521" spans="1:4" x14ac:dyDescent="0.25">
      <c r="A521">
        <v>2022</v>
      </c>
      <c r="B521" t="s">
        <v>24</v>
      </c>
      <c r="C521" t="s">
        <v>5</v>
      </c>
      <c r="D521">
        <v>9996824</v>
      </c>
    </row>
    <row r="522" spans="1:4" x14ac:dyDescent="0.25">
      <c r="A522">
        <v>2022</v>
      </c>
      <c r="B522" t="s">
        <v>24</v>
      </c>
      <c r="C522" t="s">
        <v>5</v>
      </c>
      <c r="D522">
        <v>17696580</v>
      </c>
    </row>
    <row r="523" spans="1:4" x14ac:dyDescent="0.25">
      <c r="A523">
        <v>2022</v>
      </c>
      <c r="B523" t="s">
        <v>24</v>
      </c>
      <c r="C523" t="s">
        <v>5</v>
      </c>
      <c r="D523">
        <v>28881256</v>
      </c>
    </row>
    <row r="524" spans="1:4" x14ac:dyDescent="0.25">
      <c r="A524">
        <v>2022</v>
      </c>
      <c r="B524" t="s">
        <v>24</v>
      </c>
      <c r="C524" t="s">
        <v>5</v>
      </c>
      <c r="D524">
        <v>30080492</v>
      </c>
    </row>
    <row r="525" spans="1:4" x14ac:dyDescent="0.25">
      <c r="A525">
        <v>2022</v>
      </c>
      <c r="B525" t="s">
        <v>24</v>
      </c>
      <c r="C525" t="s">
        <v>5</v>
      </c>
      <c r="D525">
        <v>8774008</v>
      </c>
    </row>
    <row r="526" spans="1:4" x14ac:dyDescent="0.25">
      <c r="A526">
        <v>2022</v>
      </c>
      <c r="B526" t="s">
        <v>24</v>
      </c>
      <c r="C526" t="s">
        <v>6</v>
      </c>
      <c r="D526">
        <v>1355000</v>
      </c>
    </row>
    <row r="527" spans="1:4" x14ac:dyDescent="0.25">
      <c r="A527">
        <v>2022</v>
      </c>
      <c r="B527" t="s">
        <v>24</v>
      </c>
      <c r="C527" t="s">
        <v>6</v>
      </c>
      <c r="D527">
        <v>48418000</v>
      </c>
    </row>
    <row r="528" spans="1:4" x14ac:dyDescent="0.25">
      <c r="A528">
        <v>2022</v>
      </c>
      <c r="B528" t="s">
        <v>24</v>
      </c>
      <c r="C528" t="s">
        <v>6</v>
      </c>
      <c r="D528">
        <v>1044000</v>
      </c>
    </row>
    <row r="529" spans="1:4" x14ac:dyDescent="0.25">
      <c r="A529">
        <v>2022</v>
      </c>
      <c r="B529" t="s">
        <v>24</v>
      </c>
      <c r="C529" t="s">
        <v>6</v>
      </c>
      <c r="D529">
        <v>3499000</v>
      </c>
    </row>
    <row r="530" spans="1:4" x14ac:dyDescent="0.25">
      <c r="A530">
        <v>2022</v>
      </c>
      <c r="B530" t="s">
        <v>24</v>
      </c>
      <c r="C530" t="s">
        <v>6</v>
      </c>
      <c r="D530">
        <v>865000</v>
      </c>
    </row>
    <row r="531" spans="1:4" x14ac:dyDescent="0.25">
      <c r="A531">
        <v>2022</v>
      </c>
      <c r="B531" t="s">
        <v>24</v>
      </c>
      <c r="C531" t="s">
        <v>6</v>
      </c>
      <c r="D531">
        <v>610000</v>
      </c>
    </row>
    <row r="532" spans="1:4" x14ac:dyDescent="0.25">
      <c r="A532">
        <v>2022</v>
      </c>
      <c r="B532" t="s">
        <v>24</v>
      </c>
      <c r="C532" t="s">
        <v>6</v>
      </c>
      <c r="D532">
        <v>81000</v>
      </c>
    </row>
    <row r="533" spans="1:4" x14ac:dyDescent="0.25">
      <c r="A533">
        <v>2022</v>
      </c>
      <c r="B533" t="s">
        <v>24</v>
      </c>
      <c r="C533" t="s">
        <v>7</v>
      </c>
      <c r="D533">
        <v>980685000</v>
      </c>
    </row>
    <row r="534" spans="1:4" x14ac:dyDescent="0.25">
      <c r="A534">
        <v>2022</v>
      </c>
      <c r="B534" t="s">
        <v>24</v>
      </c>
      <c r="C534" t="s">
        <v>7</v>
      </c>
      <c r="D534">
        <v>521140000</v>
      </c>
    </row>
    <row r="535" spans="1:4" x14ac:dyDescent="0.25">
      <c r="A535">
        <v>2022</v>
      </c>
      <c r="B535" t="s">
        <v>24</v>
      </c>
      <c r="C535" t="s">
        <v>7</v>
      </c>
      <c r="D535">
        <v>529400000</v>
      </c>
    </row>
    <row r="536" spans="1:4" x14ac:dyDescent="0.25">
      <c r="A536">
        <v>2022</v>
      </c>
      <c r="B536" t="s">
        <v>24</v>
      </c>
      <c r="C536" t="s">
        <v>7</v>
      </c>
      <c r="D536">
        <v>151300000</v>
      </c>
    </row>
    <row r="537" spans="1:4" x14ac:dyDescent="0.25">
      <c r="A537">
        <v>2022</v>
      </c>
      <c r="B537" t="s">
        <v>24</v>
      </c>
      <c r="C537" t="s">
        <v>7</v>
      </c>
      <c r="D537">
        <v>318500000</v>
      </c>
    </row>
    <row r="538" spans="1:4" x14ac:dyDescent="0.25">
      <c r="A538">
        <v>2022</v>
      </c>
      <c r="B538" t="s">
        <v>24</v>
      </c>
      <c r="C538" t="s">
        <v>7</v>
      </c>
      <c r="D538">
        <v>352533000</v>
      </c>
    </row>
    <row r="539" spans="1:4" x14ac:dyDescent="0.25">
      <c r="A539">
        <v>2022</v>
      </c>
      <c r="B539" t="s">
        <v>24</v>
      </c>
      <c r="C539" t="s">
        <v>7</v>
      </c>
      <c r="D539">
        <v>68350000</v>
      </c>
    </row>
    <row r="540" spans="1:4" x14ac:dyDescent="0.25">
      <c r="A540">
        <v>2022</v>
      </c>
      <c r="B540" t="s">
        <v>24</v>
      </c>
      <c r="C540" t="s">
        <v>8</v>
      </c>
      <c r="D540">
        <v>2867000</v>
      </c>
    </row>
    <row r="541" spans="1:4" x14ac:dyDescent="0.25">
      <c r="A541">
        <v>2022</v>
      </c>
      <c r="B541" t="s">
        <v>24</v>
      </c>
      <c r="C541" t="s">
        <v>8</v>
      </c>
      <c r="D541">
        <v>9000000</v>
      </c>
    </row>
    <row r="542" spans="1:4" x14ac:dyDescent="0.25">
      <c r="A542">
        <v>2022</v>
      </c>
      <c r="B542" t="s">
        <v>24</v>
      </c>
      <c r="C542" t="s">
        <v>8</v>
      </c>
      <c r="D542">
        <v>50000</v>
      </c>
    </row>
    <row r="543" spans="1:4" x14ac:dyDescent="0.25">
      <c r="A543">
        <v>2022</v>
      </c>
      <c r="B543" t="s">
        <v>24</v>
      </c>
      <c r="C543" t="s">
        <v>8</v>
      </c>
      <c r="D543">
        <v>0</v>
      </c>
    </row>
    <row r="544" spans="1:4" x14ac:dyDescent="0.25">
      <c r="A544">
        <v>2022</v>
      </c>
      <c r="B544" t="s">
        <v>24</v>
      </c>
      <c r="C544" t="s">
        <v>8</v>
      </c>
      <c r="D544">
        <v>0</v>
      </c>
    </row>
    <row r="545" spans="1:4" x14ac:dyDescent="0.25">
      <c r="A545">
        <v>2022</v>
      </c>
      <c r="B545" t="s">
        <v>25</v>
      </c>
      <c r="C545" t="s">
        <v>5</v>
      </c>
      <c r="D545">
        <v>2350982</v>
      </c>
    </row>
    <row r="546" spans="1:4" x14ac:dyDescent="0.25">
      <c r="A546">
        <v>2022</v>
      </c>
      <c r="B546" t="s">
        <v>25</v>
      </c>
      <c r="C546" t="s">
        <v>5</v>
      </c>
      <c r="D546">
        <v>17684714</v>
      </c>
    </row>
    <row r="547" spans="1:4" x14ac:dyDescent="0.25">
      <c r="A547">
        <v>2022</v>
      </c>
      <c r="B547" t="s">
        <v>25</v>
      </c>
      <c r="C547" t="s">
        <v>5</v>
      </c>
      <c r="D547">
        <v>5984304</v>
      </c>
    </row>
    <row r="548" spans="1:4" x14ac:dyDescent="0.25">
      <c r="A548">
        <v>2022</v>
      </c>
      <c r="B548" t="s">
        <v>25</v>
      </c>
      <c r="C548" t="s">
        <v>6</v>
      </c>
      <c r="D548">
        <v>7979000</v>
      </c>
    </row>
    <row r="549" spans="1:4" x14ac:dyDescent="0.25">
      <c r="A549">
        <v>2022</v>
      </c>
      <c r="B549" t="s">
        <v>25</v>
      </c>
      <c r="C549" t="s">
        <v>6</v>
      </c>
      <c r="D549">
        <v>1807000</v>
      </c>
    </row>
    <row r="550" spans="1:4" x14ac:dyDescent="0.25">
      <c r="A550">
        <v>2022</v>
      </c>
      <c r="B550" t="s">
        <v>25</v>
      </c>
      <c r="C550" t="s">
        <v>8</v>
      </c>
      <c r="D550">
        <v>705000</v>
      </c>
    </row>
    <row r="551" spans="1:4" x14ac:dyDescent="0.25">
      <c r="A551">
        <v>2022</v>
      </c>
      <c r="B551" t="s">
        <v>26</v>
      </c>
      <c r="C551" t="s">
        <v>5</v>
      </c>
      <c r="D551">
        <v>5081000</v>
      </c>
    </row>
    <row r="552" spans="1:4" x14ac:dyDescent="0.25">
      <c r="A552">
        <v>2022</v>
      </c>
      <c r="B552" t="s">
        <v>26</v>
      </c>
      <c r="C552" t="s">
        <v>6</v>
      </c>
      <c r="D552">
        <v>594000</v>
      </c>
    </row>
    <row r="553" spans="1:4" x14ac:dyDescent="0.25">
      <c r="A553">
        <v>2022</v>
      </c>
      <c r="B553" t="s">
        <v>26</v>
      </c>
      <c r="C553" t="s">
        <v>8</v>
      </c>
      <c r="D553">
        <v>20000</v>
      </c>
    </row>
    <row r="554" spans="1:4" x14ac:dyDescent="0.25">
      <c r="A554">
        <v>2022</v>
      </c>
      <c r="B554" t="s">
        <v>27</v>
      </c>
      <c r="C554" t="s">
        <v>5</v>
      </c>
      <c r="D554">
        <v>5145000</v>
      </c>
    </row>
    <row r="555" spans="1:4" x14ac:dyDescent="0.25">
      <c r="A555">
        <v>2022</v>
      </c>
      <c r="B555" t="s">
        <v>27</v>
      </c>
      <c r="C555" t="s">
        <v>6</v>
      </c>
      <c r="D555">
        <v>261000</v>
      </c>
    </row>
    <row r="556" spans="1:4" x14ac:dyDescent="0.25">
      <c r="A556">
        <v>2022</v>
      </c>
      <c r="B556" t="s">
        <v>28</v>
      </c>
      <c r="C556" t="s">
        <v>29</v>
      </c>
      <c r="D556">
        <v>559300000</v>
      </c>
    </row>
    <row r="557" spans="1:4" x14ac:dyDescent="0.25">
      <c r="A557">
        <v>2022</v>
      </c>
      <c r="B557" t="s">
        <v>28</v>
      </c>
      <c r="C557" t="s">
        <v>30</v>
      </c>
      <c r="D557">
        <v>1706482000</v>
      </c>
    </row>
    <row r="558" spans="1:4" x14ac:dyDescent="0.25">
      <c r="A558">
        <v>2022</v>
      </c>
      <c r="B558" t="s">
        <v>28</v>
      </c>
      <c r="C558" t="s">
        <v>31</v>
      </c>
      <c r="D558">
        <v>4839000000</v>
      </c>
    </row>
    <row r="559" spans="1:4" x14ac:dyDescent="0.25">
      <c r="A559">
        <v>2022</v>
      </c>
      <c r="B559" t="s">
        <v>28</v>
      </c>
      <c r="C559" t="s">
        <v>19</v>
      </c>
      <c r="D559">
        <v>7404274000</v>
      </c>
    </row>
    <row r="560" spans="1:4" x14ac:dyDescent="0.25">
      <c r="A560">
        <v>2022</v>
      </c>
      <c r="B560" t="s">
        <v>28</v>
      </c>
      <c r="C560" t="s">
        <v>8</v>
      </c>
      <c r="D560">
        <v>2379575000</v>
      </c>
    </row>
    <row r="561" spans="1:4" x14ac:dyDescent="0.25">
      <c r="A561">
        <v>2022</v>
      </c>
      <c r="B561" t="s">
        <v>32</v>
      </c>
      <c r="C561" t="s">
        <v>5</v>
      </c>
      <c r="D561">
        <v>19043000</v>
      </c>
    </row>
    <row r="562" spans="1:4" x14ac:dyDescent="0.25">
      <c r="A562">
        <v>2022</v>
      </c>
      <c r="B562" t="s">
        <v>32</v>
      </c>
      <c r="C562" t="s">
        <v>6</v>
      </c>
      <c r="D562">
        <v>6178000</v>
      </c>
    </row>
    <row r="563" spans="1:4" x14ac:dyDescent="0.25">
      <c r="A563">
        <v>2022</v>
      </c>
      <c r="B563" t="s">
        <v>32</v>
      </c>
      <c r="C563" t="s">
        <v>8</v>
      </c>
      <c r="D563">
        <v>920000</v>
      </c>
    </row>
    <row r="564" spans="1:4" x14ac:dyDescent="0.25">
      <c r="A564">
        <v>2022</v>
      </c>
      <c r="B564" t="s">
        <v>33</v>
      </c>
      <c r="C564" t="s">
        <v>5</v>
      </c>
      <c r="D564">
        <v>3200000</v>
      </c>
    </row>
    <row r="565" spans="1:4" x14ac:dyDescent="0.25">
      <c r="A565">
        <v>2022</v>
      </c>
      <c r="B565" t="s">
        <v>33</v>
      </c>
      <c r="C565" t="s">
        <v>5</v>
      </c>
      <c r="D565">
        <v>3753672</v>
      </c>
    </row>
    <row r="566" spans="1:4" x14ac:dyDescent="0.25">
      <c r="A566">
        <v>2022</v>
      </c>
      <c r="B566" t="s">
        <v>33</v>
      </c>
      <c r="C566" t="s">
        <v>5</v>
      </c>
      <c r="D566">
        <v>1144065084</v>
      </c>
    </row>
    <row r="567" spans="1:4" x14ac:dyDescent="0.25">
      <c r="A567">
        <v>2022</v>
      </c>
      <c r="B567" t="s">
        <v>33</v>
      </c>
      <c r="C567" t="s">
        <v>5</v>
      </c>
      <c r="D567">
        <v>1065408552</v>
      </c>
    </row>
    <row r="568" spans="1:4" x14ac:dyDescent="0.25">
      <c r="A568">
        <v>2022</v>
      </c>
      <c r="B568" t="s">
        <v>33</v>
      </c>
      <c r="C568" t="s">
        <v>5</v>
      </c>
      <c r="D568">
        <v>356485860</v>
      </c>
    </row>
    <row r="569" spans="1:4" x14ac:dyDescent="0.25">
      <c r="A569">
        <v>2022</v>
      </c>
      <c r="B569" t="s">
        <v>33</v>
      </c>
      <c r="C569" t="s">
        <v>5</v>
      </c>
      <c r="D569">
        <v>646154892</v>
      </c>
    </row>
    <row r="570" spans="1:4" x14ac:dyDescent="0.25">
      <c r="A570">
        <v>2022</v>
      </c>
      <c r="B570" t="s">
        <v>33</v>
      </c>
      <c r="C570" t="s">
        <v>5</v>
      </c>
      <c r="D570">
        <v>872104380</v>
      </c>
    </row>
    <row r="571" spans="1:4" x14ac:dyDescent="0.25">
      <c r="A571">
        <v>2022</v>
      </c>
      <c r="B571" t="s">
        <v>33</v>
      </c>
      <c r="C571" t="s">
        <v>5</v>
      </c>
      <c r="D571">
        <v>190819560</v>
      </c>
    </row>
    <row r="572" spans="1:4" x14ac:dyDescent="0.25">
      <c r="A572">
        <v>2022</v>
      </c>
      <c r="B572" t="s">
        <v>33</v>
      </c>
      <c r="C572" t="s">
        <v>6</v>
      </c>
      <c r="D572">
        <v>763613000</v>
      </c>
    </row>
    <row r="573" spans="1:4" x14ac:dyDescent="0.25">
      <c r="A573">
        <v>2022</v>
      </c>
      <c r="B573" t="s">
        <v>33</v>
      </c>
      <c r="C573" t="s">
        <v>7</v>
      </c>
      <c r="D573">
        <v>500000</v>
      </c>
    </row>
    <row r="574" spans="1:4" x14ac:dyDescent="0.25">
      <c r="A574">
        <v>2022</v>
      </c>
      <c r="B574" t="s">
        <v>33</v>
      </c>
      <c r="C574" t="s">
        <v>8</v>
      </c>
      <c r="D574">
        <v>24334000</v>
      </c>
    </row>
    <row r="575" spans="1:4" x14ac:dyDescent="0.25">
      <c r="A575">
        <v>2022</v>
      </c>
      <c r="B575" t="s">
        <v>34</v>
      </c>
      <c r="C575" t="s">
        <v>5</v>
      </c>
      <c r="D575">
        <v>1954000</v>
      </c>
    </row>
    <row r="576" spans="1:4" x14ac:dyDescent="0.25">
      <c r="A576">
        <v>2022</v>
      </c>
      <c r="B576" t="s">
        <v>34</v>
      </c>
      <c r="C576" t="s">
        <v>5</v>
      </c>
      <c r="D576">
        <v>3856596</v>
      </c>
    </row>
    <row r="577" spans="1:4" x14ac:dyDescent="0.25">
      <c r="A577">
        <v>2022</v>
      </c>
      <c r="B577" t="s">
        <v>34</v>
      </c>
      <c r="C577" t="s">
        <v>5</v>
      </c>
      <c r="D577">
        <v>361099165</v>
      </c>
    </row>
    <row r="578" spans="1:4" x14ac:dyDescent="0.25">
      <c r="A578">
        <v>2022</v>
      </c>
      <c r="B578" t="s">
        <v>34</v>
      </c>
      <c r="C578" t="s">
        <v>5</v>
      </c>
      <c r="D578">
        <v>845768754</v>
      </c>
    </row>
    <row r="579" spans="1:4" x14ac:dyDescent="0.25">
      <c r="A579">
        <v>2022</v>
      </c>
      <c r="B579" t="s">
        <v>34</v>
      </c>
      <c r="C579" t="s">
        <v>5</v>
      </c>
      <c r="D579">
        <v>81929996</v>
      </c>
    </row>
    <row r="580" spans="1:4" x14ac:dyDescent="0.25">
      <c r="A580">
        <v>2022</v>
      </c>
      <c r="B580" t="s">
        <v>34</v>
      </c>
      <c r="C580" t="s">
        <v>5</v>
      </c>
      <c r="D580">
        <v>359949568</v>
      </c>
    </row>
    <row r="581" spans="1:4" x14ac:dyDescent="0.25">
      <c r="A581">
        <v>2022</v>
      </c>
      <c r="B581" t="s">
        <v>34</v>
      </c>
      <c r="C581" t="s">
        <v>5</v>
      </c>
      <c r="D581">
        <v>449405657</v>
      </c>
    </row>
    <row r="582" spans="1:4" x14ac:dyDescent="0.25">
      <c r="A582">
        <v>2022</v>
      </c>
      <c r="B582" t="s">
        <v>34</v>
      </c>
      <c r="C582" t="s">
        <v>5</v>
      </c>
      <c r="D582">
        <v>120398264</v>
      </c>
    </row>
    <row r="583" spans="1:4" x14ac:dyDescent="0.25">
      <c r="A583">
        <v>2022</v>
      </c>
      <c r="B583" t="s">
        <v>34</v>
      </c>
      <c r="C583" t="s">
        <v>6</v>
      </c>
      <c r="D583">
        <v>454350509</v>
      </c>
    </row>
    <row r="584" spans="1:4" x14ac:dyDescent="0.25">
      <c r="A584">
        <v>2022</v>
      </c>
      <c r="B584" t="s">
        <v>34</v>
      </c>
      <c r="C584" t="s">
        <v>6</v>
      </c>
      <c r="D584">
        <v>654593364</v>
      </c>
    </row>
    <row r="585" spans="1:4" x14ac:dyDescent="0.25">
      <c r="A585">
        <v>2022</v>
      </c>
      <c r="B585" t="s">
        <v>34</v>
      </c>
      <c r="C585" t="s">
        <v>6</v>
      </c>
      <c r="D585">
        <v>39350920</v>
      </c>
    </row>
    <row r="586" spans="1:4" x14ac:dyDescent="0.25">
      <c r="A586">
        <v>2022</v>
      </c>
      <c r="B586" t="s">
        <v>34</v>
      </c>
      <c r="C586" t="s">
        <v>6</v>
      </c>
      <c r="D586">
        <v>211605276</v>
      </c>
    </row>
    <row r="587" spans="1:4" x14ac:dyDescent="0.25">
      <c r="A587">
        <v>2022</v>
      </c>
      <c r="B587" t="s">
        <v>34</v>
      </c>
      <c r="C587" t="s">
        <v>6</v>
      </c>
      <c r="D587">
        <v>281298411</v>
      </c>
    </row>
    <row r="588" spans="1:4" x14ac:dyDescent="0.25">
      <c r="A588">
        <v>2022</v>
      </c>
      <c r="B588" t="s">
        <v>34</v>
      </c>
      <c r="C588" t="s">
        <v>6</v>
      </c>
      <c r="D588">
        <v>77801520</v>
      </c>
    </row>
    <row r="589" spans="1:4" x14ac:dyDescent="0.25">
      <c r="A589">
        <v>2022</v>
      </c>
      <c r="B589" t="s">
        <v>34</v>
      </c>
      <c r="C589" t="s">
        <v>8</v>
      </c>
      <c r="D589">
        <v>161750420</v>
      </c>
    </row>
    <row r="590" spans="1:4" x14ac:dyDescent="0.25">
      <c r="A590">
        <v>2022</v>
      </c>
      <c r="B590" t="s">
        <v>34</v>
      </c>
      <c r="C590" t="s">
        <v>8</v>
      </c>
      <c r="D590">
        <v>79396500</v>
      </c>
    </row>
    <row r="591" spans="1:4" x14ac:dyDescent="0.25">
      <c r="A591">
        <v>2022</v>
      </c>
      <c r="B591" t="s">
        <v>34</v>
      </c>
      <c r="C591" t="s">
        <v>8</v>
      </c>
      <c r="D591">
        <v>11401500</v>
      </c>
    </row>
    <row r="592" spans="1:4" x14ac:dyDescent="0.25">
      <c r="A592">
        <v>2022</v>
      </c>
      <c r="B592" t="s">
        <v>34</v>
      </c>
      <c r="C592" t="s">
        <v>8</v>
      </c>
      <c r="D592">
        <v>16476500</v>
      </c>
    </row>
    <row r="593" spans="1:4" x14ac:dyDescent="0.25">
      <c r="A593">
        <v>2022</v>
      </c>
      <c r="B593" t="s">
        <v>34</v>
      </c>
      <c r="C593" t="s">
        <v>8</v>
      </c>
      <c r="D593">
        <v>37390580</v>
      </c>
    </row>
    <row r="594" spans="1:4" x14ac:dyDescent="0.25">
      <c r="A594">
        <v>2022</v>
      </c>
      <c r="B594" t="s">
        <v>34</v>
      </c>
      <c r="C594" t="s">
        <v>8</v>
      </c>
      <c r="D594">
        <v>7827500</v>
      </c>
    </row>
    <row r="595" spans="1:4" x14ac:dyDescent="0.25">
      <c r="A595">
        <v>2022</v>
      </c>
      <c r="B595" t="s">
        <v>35</v>
      </c>
      <c r="C595" t="s">
        <v>5</v>
      </c>
      <c r="D595">
        <v>1107683</v>
      </c>
    </row>
    <row r="596" spans="1:4" x14ac:dyDescent="0.25">
      <c r="A596">
        <v>2022</v>
      </c>
      <c r="B596" t="s">
        <v>35</v>
      </c>
      <c r="C596" t="s">
        <v>5</v>
      </c>
      <c r="D596">
        <v>51565273</v>
      </c>
    </row>
    <row r="597" spans="1:4" x14ac:dyDescent="0.25">
      <c r="A597">
        <v>2022</v>
      </c>
      <c r="B597" t="s">
        <v>35</v>
      </c>
      <c r="C597" t="s">
        <v>5</v>
      </c>
      <c r="D597">
        <v>6000444</v>
      </c>
    </row>
    <row r="598" spans="1:4" x14ac:dyDescent="0.25">
      <c r="A598">
        <v>2022</v>
      </c>
      <c r="B598" t="s">
        <v>35</v>
      </c>
      <c r="C598" t="s">
        <v>5</v>
      </c>
      <c r="D598">
        <v>778992</v>
      </c>
    </row>
    <row r="599" spans="1:4" x14ac:dyDescent="0.25">
      <c r="A599">
        <v>2022</v>
      </c>
      <c r="B599" t="s">
        <v>35</v>
      </c>
      <c r="C599" t="s">
        <v>5</v>
      </c>
      <c r="D599">
        <v>1044900</v>
      </c>
    </row>
    <row r="600" spans="1:4" x14ac:dyDescent="0.25">
      <c r="A600">
        <v>2022</v>
      </c>
      <c r="B600" t="s">
        <v>35</v>
      </c>
      <c r="C600" t="s">
        <v>5</v>
      </c>
      <c r="D600">
        <v>939396</v>
      </c>
    </row>
    <row r="601" spans="1:4" x14ac:dyDescent="0.25">
      <c r="A601">
        <v>2022</v>
      </c>
      <c r="B601" t="s">
        <v>35</v>
      </c>
      <c r="C601" t="s">
        <v>5</v>
      </c>
      <c r="D601">
        <v>779868</v>
      </c>
    </row>
    <row r="602" spans="1:4" x14ac:dyDescent="0.25">
      <c r="A602">
        <v>2022</v>
      </c>
      <c r="B602" t="s">
        <v>35</v>
      </c>
      <c r="C602" t="s">
        <v>5</v>
      </c>
      <c r="D602">
        <v>2142624</v>
      </c>
    </row>
    <row r="603" spans="1:4" x14ac:dyDescent="0.25">
      <c r="A603">
        <v>2022</v>
      </c>
      <c r="B603" t="s">
        <v>35</v>
      </c>
      <c r="C603" t="s">
        <v>5</v>
      </c>
      <c r="D603">
        <v>1402200</v>
      </c>
    </row>
    <row r="604" spans="1:4" x14ac:dyDescent="0.25">
      <c r="A604">
        <v>2022</v>
      </c>
      <c r="B604" t="s">
        <v>35</v>
      </c>
      <c r="C604" t="s">
        <v>5</v>
      </c>
      <c r="D604">
        <v>214620</v>
      </c>
    </row>
    <row r="605" spans="1:4" x14ac:dyDescent="0.25">
      <c r="A605">
        <v>2022</v>
      </c>
      <c r="B605" t="s">
        <v>35</v>
      </c>
      <c r="C605" t="s">
        <v>6</v>
      </c>
      <c r="D605">
        <v>28215000</v>
      </c>
    </row>
    <row r="606" spans="1:4" x14ac:dyDescent="0.25">
      <c r="A606">
        <v>2022</v>
      </c>
      <c r="B606" t="s">
        <v>35</v>
      </c>
      <c r="C606" t="s">
        <v>8</v>
      </c>
      <c r="D606">
        <v>5350000</v>
      </c>
    </row>
    <row r="607" spans="1:4" x14ac:dyDescent="0.25">
      <c r="A607">
        <v>2022</v>
      </c>
      <c r="B607" t="s">
        <v>36</v>
      </c>
      <c r="C607" t="s">
        <v>5</v>
      </c>
      <c r="D607">
        <v>174701000</v>
      </c>
    </row>
    <row r="608" spans="1:4" x14ac:dyDescent="0.25">
      <c r="A608">
        <v>2022</v>
      </c>
      <c r="B608" t="s">
        <v>36</v>
      </c>
      <c r="C608" t="s">
        <v>6</v>
      </c>
      <c r="D608">
        <v>16573000</v>
      </c>
    </row>
    <row r="609" spans="1:4" x14ac:dyDescent="0.25">
      <c r="A609">
        <v>2022</v>
      </c>
      <c r="B609" t="s">
        <v>36</v>
      </c>
      <c r="C609" t="s">
        <v>8</v>
      </c>
      <c r="D609">
        <v>1530000</v>
      </c>
    </row>
    <row r="610" spans="1:4" x14ac:dyDescent="0.25">
      <c r="A610">
        <v>2022</v>
      </c>
      <c r="B610" t="s">
        <v>37</v>
      </c>
      <c r="C610" t="s">
        <v>5</v>
      </c>
      <c r="D610">
        <v>11002000</v>
      </c>
    </row>
    <row r="611" spans="1:4" x14ac:dyDescent="0.25">
      <c r="A611">
        <v>2022</v>
      </c>
      <c r="B611" t="s">
        <v>37</v>
      </c>
      <c r="C611" t="s">
        <v>6</v>
      </c>
      <c r="D611">
        <v>5608000</v>
      </c>
    </row>
    <row r="612" spans="1:4" x14ac:dyDescent="0.25">
      <c r="A612">
        <v>2022</v>
      </c>
      <c r="B612" t="s">
        <v>37</v>
      </c>
      <c r="C612" t="s">
        <v>8</v>
      </c>
      <c r="D612">
        <v>7690000</v>
      </c>
    </row>
    <row r="613" spans="1:4" x14ac:dyDescent="0.25">
      <c r="A613">
        <v>2022</v>
      </c>
      <c r="B613" t="s">
        <v>38</v>
      </c>
      <c r="C613" t="s">
        <v>5</v>
      </c>
      <c r="D613">
        <v>2398002</v>
      </c>
    </row>
    <row r="614" spans="1:4" x14ac:dyDescent="0.25">
      <c r="A614">
        <v>2022</v>
      </c>
      <c r="B614" t="s">
        <v>38</v>
      </c>
      <c r="C614" t="s">
        <v>5</v>
      </c>
      <c r="D614">
        <v>31741786</v>
      </c>
    </row>
    <row r="615" spans="1:4" x14ac:dyDescent="0.25">
      <c r="A615">
        <v>2022</v>
      </c>
      <c r="B615" t="s">
        <v>38</v>
      </c>
      <c r="C615" t="s">
        <v>5</v>
      </c>
      <c r="D615">
        <v>4094212</v>
      </c>
    </row>
    <row r="616" spans="1:4" x14ac:dyDescent="0.25">
      <c r="A616">
        <v>2022</v>
      </c>
      <c r="B616" t="s">
        <v>38</v>
      </c>
      <c r="C616" t="s">
        <v>6</v>
      </c>
      <c r="D616">
        <v>34733000</v>
      </c>
    </row>
    <row r="617" spans="1:4" x14ac:dyDescent="0.25">
      <c r="A617">
        <v>2022</v>
      </c>
      <c r="B617" t="s">
        <v>38</v>
      </c>
      <c r="C617" t="s">
        <v>7</v>
      </c>
      <c r="D617">
        <v>113250000</v>
      </c>
    </row>
    <row r="618" spans="1:4" x14ac:dyDescent="0.25">
      <c r="A618">
        <v>2022</v>
      </c>
      <c r="B618" t="s">
        <v>38</v>
      </c>
      <c r="C618" t="s">
        <v>8</v>
      </c>
      <c r="D618">
        <v>382000</v>
      </c>
    </row>
    <row r="619" spans="1:4" x14ac:dyDescent="0.25">
      <c r="A619">
        <v>2022</v>
      </c>
      <c r="B619" t="s">
        <v>39</v>
      </c>
      <c r="C619" t="s">
        <v>5</v>
      </c>
      <c r="D619">
        <v>2844000</v>
      </c>
    </row>
    <row r="620" spans="1:4" x14ac:dyDescent="0.25">
      <c r="A620">
        <v>2022</v>
      </c>
      <c r="B620" t="s">
        <v>39</v>
      </c>
      <c r="C620" t="s">
        <v>6</v>
      </c>
      <c r="D620">
        <v>2076000</v>
      </c>
    </row>
    <row r="621" spans="1:4" x14ac:dyDescent="0.25">
      <c r="A621">
        <v>2022</v>
      </c>
      <c r="B621" t="s">
        <v>39</v>
      </c>
      <c r="C621" t="s">
        <v>8</v>
      </c>
      <c r="D621">
        <v>33000</v>
      </c>
    </row>
    <row r="622" spans="1:4" x14ac:dyDescent="0.25">
      <c r="A622">
        <v>2022</v>
      </c>
      <c r="B622" t="s">
        <v>40</v>
      </c>
      <c r="C622" t="s">
        <v>5</v>
      </c>
      <c r="D622">
        <v>15791000</v>
      </c>
    </row>
    <row r="623" spans="1:4" x14ac:dyDescent="0.25">
      <c r="A623">
        <v>2022</v>
      </c>
      <c r="B623" t="s">
        <v>40</v>
      </c>
      <c r="C623" t="s">
        <v>6</v>
      </c>
      <c r="D623">
        <v>20496000</v>
      </c>
    </row>
    <row r="624" spans="1:4" x14ac:dyDescent="0.25">
      <c r="A624">
        <v>2022</v>
      </c>
      <c r="B624" t="s">
        <v>40</v>
      </c>
      <c r="C624" t="s">
        <v>8</v>
      </c>
      <c r="D624">
        <v>400000</v>
      </c>
    </row>
    <row r="625" spans="1:4" x14ac:dyDescent="0.25">
      <c r="A625">
        <v>2022</v>
      </c>
      <c r="B625" t="s">
        <v>41</v>
      </c>
      <c r="C625" t="s">
        <v>5</v>
      </c>
      <c r="D625">
        <v>4052684</v>
      </c>
    </row>
    <row r="626" spans="1:4" x14ac:dyDescent="0.25">
      <c r="A626">
        <v>2022</v>
      </c>
      <c r="B626" t="s">
        <v>41</v>
      </c>
      <c r="C626" t="s">
        <v>5</v>
      </c>
      <c r="D626">
        <v>1038590104</v>
      </c>
    </row>
    <row r="627" spans="1:4" x14ac:dyDescent="0.25">
      <c r="A627">
        <v>2022</v>
      </c>
      <c r="B627" t="s">
        <v>41</v>
      </c>
      <c r="C627" t="s">
        <v>5</v>
      </c>
      <c r="D627">
        <v>64085312</v>
      </c>
    </row>
    <row r="628" spans="1:4" x14ac:dyDescent="0.25">
      <c r="A628">
        <v>2022</v>
      </c>
      <c r="B628" t="s">
        <v>41</v>
      </c>
      <c r="C628" t="s">
        <v>5</v>
      </c>
      <c r="D628">
        <v>143060928</v>
      </c>
    </row>
    <row r="629" spans="1:4" x14ac:dyDescent="0.25">
      <c r="A629">
        <v>2022</v>
      </c>
      <c r="B629" t="s">
        <v>41</v>
      </c>
      <c r="C629" t="s">
        <v>5</v>
      </c>
      <c r="D629">
        <v>43954680</v>
      </c>
    </row>
    <row r="630" spans="1:4" x14ac:dyDescent="0.25">
      <c r="A630">
        <v>2022</v>
      </c>
      <c r="B630" t="s">
        <v>41</v>
      </c>
      <c r="C630" t="s">
        <v>5</v>
      </c>
      <c r="D630">
        <v>71746176</v>
      </c>
    </row>
    <row r="631" spans="1:4" x14ac:dyDescent="0.25">
      <c r="A631">
        <v>2022</v>
      </c>
      <c r="B631" t="s">
        <v>41</v>
      </c>
      <c r="C631" t="s">
        <v>5</v>
      </c>
      <c r="D631">
        <v>105256932</v>
      </c>
    </row>
    <row r="632" spans="1:4" x14ac:dyDescent="0.25">
      <c r="A632">
        <v>2022</v>
      </c>
      <c r="B632" t="s">
        <v>41</v>
      </c>
      <c r="C632" t="s">
        <v>5</v>
      </c>
      <c r="D632">
        <v>42914708</v>
      </c>
    </row>
    <row r="633" spans="1:4" x14ac:dyDescent="0.25">
      <c r="A633">
        <v>2022</v>
      </c>
      <c r="B633" t="s">
        <v>41</v>
      </c>
      <c r="C633" t="s">
        <v>5</v>
      </c>
      <c r="D633">
        <v>9219476</v>
      </c>
    </row>
    <row r="634" spans="1:4" x14ac:dyDescent="0.25">
      <c r="A634">
        <v>2022</v>
      </c>
      <c r="B634" t="s">
        <v>41</v>
      </c>
      <c r="C634" t="s">
        <v>6</v>
      </c>
      <c r="D634">
        <v>433325000</v>
      </c>
    </row>
    <row r="635" spans="1:4" x14ac:dyDescent="0.25">
      <c r="A635">
        <v>2022</v>
      </c>
      <c r="B635" t="s">
        <v>41</v>
      </c>
      <c r="C635" t="s">
        <v>6</v>
      </c>
      <c r="D635">
        <v>4736000</v>
      </c>
    </row>
    <row r="636" spans="1:4" x14ac:dyDescent="0.25">
      <c r="A636">
        <v>2022</v>
      </c>
      <c r="B636" t="s">
        <v>41</v>
      </c>
      <c r="C636" t="s">
        <v>8</v>
      </c>
      <c r="D636">
        <v>42597000</v>
      </c>
    </row>
    <row r="637" spans="1:4" x14ac:dyDescent="0.25">
      <c r="A637">
        <v>2022</v>
      </c>
      <c r="B637" t="s">
        <v>41</v>
      </c>
      <c r="C637" t="s">
        <v>8</v>
      </c>
      <c r="D637">
        <v>1300000</v>
      </c>
    </row>
    <row r="638" spans="1:4" x14ac:dyDescent="0.25">
      <c r="A638">
        <v>2022</v>
      </c>
      <c r="B638" t="s">
        <v>42</v>
      </c>
      <c r="C638" t="s">
        <v>5</v>
      </c>
      <c r="D638">
        <v>8146000</v>
      </c>
    </row>
    <row r="639" spans="1:4" x14ac:dyDescent="0.25">
      <c r="A639">
        <v>2022</v>
      </c>
      <c r="B639" t="s">
        <v>42</v>
      </c>
      <c r="C639" t="s">
        <v>6</v>
      </c>
      <c r="D639">
        <v>6256000</v>
      </c>
    </row>
    <row r="640" spans="1:4" x14ac:dyDescent="0.25">
      <c r="A640">
        <v>2022</v>
      </c>
      <c r="B640" t="s">
        <v>42</v>
      </c>
      <c r="C640" t="s">
        <v>8</v>
      </c>
      <c r="D640">
        <v>598000</v>
      </c>
    </row>
    <row r="641" spans="1:4" x14ac:dyDescent="0.25">
      <c r="A641">
        <v>2022</v>
      </c>
      <c r="B641" t="s">
        <v>43</v>
      </c>
      <c r="C641" t="s">
        <v>5</v>
      </c>
      <c r="D641">
        <v>36300000</v>
      </c>
    </row>
    <row r="642" spans="1:4" x14ac:dyDescent="0.25">
      <c r="A642">
        <v>2022</v>
      </c>
      <c r="B642" t="s">
        <v>43</v>
      </c>
      <c r="C642" t="s">
        <v>6</v>
      </c>
      <c r="D642">
        <v>14064000</v>
      </c>
    </row>
    <row r="643" spans="1:4" x14ac:dyDescent="0.25">
      <c r="A643">
        <v>2022</v>
      </c>
      <c r="B643" t="s">
        <v>43</v>
      </c>
      <c r="C643" t="s">
        <v>8</v>
      </c>
      <c r="D643">
        <v>1636000</v>
      </c>
    </row>
    <row r="644" spans="1:4" x14ac:dyDescent="0.25">
      <c r="A644">
        <v>2022</v>
      </c>
      <c r="B644" t="s">
        <v>44</v>
      </c>
      <c r="C644" t="s">
        <v>5</v>
      </c>
      <c r="D644">
        <v>57294000</v>
      </c>
    </row>
    <row r="645" spans="1:4" x14ac:dyDescent="0.25">
      <c r="A645">
        <v>2022</v>
      </c>
      <c r="B645" t="s">
        <v>44</v>
      </c>
      <c r="C645" t="s">
        <v>6</v>
      </c>
      <c r="D645">
        <v>14343000</v>
      </c>
    </row>
    <row r="646" spans="1:4" x14ac:dyDescent="0.25">
      <c r="A646">
        <v>2022</v>
      </c>
      <c r="B646" t="s">
        <v>44</v>
      </c>
      <c r="C646" t="s">
        <v>7</v>
      </c>
      <c r="D646">
        <v>2564000</v>
      </c>
    </row>
    <row r="647" spans="1:4" x14ac:dyDescent="0.25">
      <c r="A647">
        <v>2022</v>
      </c>
      <c r="B647" t="s">
        <v>44</v>
      </c>
      <c r="C647" t="s">
        <v>8</v>
      </c>
      <c r="D647">
        <v>500000</v>
      </c>
    </row>
    <row r="648" spans="1:4" x14ac:dyDescent="0.25">
      <c r="A648">
        <v>2022</v>
      </c>
      <c r="B648" t="s">
        <v>45</v>
      </c>
      <c r="C648" t="s">
        <v>5</v>
      </c>
      <c r="D648">
        <v>15000</v>
      </c>
    </row>
    <row r="649" spans="1:4" x14ac:dyDescent="0.25">
      <c r="A649">
        <v>2022</v>
      </c>
      <c r="B649" t="s">
        <v>45</v>
      </c>
      <c r="C649" t="s">
        <v>5</v>
      </c>
      <c r="D649">
        <v>58501000</v>
      </c>
    </row>
    <row r="650" spans="1:4" x14ac:dyDescent="0.25">
      <c r="A650">
        <v>2022</v>
      </c>
      <c r="B650" t="s">
        <v>45</v>
      </c>
      <c r="C650" t="s">
        <v>6</v>
      </c>
      <c r="D650">
        <v>53654000</v>
      </c>
    </row>
    <row r="651" spans="1:4" x14ac:dyDescent="0.25">
      <c r="A651">
        <v>2022</v>
      </c>
      <c r="B651" t="s">
        <v>45</v>
      </c>
      <c r="C651" t="s">
        <v>8</v>
      </c>
      <c r="D651">
        <v>176744000</v>
      </c>
    </row>
    <row r="652" spans="1:4" x14ac:dyDescent="0.25">
      <c r="A652">
        <v>2022</v>
      </c>
      <c r="B652" t="s">
        <v>46</v>
      </c>
      <c r="C652" t="s">
        <v>5</v>
      </c>
      <c r="D652">
        <v>502000</v>
      </c>
    </row>
    <row r="653" spans="1:4" x14ac:dyDescent="0.25">
      <c r="A653">
        <v>2022</v>
      </c>
      <c r="B653" t="s">
        <v>46</v>
      </c>
      <c r="C653" t="s">
        <v>5</v>
      </c>
      <c r="D653">
        <v>140418742</v>
      </c>
    </row>
    <row r="654" spans="1:4" x14ac:dyDescent="0.25">
      <c r="A654">
        <v>2022</v>
      </c>
      <c r="B654" t="s">
        <v>46</v>
      </c>
      <c r="C654" t="s">
        <v>5</v>
      </c>
      <c r="D654">
        <v>50000</v>
      </c>
    </row>
    <row r="655" spans="1:4" x14ac:dyDescent="0.25">
      <c r="A655">
        <v>2022</v>
      </c>
      <c r="B655" t="s">
        <v>46</v>
      </c>
      <c r="C655" t="s">
        <v>5</v>
      </c>
      <c r="D655">
        <v>24469452</v>
      </c>
    </row>
    <row r="656" spans="1:4" x14ac:dyDescent="0.25">
      <c r="A656">
        <v>2022</v>
      </c>
      <c r="B656" t="s">
        <v>46</v>
      </c>
      <c r="C656" t="s">
        <v>5</v>
      </c>
      <c r="D656">
        <v>24583216</v>
      </c>
    </row>
    <row r="657" spans="1:4" x14ac:dyDescent="0.25">
      <c r="A657">
        <v>2022</v>
      </c>
      <c r="B657" t="s">
        <v>46</v>
      </c>
      <c r="C657" t="s">
        <v>5</v>
      </c>
      <c r="D657">
        <v>19566092</v>
      </c>
    </row>
    <row r="658" spans="1:4" x14ac:dyDescent="0.25">
      <c r="A658">
        <v>2022</v>
      </c>
      <c r="B658" t="s">
        <v>46</v>
      </c>
      <c r="C658" t="s">
        <v>5</v>
      </c>
      <c r="D658">
        <v>47037886</v>
      </c>
    </row>
    <row r="659" spans="1:4" x14ac:dyDescent="0.25">
      <c r="A659">
        <v>2022</v>
      </c>
      <c r="B659" t="s">
        <v>46</v>
      </c>
      <c r="C659" t="s">
        <v>5</v>
      </c>
      <c r="D659">
        <v>14192220</v>
      </c>
    </row>
    <row r="660" spans="1:4" x14ac:dyDescent="0.25">
      <c r="A660">
        <v>2022</v>
      </c>
      <c r="B660" t="s">
        <v>46</v>
      </c>
      <c r="C660" t="s">
        <v>5</v>
      </c>
      <c r="D660">
        <v>69516516</v>
      </c>
    </row>
    <row r="661" spans="1:4" x14ac:dyDescent="0.25">
      <c r="A661">
        <v>2022</v>
      </c>
      <c r="B661" t="s">
        <v>46</v>
      </c>
      <c r="C661" t="s">
        <v>5</v>
      </c>
      <c r="D661">
        <v>16572876</v>
      </c>
    </row>
    <row r="662" spans="1:4" x14ac:dyDescent="0.25">
      <c r="A662">
        <v>2022</v>
      </c>
      <c r="B662" t="s">
        <v>46</v>
      </c>
      <c r="C662" t="s">
        <v>6</v>
      </c>
      <c r="D662">
        <v>24563388</v>
      </c>
    </row>
    <row r="663" spans="1:4" x14ac:dyDescent="0.25">
      <c r="A663">
        <v>2022</v>
      </c>
      <c r="B663" t="s">
        <v>46</v>
      </c>
      <c r="C663" t="s">
        <v>6</v>
      </c>
      <c r="D663">
        <v>228000</v>
      </c>
    </row>
    <row r="664" spans="1:4" x14ac:dyDescent="0.25">
      <c r="A664">
        <v>2022</v>
      </c>
      <c r="B664" t="s">
        <v>46</v>
      </c>
      <c r="C664" t="s">
        <v>6</v>
      </c>
      <c r="D664">
        <v>8501619</v>
      </c>
    </row>
    <row r="665" spans="1:4" x14ac:dyDescent="0.25">
      <c r="A665">
        <v>2022</v>
      </c>
      <c r="B665" t="s">
        <v>46</v>
      </c>
      <c r="C665" t="s">
        <v>6</v>
      </c>
      <c r="D665">
        <v>11856247</v>
      </c>
    </row>
    <row r="666" spans="1:4" x14ac:dyDescent="0.25">
      <c r="A666">
        <v>2022</v>
      </c>
      <c r="B666" t="s">
        <v>46</v>
      </c>
      <c r="C666" t="s">
        <v>6</v>
      </c>
      <c r="D666">
        <v>14093460</v>
      </c>
    </row>
    <row r="667" spans="1:4" x14ac:dyDescent="0.25">
      <c r="A667">
        <v>2022</v>
      </c>
      <c r="B667" t="s">
        <v>46</v>
      </c>
      <c r="C667" t="s">
        <v>6</v>
      </c>
      <c r="D667">
        <v>33869045</v>
      </c>
    </row>
    <row r="668" spans="1:4" x14ac:dyDescent="0.25">
      <c r="A668">
        <v>2022</v>
      </c>
      <c r="B668" t="s">
        <v>46</v>
      </c>
      <c r="C668" t="s">
        <v>6</v>
      </c>
      <c r="D668">
        <v>9918803</v>
      </c>
    </row>
    <row r="669" spans="1:4" x14ac:dyDescent="0.25">
      <c r="A669">
        <v>2022</v>
      </c>
      <c r="B669" t="s">
        <v>46</v>
      </c>
      <c r="C669" t="s">
        <v>6</v>
      </c>
      <c r="D669">
        <v>1167062</v>
      </c>
    </row>
    <row r="670" spans="1:4" x14ac:dyDescent="0.25">
      <c r="A670">
        <v>2022</v>
      </c>
      <c r="B670" t="s">
        <v>46</v>
      </c>
      <c r="C670" t="s">
        <v>6</v>
      </c>
      <c r="D670">
        <v>688376</v>
      </c>
    </row>
    <row r="671" spans="1:4" x14ac:dyDescent="0.25">
      <c r="A671">
        <v>2022</v>
      </c>
      <c r="B671" t="s">
        <v>46</v>
      </c>
      <c r="C671" t="s">
        <v>8</v>
      </c>
      <c r="D671">
        <v>1818000</v>
      </c>
    </row>
    <row r="672" spans="1:4" x14ac:dyDescent="0.25">
      <c r="A672">
        <v>2022</v>
      </c>
      <c r="B672" t="s">
        <v>46</v>
      </c>
      <c r="C672" t="s">
        <v>8</v>
      </c>
      <c r="D672">
        <v>200000</v>
      </c>
    </row>
    <row r="673" spans="1:4" x14ac:dyDescent="0.25">
      <c r="A673">
        <v>2022</v>
      </c>
      <c r="B673" t="s">
        <v>47</v>
      </c>
      <c r="C673" t="s">
        <v>5</v>
      </c>
      <c r="D673">
        <v>55000</v>
      </c>
    </row>
    <row r="674" spans="1:4" x14ac:dyDescent="0.25">
      <c r="A674">
        <v>2022</v>
      </c>
      <c r="B674" t="s">
        <v>47</v>
      </c>
      <c r="C674" t="s">
        <v>5</v>
      </c>
      <c r="D674">
        <v>4848661</v>
      </c>
    </row>
    <row r="675" spans="1:4" x14ac:dyDescent="0.25">
      <c r="A675">
        <v>2022</v>
      </c>
      <c r="B675" t="s">
        <v>47</v>
      </c>
      <c r="C675" t="s">
        <v>5</v>
      </c>
      <c r="D675">
        <v>51304339</v>
      </c>
    </row>
    <row r="676" spans="1:4" x14ac:dyDescent="0.25">
      <c r="A676">
        <v>2022</v>
      </c>
      <c r="B676" t="s">
        <v>47</v>
      </c>
      <c r="C676" t="s">
        <v>6</v>
      </c>
      <c r="D676">
        <v>16437000</v>
      </c>
    </row>
    <row r="677" spans="1:4" x14ac:dyDescent="0.25">
      <c r="A677">
        <v>2022</v>
      </c>
      <c r="B677" t="s">
        <v>47</v>
      </c>
      <c r="C677" t="s">
        <v>8</v>
      </c>
      <c r="D677">
        <v>600000</v>
      </c>
    </row>
    <row r="678" spans="1:4" x14ac:dyDescent="0.25">
      <c r="A678">
        <v>2022</v>
      </c>
      <c r="B678" t="s">
        <v>48</v>
      </c>
      <c r="C678" t="s">
        <v>5</v>
      </c>
      <c r="D678">
        <v>916830000</v>
      </c>
    </row>
    <row r="679" spans="1:4" x14ac:dyDescent="0.25">
      <c r="A679">
        <v>2022</v>
      </c>
      <c r="B679" t="s">
        <v>48</v>
      </c>
      <c r="C679" t="s">
        <v>6</v>
      </c>
      <c r="D679">
        <v>405730000</v>
      </c>
    </row>
    <row r="680" spans="1:4" x14ac:dyDescent="0.25">
      <c r="A680">
        <v>2022</v>
      </c>
      <c r="B680" t="s">
        <v>48</v>
      </c>
      <c r="C680" t="s">
        <v>19</v>
      </c>
      <c r="D680">
        <v>60000</v>
      </c>
    </row>
    <row r="681" spans="1:4" x14ac:dyDescent="0.25">
      <c r="A681">
        <v>2022</v>
      </c>
      <c r="B681" t="s">
        <v>48</v>
      </c>
      <c r="C681" t="s">
        <v>8</v>
      </c>
      <c r="D681">
        <v>57949000</v>
      </c>
    </row>
    <row r="682" spans="1:4" x14ac:dyDescent="0.25">
      <c r="A682">
        <v>2022</v>
      </c>
      <c r="B682" t="s">
        <v>49</v>
      </c>
      <c r="C682" t="s">
        <v>5</v>
      </c>
      <c r="D682">
        <v>10000</v>
      </c>
    </row>
    <row r="683" spans="1:4" x14ac:dyDescent="0.25">
      <c r="A683">
        <v>2022</v>
      </c>
      <c r="B683" t="s">
        <v>49</v>
      </c>
      <c r="C683" t="s">
        <v>5</v>
      </c>
      <c r="D683">
        <v>332152876</v>
      </c>
    </row>
    <row r="684" spans="1:4" x14ac:dyDescent="0.25">
      <c r="A684">
        <v>2022</v>
      </c>
      <c r="B684" t="s">
        <v>49</v>
      </c>
      <c r="C684" t="s">
        <v>5</v>
      </c>
      <c r="D684">
        <v>131502564</v>
      </c>
    </row>
    <row r="685" spans="1:4" x14ac:dyDescent="0.25">
      <c r="A685">
        <v>2022</v>
      </c>
      <c r="B685" t="s">
        <v>49</v>
      </c>
      <c r="C685" t="s">
        <v>5</v>
      </c>
      <c r="D685">
        <v>123765264</v>
      </c>
    </row>
    <row r="686" spans="1:4" x14ac:dyDescent="0.25">
      <c r="A686">
        <v>2022</v>
      </c>
      <c r="B686" t="s">
        <v>49</v>
      </c>
      <c r="C686" t="s">
        <v>5</v>
      </c>
      <c r="D686">
        <v>68501748</v>
      </c>
    </row>
    <row r="687" spans="1:4" x14ac:dyDescent="0.25">
      <c r="A687">
        <v>2022</v>
      </c>
      <c r="B687" t="s">
        <v>49</v>
      </c>
      <c r="C687" t="s">
        <v>5</v>
      </c>
      <c r="D687">
        <v>74647248</v>
      </c>
    </row>
    <row r="688" spans="1:4" x14ac:dyDescent="0.25">
      <c r="A688">
        <v>2022</v>
      </c>
      <c r="B688" t="s">
        <v>49</v>
      </c>
      <c r="C688" t="s">
        <v>5</v>
      </c>
      <c r="D688">
        <v>60797604</v>
      </c>
    </row>
    <row r="689" spans="1:4" x14ac:dyDescent="0.25">
      <c r="A689">
        <v>2022</v>
      </c>
      <c r="B689" t="s">
        <v>49</v>
      </c>
      <c r="C689" t="s">
        <v>5</v>
      </c>
      <c r="D689">
        <v>26670696</v>
      </c>
    </row>
    <row r="690" spans="1:4" x14ac:dyDescent="0.25">
      <c r="A690">
        <v>2022</v>
      </c>
      <c r="B690" t="s">
        <v>49</v>
      </c>
      <c r="C690" t="s">
        <v>6</v>
      </c>
      <c r="D690">
        <v>129974000</v>
      </c>
    </row>
    <row r="691" spans="1:4" x14ac:dyDescent="0.25">
      <c r="A691">
        <v>2022</v>
      </c>
      <c r="B691" t="s">
        <v>49</v>
      </c>
      <c r="C691" t="s">
        <v>8</v>
      </c>
      <c r="D691">
        <v>16875000</v>
      </c>
    </row>
    <row r="692" spans="1:4" x14ac:dyDescent="0.25">
      <c r="A692">
        <v>2022</v>
      </c>
      <c r="B692" t="s">
        <v>50</v>
      </c>
      <c r="C692" t="s">
        <v>5</v>
      </c>
      <c r="D692">
        <v>237024611</v>
      </c>
    </row>
    <row r="693" spans="1:4" x14ac:dyDescent="0.25">
      <c r="A693">
        <v>2022</v>
      </c>
      <c r="B693" t="s">
        <v>50</v>
      </c>
      <c r="C693" t="s">
        <v>5</v>
      </c>
      <c r="D693">
        <v>224575389</v>
      </c>
    </row>
    <row r="694" spans="1:4" x14ac:dyDescent="0.25">
      <c r="A694">
        <v>2022</v>
      </c>
      <c r="B694" t="s">
        <v>50</v>
      </c>
      <c r="C694" t="s">
        <v>6</v>
      </c>
      <c r="D694">
        <v>3221355</v>
      </c>
    </row>
    <row r="695" spans="1:4" x14ac:dyDescent="0.25">
      <c r="A695">
        <v>2022</v>
      </c>
      <c r="B695" t="s">
        <v>50</v>
      </c>
      <c r="C695" t="s">
        <v>6</v>
      </c>
      <c r="D695">
        <v>3656645</v>
      </c>
    </row>
    <row r="696" spans="1:4" x14ac:dyDescent="0.25">
      <c r="A696">
        <v>2022</v>
      </c>
      <c r="B696" t="s">
        <v>50</v>
      </c>
      <c r="C696" t="s">
        <v>8</v>
      </c>
      <c r="D696">
        <v>310943</v>
      </c>
    </row>
    <row r="697" spans="1:4" x14ac:dyDescent="0.25">
      <c r="A697">
        <v>2022</v>
      </c>
      <c r="B697" t="s">
        <v>50</v>
      </c>
      <c r="C697" t="s">
        <v>8</v>
      </c>
      <c r="D697">
        <v>311057</v>
      </c>
    </row>
    <row r="698" spans="1:4" x14ac:dyDescent="0.25">
      <c r="A698">
        <v>2022</v>
      </c>
      <c r="B698" t="s">
        <v>51</v>
      </c>
      <c r="C698" t="s">
        <v>5</v>
      </c>
      <c r="D698">
        <v>19359000</v>
      </c>
    </row>
    <row r="699" spans="1:4" x14ac:dyDescent="0.25">
      <c r="A699">
        <v>2022</v>
      </c>
      <c r="B699" t="s">
        <v>51</v>
      </c>
      <c r="C699" t="s">
        <v>6</v>
      </c>
      <c r="D699">
        <v>6802000</v>
      </c>
    </row>
    <row r="700" spans="1:4" x14ac:dyDescent="0.25">
      <c r="A700">
        <v>2022</v>
      </c>
      <c r="B700" t="s">
        <v>51</v>
      </c>
      <c r="C700" t="s">
        <v>8</v>
      </c>
      <c r="D700">
        <v>934000</v>
      </c>
    </row>
    <row r="701" spans="1:4" x14ac:dyDescent="0.25">
      <c r="A701">
        <v>2022</v>
      </c>
      <c r="B701" t="s">
        <v>52</v>
      </c>
      <c r="C701" t="s">
        <v>5</v>
      </c>
      <c r="D701">
        <v>1166899</v>
      </c>
    </row>
    <row r="702" spans="1:4" x14ac:dyDescent="0.25">
      <c r="A702">
        <v>2022</v>
      </c>
      <c r="B702" t="s">
        <v>52</v>
      </c>
      <c r="C702" t="s">
        <v>5</v>
      </c>
      <c r="D702">
        <v>81870426</v>
      </c>
    </row>
    <row r="703" spans="1:4" x14ac:dyDescent="0.25">
      <c r="A703">
        <v>2022</v>
      </c>
      <c r="B703" t="s">
        <v>52</v>
      </c>
      <c r="C703" t="s">
        <v>5</v>
      </c>
      <c r="D703">
        <v>71176675</v>
      </c>
    </row>
    <row r="704" spans="1:4" x14ac:dyDescent="0.25">
      <c r="A704">
        <v>2022</v>
      </c>
      <c r="B704" t="s">
        <v>52</v>
      </c>
      <c r="C704" t="s">
        <v>6</v>
      </c>
      <c r="D704">
        <v>7385000</v>
      </c>
    </row>
    <row r="705" spans="1:4" x14ac:dyDescent="0.25">
      <c r="A705">
        <v>2022</v>
      </c>
      <c r="B705" t="s">
        <v>52</v>
      </c>
      <c r="C705" t="s">
        <v>6</v>
      </c>
      <c r="D705">
        <v>5215000</v>
      </c>
    </row>
    <row r="706" spans="1:4" x14ac:dyDescent="0.25">
      <c r="A706">
        <v>2022</v>
      </c>
      <c r="B706" t="s">
        <v>52</v>
      </c>
      <c r="C706" t="s">
        <v>19</v>
      </c>
      <c r="D706">
        <v>386000</v>
      </c>
    </row>
    <row r="707" spans="1:4" x14ac:dyDescent="0.25">
      <c r="A707">
        <v>2022</v>
      </c>
      <c r="B707" t="s">
        <v>52</v>
      </c>
      <c r="C707" t="s">
        <v>8</v>
      </c>
      <c r="D707">
        <v>1500000</v>
      </c>
    </row>
    <row r="708" spans="1:4" x14ac:dyDescent="0.25">
      <c r="A708">
        <v>2022</v>
      </c>
      <c r="B708" t="s">
        <v>52</v>
      </c>
      <c r="C708" t="s">
        <v>8</v>
      </c>
      <c r="D708">
        <v>1300000</v>
      </c>
    </row>
    <row r="709" spans="1:4" x14ac:dyDescent="0.25">
      <c r="A709">
        <v>2022</v>
      </c>
      <c r="B709" t="s">
        <v>53</v>
      </c>
      <c r="C709" t="s">
        <v>5</v>
      </c>
      <c r="D709">
        <v>42278000</v>
      </c>
    </row>
    <row r="710" spans="1:4" x14ac:dyDescent="0.25">
      <c r="A710">
        <v>2022</v>
      </c>
      <c r="B710" t="s">
        <v>53</v>
      </c>
      <c r="C710" t="s">
        <v>6</v>
      </c>
      <c r="D710">
        <v>22611000</v>
      </c>
    </row>
    <row r="711" spans="1:4" x14ac:dyDescent="0.25">
      <c r="A711">
        <v>2022</v>
      </c>
      <c r="B711" t="s">
        <v>53</v>
      </c>
      <c r="C711" t="s">
        <v>8</v>
      </c>
      <c r="D711">
        <v>100000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AF50-4C2A-4A71-8FF8-FA5D4783A012}">
  <dimension ref="A1:H1897"/>
  <sheetViews>
    <sheetView tabSelected="1" workbookViewId="0">
      <selection activeCell="H1" sqref="H1"/>
    </sheetView>
  </sheetViews>
  <sheetFormatPr defaultRowHeight="15" x14ac:dyDescent="0.25"/>
  <cols>
    <col min="1" max="1" width="8" bestFit="1" customWidth="1"/>
    <col min="2" max="2" width="81.140625" bestFit="1" customWidth="1"/>
    <col min="3" max="3" width="27.42578125" bestFit="1" customWidth="1"/>
    <col min="4" max="4" width="20.42578125" bestFit="1" customWidth="1"/>
    <col min="5" max="5" width="20.140625" bestFit="1" customWidth="1"/>
    <col min="6" max="6" width="14.7109375" bestFit="1" customWidth="1"/>
    <col min="7" max="7" width="39.5703125" bestFit="1" customWidth="1"/>
    <col min="8" max="8" width="21.5703125" bestFit="1" customWidth="1"/>
  </cols>
  <sheetData>
    <row r="1" spans="1:8" x14ac:dyDescent="0.25">
      <c r="A1" t="s">
        <v>0</v>
      </c>
      <c r="B1" t="s">
        <v>1</v>
      </c>
      <c r="C1" t="s">
        <v>2</v>
      </c>
      <c r="D1" t="s">
        <v>58</v>
      </c>
      <c r="E1" t="s">
        <v>3</v>
      </c>
      <c r="F1" t="s">
        <v>75</v>
      </c>
      <c r="G1" t="s">
        <v>73</v>
      </c>
      <c r="H1" t="s">
        <v>74</v>
      </c>
    </row>
    <row r="2" spans="1:8" x14ac:dyDescent="0.25">
      <c r="A2">
        <v>2022</v>
      </c>
      <c r="B2" t="s">
        <v>4</v>
      </c>
      <c r="C2" t="s">
        <v>59</v>
      </c>
      <c r="D2">
        <v>94411000</v>
      </c>
      <c r="F2" t="s">
        <v>76</v>
      </c>
      <c r="G2" t="str" cm="1">
        <f t="array" ref="G2">_xlfn.LET(
    _xlpm.r, TRIM(B2),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2" t="str" cm="1">
        <f t="array" ref="H2">_xlfn.LET(
     _xlpm.r, TRIM(C2),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 spans="1:8" x14ac:dyDescent="0.25">
      <c r="A3">
        <v>2022</v>
      </c>
      <c r="B3" t="s">
        <v>4</v>
      </c>
      <c r="C3" t="s">
        <v>59</v>
      </c>
      <c r="D3">
        <v>0</v>
      </c>
      <c r="F3" t="s">
        <v>76</v>
      </c>
      <c r="G3" t="str" cm="1">
        <f t="array" ref="G3">_xlfn.LET(
    _xlpm.r, TRIM(B3),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3" t="str" cm="1">
        <f t="array" ref="H3">_xlfn.LET(
     _xlpm.r, TRIM(C3),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4" spans="1:8" x14ac:dyDescent="0.25">
      <c r="A4">
        <v>2022</v>
      </c>
      <c r="B4" t="s">
        <v>4</v>
      </c>
      <c r="C4" t="s">
        <v>59</v>
      </c>
      <c r="D4">
        <v>0</v>
      </c>
      <c r="F4" t="s">
        <v>76</v>
      </c>
      <c r="G4" t="str" cm="1">
        <f t="array" ref="G4">_xlfn.LET(
    _xlpm.r, TRIM(B4),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4" t="str" cm="1">
        <f t="array" ref="H4">_xlfn.LET(
     _xlpm.r, TRIM(C4),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5" spans="1:8" x14ac:dyDescent="0.25">
      <c r="A5">
        <v>2022</v>
      </c>
      <c r="B5" t="s">
        <v>4</v>
      </c>
      <c r="C5" t="s">
        <v>59</v>
      </c>
      <c r="D5">
        <v>0</v>
      </c>
      <c r="F5" t="s">
        <v>76</v>
      </c>
      <c r="G5" t="str" cm="1">
        <f t="array" ref="G5">_xlfn.LET(
    _xlpm.r, TRIM(B5),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5" t="str" cm="1">
        <f t="array" ref="H5">_xlfn.LET(
     _xlpm.r, TRIM(C5),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6" spans="1:8" x14ac:dyDescent="0.25">
      <c r="A6">
        <v>2022</v>
      </c>
      <c r="B6" t="s">
        <v>4</v>
      </c>
      <c r="C6" t="s">
        <v>59</v>
      </c>
      <c r="D6">
        <v>0</v>
      </c>
      <c r="F6" t="s">
        <v>76</v>
      </c>
      <c r="G6" t="str" cm="1">
        <f t="array" ref="G6">_xlfn.LET(
    _xlpm.r, TRIM(B6),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6" t="str" cm="1">
        <f t="array" ref="H6">_xlfn.LET(
     _xlpm.r, TRIM(C6),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7" spans="1:8" x14ac:dyDescent="0.25">
      <c r="A7">
        <v>2022</v>
      </c>
      <c r="B7" t="s">
        <v>4</v>
      </c>
      <c r="C7" t="s">
        <v>59</v>
      </c>
      <c r="D7">
        <v>0</v>
      </c>
      <c r="F7" t="s">
        <v>76</v>
      </c>
      <c r="G7" t="str" cm="1">
        <f t="array" ref="G7">_xlfn.LET(
    _xlpm.r, TRIM(B7),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7" t="str" cm="1">
        <f t="array" ref="H7">_xlfn.LET(
     _xlpm.r, TRIM(C7),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8" spans="1:8" x14ac:dyDescent="0.25">
      <c r="A8">
        <v>2022</v>
      </c>
      <c r="B8" t="s">
        <v>9</v>
      </c>
      <c r="C8" t="s">
        <v>59</v>
      </c>
      <c r="D8">
        <v>39600000</v>
      </c>
      <c r="F8" t="s">
        <v>77</v>
      </c>
      <c r="G8" t="str" cm="1">
        <f t="array" ref="G8">_xlfn.LET(
    _xlpm.r, TRIM(B8),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8" t="str" cm="1">
        <f t="array" ref="H8">_xlfn.LET(
     _xlpm.r, TRIM(C8),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9" spans="1:8" x14ac:dyDescent="0.25">
      <c r="A9">
        <v>2022</v>
      </c>
      <c r="B9" t="s">
        <v>9</v>
      </c>
      <c r="C9" t="s">
        <v>59</v>
      </c>
      <c r="D9">
        <v>0</v>
      </c>
      <c r="F9" t="s">
        <v>77</v>
      </c>
      <c r="G9" t="str" cm="1">
        <f t="array" ref="G9">_xlfn.LET(
    _xlpm.r, TRIM(B9),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9" t="str" cm="1">
        <f t="array" ref="H9">_xlfn.LET(
     _xlpm.r, TRIM(C9),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0" spans="1:8" x14ac:dyDescent="0.25">
      <c r="A10">
        <v>2022</v>
      </c>
      <c r="B10" t="s">
        <v>9</v>
      </c>
      <c r="C10" t="s">
        <v>59</v>
      </c>
      <c r="D10">
        <v>0</v>
      </c>
      <c r="F10" t="s">
        <v>77</v>
      </c>
      <c r="G10" t="str" cm="1">
        <f t="array" ref="G10">_xlfn.LET(
    _xlpm.r, TRIM(B10),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 t="str" cm="1">
        <f t="array" ref="H10">_xlfn.LET(
     _xlpm.r, TRIM(C10),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1" spans="1:8" x14ac:dyDescent="0.25">
      <c r="A11">
        <v>2022</v>
      </c>
      <c r="B11" t="s">
        <v>10</v>
      </c>
      <c r="C11" t="s">
        <v>59</v>
      </c>
      <c r="D11">
        <v>621000000</v>
      </c>
      <c r="F11" t="s">
        <v>78</v>
      </c>
      <c r="G11" t="str" cm="1">
        <f t="array" ref="G11">_xlfn.LET(
    _xlpm.r, TRIM(B11),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 t="str" cm="1">
        <f t="array" ref="H11">_xlfn.LET(
     _xlpm.r, TRIM(C11),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2" spans="1:8" x14ac:dyDescent="0.25">
      <c r="A12">
        <v>2022</v>
      </c>
      <c r="B12" t="s">
        <v>10</v>
      </c>
      <c r="C12" t="s">
        <v>59</v>
      </c>
      <c r="D12">
        <v>0</v>
      </c>
      <c r="F12" t="s">
        <v>78</v>
      </c>
      <c r="G12" t="str" cm="1">
        <f t="array" ref="G12">_xlfn.LET(
    _xlpm.r, TRIM(B12),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 t="str" cm="1">
        <f t="array" ref="H12">_xlfn.LET(
     _xlpm.r, TRIM(C12),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3" spans="1:8" x14ac:dyDescent="0.25">
      <c r="A13">
        <v>2022</v>
      </c>
      <c r="B13" t="s">
        <v>10</v>
      </c>
      <c r="C13" t="s">
        <v>59</v>
      </c>
      <c r="D13">
        <v>0</v>
      </c>
      <c r="F13" t="s">
        <v>78</v>
      </c>
      <c r="G13" t="str" cm="1">
        <f t="array" ref="G13">_xlfn.LET(
    _xlpm.r, TRIM(B13),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 t="str" cm="1">
        <f t="array" ref="H13">_xlfn.LET(
     _xlpm.r, TRIM(C13),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4" spans="1:8" x14ac:dyDescent="0.25">
      <c r="A14">
        <v>2022</v>
      </c>
      <c r="B14" t="s">
        <v>11</v>
      </c>
      <c r="C14" t="s">
        <v>59</v>
      </c>
      <c r="D14">
        <v>150705000</v>
      </c>
      <c r="F14" t="s">
        <v>79</v>
      </c>
      <c r="G14" t="str" cm="1">
        <f t="array" ref="G14">_xlfn.LET(
    _xlpm.r, TRIM(B14),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 t="str" cm="1">
        <f t="array" ref="H14">_xlfn.LET(
     _xlpm.r, TRIM(C14),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5" spans="1:8" x14ac:dyDescent="0.25">
      <c r="A15">
        <v>2022</v>
      </c>
      <c r="B15" t="s">
        <v>11</v>
      </c>
      <c r="C15" t="s">
        <v>60</v>
      </c>
      <c r="D15">
        <v>0</v>
      </c>
      <c r="F15" t="s">
        <v>79</v>
      </c>
      <c r="G15" t="str" cm="1">
        <f t="array" ref="G15">_xlfn.LET(
    _xlpm.r, TRIM(B15),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5" t="str" cm="1">
        <f t="array" ref="H15">_xlfn.LET(
     _xlpm.r, TRIM(C15),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16" spans="1:8" x14ac:dyDescent="0.25">
      <c r="A16">
        <v>2022</v>
      </c>
      <c r="B16" t="s">
        <v>11</v>
      </c>
      <c r="C16" t="s">
        <v>60</v>
      </c>
      <c r="D16">
        <v>0</v>
      </c>
      <c r="F16" t="s">
        <v>79</v>
      </c>
      <c r="G16" t="str" cm="1">
        <f t="array" ref="G16">_xlfn.LET(
    _xlpm.r, TRIM(B16),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6" t="str" cm="1">
        <f t="array" ref="H16">_xlfn.LET(
     _xlpm.r, TRIM(C16),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17" spans="1:8" x14ac:dyDescent="0.25">
      <c r="A17">
        <v>2022</v>
      </c>
      <c r="B17" t="s">
        <v>11</v>
      </c>
      <c r="C17" t="s">
        <v>59</v>
      </c>
      <c r="D17">
        <v>0</v>
      </c>
      <c r="F17" t="s">
        <v>79</v>
      </c>
      <c r="G17" t="str" cm="1">
        <f t="array" ref="G17">_xlfn.LET(
    _xlpm.r, TRIM(B17),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7" t="str" cm="1">
        <f t="array" ref="H17">_xlfn.LET(
     _xlpm.r, TRIM(C17),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8" spans="1:8" x14ac:dyDescent="0.25">
      <c r="A18">
        <v>2022</v>
      </c>
      <c r="B18" t="s">
        <v>11</v>
      </c>
      <c r="C18" t="s">
        <v>59</v>
      </c>
      <c r="D18">
        <v>0</v>
      </c>
      <c r="F18" t="s">
        <v>79</v>
      </c>
      <c r="G18" t="str" cm="1">
        <f t="array" ref="G18">_xlfn.LET(
    _xlpm.r, TRIM(B18),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8" t="str" cm="1">
        <f t="array" ref="H18">_xlfn.LET(
     _xlpm.r, TRIM(C18),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9" spans="1:8" x14ac:dyDescent="0.25">
      <c r="A19">
        <v>2022</v>
      </c>
      <c r="B19" t="s">
        <v>11</v>
      </c>
      <c r="C19" t="s">
        <v>59</v>
      </c>
      <c r="D19">
        <v>0</v>
      </c>
      <c r="F19" t="s">
        <v>79</v>
      </c>
      <c r="G19" t="str" cm="1">
        <f t="array" ref="G19">_xlfn.LET(
    _xlpm.r, TRIM(B19),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9" t="str" cm="1">
        <f t="array" ref="H19">_xlfn.LET(
     _xlpm.r, TRIM(C19),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0" spans="1:8" x14ac:dyDescent="0.25">
      <c r="A20">
        <v>2022</v>
      </c>
      <c r="B20" t="s">
        <v>11</v>
      </c>
      <c r="C20" t="s">
        <v>59</v>
      </c>
      <c r="D20">
        <v>0</v>
      </c>
      <c r="F20" t="s">
        <v>79</v>
      </c>
      <c r="G20" t="str" cm="1">
        <f t="array" ref="G20">_xlfn.LET(
    _xlpm.r, TRIM(B20),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20" t="str" cm="1">
        <f t="array" ref="H20">_xlfn.LET(
     _xlpm.r, TRIM(C20),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1" spans="1:8" x14ac:dyDescent="0.25">
      <c r="A21">
        <v>2022</v>
      </c>
      <c r="B21" t="s">
        <v>11</v>
      </c>
      <c r="C21" t="s">
        <v>59</v>
      </c>
      <c r="D21">
        <v>0</v>
      </c>
      <c r="F21" t="s">
        <v>79</v>
      </c>
      <c r="G21" t="str" cm="1">
        <f t="array" ref="G21">_xlfn.LET(
    _xlpm.r, TRIM(B21),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21" t="str" cm="1">
        <f t="array" ref="H21">_xlfn.LET(
     _xlpm.r, TRIM(C21),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2" spans="1:8" x14ac:dyDescent="0.25">
      <c r="A22">
        <v>2022</v>
      </c>
      <c r="B22" t="s">
        <v>11</v>
      </c>
      <c r="C22" t="s">
        <v>59</v>
      </c>
      <c r="D22">
        <v>0</v>
      </c>
      <c r="F22" t="s">
        <v>79</v>
      </c>
      <c r="G22" t="str" cm="1">
        <f t="array" ref="G22">_xlfn.LET(
    _xlpm.r, TRIM(B22),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22" t="str" cm="1">
        <f t="array" ref="H22">_xlfn.LET(
     _xlpm.r, TRIM(C22),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3" spans="1:8" x14ac:dyDescent="0.25">
      <c r="A23">
        <v>2022</v>
      </c>
      <c r="B23" t="s">
        <v>11</v>
      </c>
      <c r="C23" t="s">
        <v>59</v>
      </c>
      <c r="D23">
        <v>0</v>
      </c>
      <c r="F23" t="s">
        <v>79</v>
      </c>
      <c r="G23" t="str" cm="1">
        <f t="array" ref="G23">_xlfn.LET(
    _xlpm.r, TRIM(B23),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23" t="str" cm="1">
        <f t="array" ref="H23">_xlfn.LET(
     _xlpm.r, TRIM(C23),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4" spans="1:8" x14ac:dyDescent="0.25">
      <c r="A24">
        <v>2022</v>
      </c>
      <c r="B24" t="s">
        <v>11</v>
      </c>
      <c r="C24" t="s">
        <v>59</v>
      </c>
      <c r="D24">
        <v>0</v>
      </c>
      <c r="F24" t="s">
        <v>79</v>
      </c>
      <c r="G24" t="str" cm="1">
        <f t="array" ref="G24">_xlfn.LET(
    _xlpm.r, TRIM(B24),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24" t="str" cm="1">
        <f t="array" ref="H24">_xlfn.LET(
     _xlpm.r, TRIM(C24),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5" spans="1:8" x14ac:dyDescent="0.25">
      <c r="A25">
        <v>2022</v>
      </c>
      <c r="B25" t="s">
        <v>12</v>
      </c>
      <c r="C25" t="s">
        <v>59</v>
      </c>
      <c r="D25">
        <v>8310000</v>
      </c>
      <c r="F25" t="s">
        <v>80</v>
      </c>
      <c r="G25" t="str" cm="1">
        <f t="array" ref="G25">_xlfn.LET(
    _xlpm.r, TRIM(B25),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الدفاع</v>
      </c>
      <c r="H25" t="str" cm="1">
        <f t="array" ref="H25">_xlfn.LET(
     _xlpm.r, TRIM(C25),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6" spans="1:8" x14ac:dyDescent="0.25">
      <c r="A26">
        <v>2022</v>
      </c>
      <c r="B26" t="s">
        <v>12</v>
      </c>
      <c r="C26" t="s">
        <v>59</v>
      </c>
      <c r="D26">
        <v>0</v>
      </c>
      <c r="F26" t="s">
        <v>80</v>
      </c>
      <c r="G26" t="str" cm="1">
        <f t="array" ref="G26">_xlfn.LET(
    _xlpm.r, TRIM(B26),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الدفاع</v>
      </c>
      <c r="H26" t="str" cm="1">
        <f t="array" ref="H26">_xlfn.LET(
     _xlpm.r, TRIM(C26),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7" spans="1:8" x14ac:dyDescent="0.25">
      <c r="A27">
        <v>2022</v>
      </c>
      <c r="B27" t="s">
        <v>12</v>
      </c>
      <c r="C27" t="s">
        <v>59</v>
      </c>
      <c r="D27">
        <v>0</v>
      </c>
      <c r="F27" t="s">
        <v>80</v>
      </c>
      <c r="G27" t="str" cm="1">
        <f t="array" ref="G27">_xlfn.LET(
    _xlpm.r, TRIM(B27),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الدفاع</v>
      </c>
      <c r="H27" t="str" cm="1">
        <f t="array" ref="H27">_xlfn.LET(
     _xlpm.r, TRIM(C27),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8" spans="1:8" x14ac:dyDescent="0.25">
      <c r="A28">
        <v>2022</v>
      </c>
      <c r="B28" t="s">
        <v>14</v>
      </c>
      <c r="C28" t="s">
        <v>59</v>
      </c>
      <c r="D28">
        <v>18250000</v>
      </c>
      <c r="F28" t="s">
        <v>82</v>
      </c>
      <c r="G28" t="str" cm="1">
        <f t="array" ref="G28">_xlfn.LET(
    _xlpm.r, TRIM(B28),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28" t="str" cm="1">
        <f t="array" ref="H28">_xlfn.LET(
     _xlpm.r, TRIM(C28),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9" spans="1:8" x14ac:dyDescent="0.25">
      <c r="A29">
        <v>2022</v>
      </c>
      <c r="B29" t="s">
        <v>14</v>
      </c>
      <c r="C29" t="s">
        <v>59</v>
      </c>
      <c r="D29">
        <v>0</v>
      </c>
      <c r="F29" t="s">
        <v>82</v>
      </c>
      <c r="G29" t="str" cm="1">
        <f t="array" ref="G29">_xlfn.LET(
    _xlpm.r, TRIM(B29),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29" t="str" cm="1">
        <f t="array" ref="H29">_xlfn.LET(
     _xlpm.r, TRIM(C29),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0" spans="1:8" x14ac:dyDescent="0.25">
      <c r="A30">
        <v>2022</v>
      </c>
      <c r="B30" t="s">
        <v>14</v>
      </c>
      <c r="C30" t="s">
        <v>59</v>
      </c>
      <c r="D30">
        <v>0</v>
      </c>
      <c r="F30" t="s">
        <v>82</v>
      </c>
      <c r="G30" t="str" cm="1">
        <f t="array" ref="G30">_xlfn.LET(
    _xlpm.r, TRIM(B30),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30" t="str" cm="1">
        <f t="array" ref="H30">_xlfn.LET(
     _xlpm.r, TRIM(C30),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1" spans="1:8" x14ac:dyDescent="0.25">
      <c r="A31">
        <v>2022</v>
      </c>
      <c r="B31" t="s">
        <v>15</v>
      </c>
      <c r="C31" t="s">
        <v>59</v>
      </c>
      <c r="D31">
        <v>216763000</v>
      </c>
      <c r="F31" t="s">
        <v>83</v>
      </c>
      <c r="G31" t="str" cm="1">
        <f t="array" ref="G31">_xlfn.LET(
    _xlpm.r, TRIM(B31),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31" t="str" cm="1">
        <f t="array" ref="H31">_xlfn.LET(
     _xlpm.r, TRIM(C31),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2" spans="1:8" x14ac:dyDescent="0.25">
      <c r="A32">
        <v>2022</v>
      </c>
      <c r="B32" t="s">
        <v>15</v>
      </c>
      <c r="C32" t="s">
        <v>61</v>
      </c>
      <c r="D32">
        <v>0</v>
      </c>
      <c r="F32" t="s">
        <v>83</v>
      </c>
      <c r="G32" t="str" cm="1">
        <f t="array" ref="G32">_xlfn.LET(
    _xlpm.r, TRIM(B32),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32" t="str" cm="1">
        <f t="array" ref="H32">_xlfn.LET(
     _xlpm.r, TRIM(C32),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الضرائب</v>
      </c>
    </row>
    <row r="33" spans="1:8" x14ac:dyDescent="0.25">
      <c r="A33">
        <v>2022</v>
      </c>
      <c r="B33" t="s">
        <v>15</v>
      </c>
      <c r="C33" t="s">
        <v>61</v>
      </c>
      <c r="D33">
        <v>0</v>
      </c>
      <c r="F33" t="s">
        <v>83</v>
      </c>
      <c r="G33" t="str" cm="1">
        <f t="array" ref="G33">_xlfn.LET(
    _xlpm.r, TRIM(B33),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33" t="str" cm="1">
        <f t="array" ref="H33">_xlfn.LET(
     _xlpm.r, TRIM(C33),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الضرائب</v>
      </c>
    </row>
    <row r="34" spans="1:8" x14ac:dyDescent="0.25">
      <c r="A34">
        <v>2022</v>
      </c>
      <c r="B34" t="s">
        <v>15</v>
      </c>
      <c r="C34" t="s">
        <v>59</v>
      </c>
      <c r="D34">
        <v>0</v>
      </c>
      <c r="F34" t="s">
        <v>83</v>
      </c>
      <c r="G34" t="str" cm="1">
        <f t="array" ref="G34">_xlfn.LET(
    _xlpm.r, TRIM(B34),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34" t="str" cm="1">
        <f t="array" ref="H34">_xlfn.LET(
     _xlpm.r, TRIM(C34),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5" spans="1:8" x14ac:dyDescent="0.25">
      <c r="A35">
        <v>2022</v>
      </c>
      <c r="B35" t="s">
        <v>15</v>
      </c>
      <c r="C35" t="s">
        <v>59</v>
      </c>
      <c r="D35">
        <v>0</v>
      </c>
      <c r="F35" t="s">
        <v>83</v>
      </c>
      <c r="G35" t="str" cm="1">
        <f t="array" ref="G35">_xlfn.LET(
    _xlpm.r, TRIM(B35),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35" t="str" cm="1">
        <f t="array" ref="H35">_xlfn.LET(
     _xlpm.r, TRIM(C35),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6" spans="1:8" x14ac:dyDescent="0.25">
      <c r="A36">
        <v>2022</v>
      </c>
      <c r="B36" t="s">
        <v>15</v>
      </c>
      <c r="C36" t="s">
        <v>59</v>
      </c>
      <c r="D36">
        <v>0</v>
      </c>
      <c r="F36" t="s">
        <v>83</v>
      </c>
      <c r="G36" t="str" cm="1">
        <f t="array" ref="G36">_xlfn.LET(
    _xlpm.r, TRIM(B36),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36" t="str" cm="1">
        <f t="array" ref="H36">_xlfn.LET(
     _xlpm.r, TRIM(C36),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7" spans="1:8" x14ac:dyDescent="0.25">
      <c r="A37">
        <v>2022</v>
      </c>
      <c r="B37" t="s">
        <v>15</v>
      </c>
      <c r="C37" t="s">
        <v>59</v>
      </c>
      <c r="D37">
        <v>0</v>
      </c>
      <c r="F37" t="s">
        <v>83</v>
      </c>
      <c r="G37" t="str" cm="1">
        <f t="array" ref="G37">_xlfn.LET(
    _xlpm.r, TRIM(B37),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37" t="str" cm="1">
        <f t="array" ref="H37">_xlfn.LET(
     _xlpm.r, TRIM(C37),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8" spans="1:8" x14ac:dyDescent="0.25">
      <c r="A38">
        <v>2022</v>
      </c>
      <c r="B38" t="s">
        <v>15</v>
      </c>
      <c r="C38" t="s">
        <v>59</v>
      </c>
      <c r="D38">
        <v>0</v>
      </c>
      <c r="F38" t="s">
        <v>83</v>
      </c>
      <c r="G38" t="str" cm="1">
        <f t="array" ref="G38">_xlfn.LET(
    _xlpm.r, TRIM(B38),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38" t="str" cm="1">
        <f t="array" ref="H38">_xlfn.LET(
     _xlpm.r, TRIM(C38),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9" spans="1:8" x14ac:dyDescent="0.25">
      <c r="A39">
        <v>2022</v>
      </c>
      <c r="B39" t="s">
        <v>15</v>
      </c>
      <c r="C39" t="s">
        <v>59</v>
      </c>
      <c r="D39">
        <v>0</v>
      </c>
      <c r="F39" t="s">
        <v>83</v>
      </c>
      <c r="G39" t="str" cm="1">
        <f t="array" ref="G39">_xlfn.LET(
    _xlpm.r, TRIM(B39),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39" t="str" cm="1">
        <f t="array" ref="H39">_xlfn.LET(
     _xlpm.r, TRIM(C39),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40" spans="1:8" x14ac:dyDescent="0.25">
      <c r="A40">
        <v>2022</v>
      </c>
      <c r="B40" t="s">
        <v>15</v>
      </c>
      <c r="C40" t="s">
        <v>59</v>
      </c>
      <c r="D40">
        <v>0</v>
      </c>
      <c r="F40" t="s">
        <v>83</v>
      </c>
      <c r="G40" t="str" cm="1">
        <f t="array" ref="G40">_xlfn.LET(
    _xlpm.r, TRIM(B40),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40" t="str" cm="1">
        <f t="array" ref="H40">_xlfn.LET(
     _xlpm.r, TRIM(C40),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41" spans="1:8" x14ac:dyDescent="0.25">
      <c r="A41">
        <v>2022</v>
      </c>
      <c r="B41" t="s">
        <v>15</v>
      </c>
      <c r="C41" t="s">
        <v>59</v>
      </c>
      <c r="D41">
        <v>0</v>
      </c>
      <c r="F41" t="s">
        <v>83</v>
      </c>
      <c r="G41" t="str" cm="1">
        <f t="array" ref="G41">_xlfn.LET(
    _xlpm.r, TRIM(B41),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41" t="str" cm="1">
        <f t="array" ref="H41">_xlfn.LET(
     _xlpm.r, TRIM(C41),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42" spans="1:8" x14ac:dyDescent="0.25">
      <c r="A42">
        <v>2022</v>
      </c>
      <c r="B42" t="s">
        <v>16</v>
      </c>
      <c r="C42" t="s">
        <v>59</v>
      </c>
      <c r="D42">
        <v>80280000</v>
      </c>
      <c r="F42" t="s">
        <v>84</v>
      </c>
      <c r="G42" t="str" cm="1">
        <f t="array" ref="G42">_xlfn.LET(
    _xlpm.r, TRIM(B42),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42" t="str" cm="1">
        <f t="array" ref="H42">_xlfn.LET(
     _xlpm.r, TRIM(C42),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43" spans="1:8" x14ac:dyDescent="0.25">
      <c r="A43">
        <v>2022</v>
      </c>
      <c r="B43" t="s">
        <v>16</v>
      </c>
      <c r="C43" t="s">
        <v>59</v>
      </c>
      <c r="D43">
        <v>0</v>
      </c>
      <c r="F43" t="s">
        <v>84</v>
      </c>
      <c r="G43" t="str" cm="1">
        <f t="array" ref="G43">_xlfn.LET(
    _xlpm.r, TRIM(B43),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43" t="str" cm="1">
        <f t="array" ref="H43">_xlfn.LET(
     _xlpm.r, TRIM(C43),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44" spans="1:8" x14ac:dyDescent="0.25">
      <c r="A44">
        <v>2022</v>
      </c>
      <c r="B44" t="s">
        <v>16</v>
      </c>
      <c r="C44" t="s">
        <v>59</v>
      </c>
      <c r="D44">
        <v>0</v>
      </c>
      <c r="F44" t="s">
        <v>84</v>
      </c>
      <c r="G44" t="str" cm="1">
        <f t="array" ref="G44">_xlfn.LET(
    _xlpm.r, TRIM(B44),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44" t="str" cm="1">
        <f t="array" ref="H44">_xlfn.LET(
     _xlpm.r, TRIM(C44),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45" spans="1:8" x14ac:dyDescent="0.25">
      <c r="A45">
        <v>2022</v>
      </c>
      <c r="B45" t="s">
        <v>16</v>
      </c>
      <c r="C45" t="s">
        <v>59</v>
      </c>
      <c r="D45">
        <v>0</v>
      </c>
      <c r="F45" t="s">
        <v>84</v>
      </c>
      <c r="G45" t="str" cm="1">
        <f t="array" ref="G45">_xlfn.LET(
    _xlpm.r, TRIM(B45),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45" t="str" cm="1">
        <f t="array" ref="H45">_xlfn.LET(
     _xlpm.r, TRIM(C45),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46" spans="1:8" x14ac:dyDescent="0.25">
      <c r="A46">
        <v>2022</v>
      </c>
      <c r="B46" t="s">
        <v>16</v>
      </c>
      <c r="C46" t="s">
        <v>59</v>
      </c>
      <c r="D46">
        <v>0</v>
      </c>
      <c r="F46" t="s">
        <v>84</v>
      </c>
      <c r="G46" t="str" cm="1">
        <f t="array" ref="G46">_xlfn.LET(
    _xlpm.r, TRIM(B46),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46" t="str" cm="1">
        <f t="array" ref="H46">_xlfn.LET(
     _xlpm.r, TRIM(C46),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47" spans="1:8" x14ac:dyDescent="0.25">
      <c r="A47">
        <v>2022</v>
      </c>
      <c r="B47" t="s">
        <v>16</v>
      </c>
      <c r="C47" t="s">
        <v>59</v>
      </c>
      <c r="D47">
        <v>0</v>
      </c>
      <c r="F47" t="s">
        <v>84</v>
      </c>
      <c r="G47" t="str" cm="1">
        <f t="array" ref="G47">_xlfn.LET(
    _xlpm.r, TRIM(B47),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47" t="str" cm="1">
        <f t="array" ref="H47">_xlfn.LET(
     _xlpm.r, TRIM(C47),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48" spans="1:8" x14ac:dyDescent="0.25">
      <c r="A48">
        <v>2022</v>
      </c>
      <c r="B48" t="s">
        <v>17</v>
      </c>
      <c r="C48" t="s">
        <v>59</v>
      </c>
      <c r="D48">
        <v>1650000</v>
      </c>
      <c r="F48" t="s">
        <v>85</v>
      </c>
      <c r="G48" t="str" cm="1">
        <f t="array" ref="G48">_xlfn.LET(
    _xlpm.r, TRIM(B48),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48" t="str" cm="1">
        <f t="array" ref="H48">_xlfn.LET(
     _xlpm.r, TRIM(C48),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49" spans="1:8" x14ac:dyDescent="0.25">
      <c r="A49">
        <v>2022</v>
      </c>
      <c r="B49" t="s">
        <v>17</v>
      </c>
      <c r="C49" t="s">
        <v>62</v>
      </c>
      <c r="D49">
        <v>0</v>
      </c>
      <c r="F49" t="s">
        <v>85</v>
      </c>
      <c r="G49" t="str" cm="1">
        <f t="array" ref="G49">_xlfn.LET(
    _xlpm.r, TRIM(B49),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49" t="str" cm="1">
        <f t="array" ref="H49">_xlfn.LET(
     _xlpm.r, TRIM(C49),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50" spans="1:8" x14ac:dyDescent="0.25">
      <c r="A50">
        <v>2022</v>
      </c>
      <c r="B50" t="s">
        <v>17</v>
      </c>
      <c r="C50" t="s">
        <v>62</v>
      </c>
      <c r="D50">
        <v>0</v>
      </c>
      <c r="F50" t="s">
        <v>85</v>
      </c>
      <c r="G50" t="str" cm="1">
        <f t="array" ref="G50">_xlfn.LET(
    _xlpm.r, TRIM(B50),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50" t="str" cm="1">
        <f t="array" ref="H50">_xlfn.LET(
     _xlpm.r, TRIM(C50),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51" spans="1:8" x14ac:dyDescent="0.25">
      <c r="A51">
        <v>2022</v>
      </c>
      <c r="B51" t="s">
        <v>17</v>
      </c>
      <c r="C51" t="s">
        <v>59</v>
      </c>
      <c r="D51">
        <v>0</v>
      </c>
      <c r="F51" t="s">
        <v>85</v>
      </c>
      <c r="G51" t="str" cm="1">
        <f t="array" ref="G51">_xlfn.LET(
    _xlpm.r, TRIM(B51),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51" t="str" cm="1">
        <f t="array" ref="H51">_xlfn.LET(
     _xlpm.r, TRIM(C51),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52" spans="1:8" x14ac:dyDescent="0.25">
      <c r="A52">
        <v>2022</v>
      </c>
      <c r="B52" t="s">
        <v>17</v>
      </c>
      <c r="C52" t="s">
        <v>59</v>
      </c>
      <c r="D52">
        <v>0</v>
      </c>
      <c r="F52" t="s">
        <v>85</v>
      </c>
      <c r="G52" t="str" cm="1">
        <f t="array" ref="G52">_xlfn.LET(
    _xlpm.r, TRIM(B52),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52" t="str" cm="1">
        <f t="array" ref="H52">_xlfn.LET(
     _xlpm.r, TRIM(C52),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53" spans="1:8" x14ac:dyDescent="0.25">
      <c r="A53">
        <v>2022</v>
      </c>
      <c r="B53" t="s">
        <v>17</v>
      </c>
      <c r="C53" t="s">
        <v>59</v>
      </c>
      <c r="D53">
        <v>0</v>
      </c>
      <c r="F53" t="s">
        <v>85</v>
      </c>
      <c r="G53" t="str" cm="1">
        <f t="array" ref="G53">_xlfn.LET(
    _xlpm.r, TRIM(B53),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53" t="str" cm="1">
        <f t="array" ref="H53">_xlfn.LET(
     _xlpm.r, TRIM(C53),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54" spans="1:8" x14ac:dyDescent="0.25">
      <c r="A54">
        <v>2022</v>
      </c>
      <c r="B54" t="s">
        <v>17</v>
      </c>
      <c r="C54" t="s">
        <v>59</v>
      </c>
      <c r="D54">
        <v>0</v>
      </c>
      <c r="F54" t="s">
        <v>85</v>
      </c>
      <c r="G54" t="str" cm="1">
        <f t="array" ref="G54">_xlfn.LET(
    _xlpm.r, TRIM(B54),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54" t="str" cm="1">
        <f t="array" ref="H54">_xlfn.LET(
     _xlpm.r, TRIM(C54),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55" spans="1:8" x14ac:dyDescent="0.25">
      <c r="A55">
        <v>2022</v>
      </c>
      <c r="B55" t="s">
        <v>18</v>
      </c>
      <c r="C55" t="s">
        <v>59</v>
      </c>
      <c r="D55">
        <v>379000000</v>
      </c>
      <c r="F55" t="s">
        <v>86</v>
      </c>
      <c r="G55" t="str" cm="1">
        <f t="array" ref="G55">_xlfn.LET(
    _xlpm.r, TRIM(B55),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55" t="str" cm="1">
        <f t="array" ref="H55">_xlfn.LET(
     _xlpm.r, TRIM(C55),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56" spans="1:8" x14ac:dyDescent="0.25">
      <c r="A56">
        <v>2022</v>
      </c>
      <c r="B56" t="s">
        <v>18</v>
      </c>
      <c r="C56" t="s">
        <v>59</v>
      </c>
      <c r="D56">
        <v>0</v>
      </c>
      <c r="F56" t="s">
        <v>86</v>
      </c>
      <c r="G56" t="str" cm="1">
        <f t="array" ref="G56">_xlfn.LET(
    _xlpm.r, TRIM(B56),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56" t="str" cm="1">
        <f t="array" ref="H56">_xlfn.LET(
     _xlpm.r, TRIM(C56),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57" spans="1:8" x14ac:dyDescent="0.25">
      <c r="A57">
        <v>2022</v>
      </c>
      <c r="B57" t="s">
        <v>18</v>
      </c>
      <c r="C57" t="s">
        <v>59</v>
      </c>
      <c r="D57">
        <v>0</v>
      </c>
      <c r="F57" t="s">
        <v>86</v>
      </c>
      <c r="G57" t="str" cm="1">
        <f t="array" ref="G57">_xlfn.LET(
    _xlpm.r, TRIM(B57),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57" t="str" cm="1">
        <f t="array" ref="H57">_xlfn.LET(
     _xlpm.r, TRIM(C57),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58" spans="1:8" x14ac:dyDescent="0.25">
      <c r="A58">
        <v>2022</v>
      </c>
      <c r="B58" t="s">
        <v>18</v>
      </c>
      <c r="C58" t="s">
        <v>59</v>
      </c>
      <c r="D58">
        <v>0</v>
      </c>
      <c r="F58" t="s">
        <v>86</v>
      </c>
      <c r="G58" t="str" cm="1">
        <f t="array" ref="G58">_xlfn.LET(
    _xlpm.r, TRIM(B58),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58" t="str" cm="1">
        <f t="array" ref="H58">_xlfn.LET(
     _xlpm.r, TRIM(C58),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59" spans="1:8" x14ac:dyDescent="0.25">
      <c r="A59">
        <v>2022</v>
      </c>
      <c r="B59" t="s">
        <v>18</v>
      </c>
      <c r="C59" t="s">
        <v>59</v>
      </c>
      <c r="D59">
        <v>0</v>
      </c>
      <c r="F59" t="s">
        <v>86</v>
      </c>
      <c r="G59" t="str" cm="1">
        <f t="array" ref="G59">_xlfn.LET(
    _xlpm.r, TRIM(B59),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59" t="str" cm="1">
        <f t="array" ref="H59">_xlfn.LET(
     _xlpm.r, TRIM(C59),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60" spans="1:8" x14ac:dyDescent="0.25">
      <c r="A60">
        <v>2022</v>
      </c>
      <c r="B60" t="s">
        <v>18</v>
      </c>
      <c r="C60" t="s">
        <v>59</v>
      </c>
      <c r="D60">
        <v>0</v>
      </c>
      <c r="F60" t="s">
        <v>86</v>
      </c>
      <c r="G60" t="str" cm="1">
        <f t="array" ref="G60">_xlfn.LET(
    _xlpm.r, TRIM(B60),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60" t="str" cm="1">
        <f t="array" ref="H60">_xlfn.LET(
     _xlpm.r, TRIM(C60),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61" spans="1:8" x14ac:dyDescent="0.25">
      <c r="A61">
        <v>2022</v>
      </c>
      <c r="B61" t="s">
        <v>21</v>
      </c>
      <c r="C61" t="s">
        <v>59</v>
      </c>
      <c r="D61">
        <v>3879000000</v>
      </c>
      <c r="F61" t="s">
        <v>88</v>
      </c>
      <c r="G61" t="str" cm="1">
        <f t="array" ref="G61">_xlfn.LET(
    _xlpm.r, TRIM(B61),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61" t="str" cm="1">
        <f t="array" ref="H61">_xlfn.LET(
     _xlpm.r, TRIM(C61),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62" spans="1:8" x14ac:dyDescent="0.25">
      <c r="A62">
        <v>2022</v>
      </c>
      <c r="B62" t="s">
        <v>21</v>
      </c>
      <c r="C62" t="s">
        <v>61</v>
      </c>
      <c r="D62">
        <v>0</v>
      </c>
      <c r="F62" t="s">
        <v>88</v>
      </c>
      <c r="G62" t="str" cm="1">
        <f t="array" ref="G62">_xlfn.LET(
    _xlpm.r, TRIM(B62),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62" t="str" cm="1">
        <f t="array" ref="H62">_xlfn.LET(
     _xlpm.r, TRIM(C62),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الضرائب</v>
      </c>
    </row>
    <row r="63" spans="1:8" x14ac:dyDescent="0.25">
      <c r="A63">
        <v>2022</v>
      </c>
      <c r="B63" t="s">
        <v>21</v>
      </c>
      <c r="C63" t="s">
        <v>59</v>
      </c>
      <c r="D63">
        <v>0</v>
      </c>
      <c r="F63" t="s">
        <v>88</v>
      </c>
      <c r="G63" t="str" cm="1">
        <f t="array" ref="G63">_xlfn.LET(
    _xlpm.r, TRIM(B63),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63" t="str" cm="1">
        <f t="array" ref="H63">_xlfn.LET(
     _xlpm.r, TRIM(C63),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64" spans="1:8" x14ac:dyDescent="0.25">
      <c r="A64">
        <v>2022</v>
      </c>
      <c r="B64" t="s">
        <v>21</v>
      </c>
      <c r="C64" t="s">
        <v>59</v>
      </c>
      <c r="D64">
        <v>0</v>
      </c>
      <c r="F64" t="s">
        <v>88</v>
      </c>
      <c r="G64" t="str" cm="1">
        <f t="array" ref="G64">_xlfn.LET(
    _xlpm.r, TRIM(B64),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64" t="str" cm="1">
        <f t="array" ref="H64">_xlfn.LET(
     _xlpm.r, TRIM(C64),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65" spans="1:8" x14ac:dyDescent="0.25">
      <c r="A65">
        <v>2022</v>
      </c>
      <c r="B65" t="s">
        <v>21</v>
      </c>
      <c r="C65" t="s">
        <v>59</v>
      </c>
      <c r="D65">
        <v>0</v>
      </c>
      <c r="F65" t="s">
        <v>88</v>
      </c>
      <c r="G65" t="str" cm="1">
        <f t="array" ref="G65">_xlfn.LET(
    _xlpm.r, TRIM(B65),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65" t="str" cm="1">
        <f t="array" ref="H65">_xlfn.LET(
     _xlpm.r, TRIM(C65),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66" spans="1:8" x14ac:dyDescent="0.25">
      <c r="A66">
        <v>2022</v>
      </c>
      <c r="B66" t="s">
        <v>21</v>
      </c>
      <c r="C66" t="s">
        <v>59</v>
      </c>
      <c r="D66">
        <v>0</v>
      </c>
      <c r="F66" t="s">
        <v>88</v>
      </c>
      <c r="G66" t="str" cm="1">
        <f t="array" ref="G66">_xlfn.LET(
    _xlpm.r, TRIM(B66),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66" t="str" cm="1">
        <f t="array" ref="H66">_xlfn.LET(
     _xlpm.r, TRIM(C66),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67" spans="1:8" x14ac:dyDescent="0.25">
      <c r="A67">
        <v>2022</v>
      </c>
      <c r="B67" t="s">
        <v>21</v>
      </c>
      <c r="C67" t="s">
        <v>59</v>
      </c>
      <c r="D67">
        <v>0</v>
      </c>
      <c r="F67" t="s">
        <v>88</v>
      </c>
      <c r="G67" t="str" cm="1">
        <f t="array" ref="G67">_xlfn.LET(
    _xlpm.r, TRIM(B67),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67" t="str" cm="1">
        <f t="array" ref="H67">_xlfn.LET(
     _xlpm.r, TRIM(C67),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68" spans="1:8" x14ac:dyDescent="0.25">
      <c r="A68">
        <v>2022</v>
      </c>
      <c r="B68" t="s">
        <v>21</v>
      </c>
      <c r="C68" t="s">
        <v>59</v>
      </c>
      <c r="D68">
        <v>0</v>
      </c>
      <c r="F68" t="s">
        <v>88</v>
      </c>
      <c r="G68" t="str" cm="1">
        <f t="array" ref="G68">_xlfn.LET(
    _xlpm.r, TRIM(B68),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68" t="str" cm="1">
        <f t="array" ref="H68">_xlfn.LET(
     _xlpm.r, TRIM(C68),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69" spans="1:8" x14ac:dyDescent="0.25">
      <c r="A69">
        <v>2022</v>
      </c>
      <c r="B69" t="s">
        <v>21</v>
      </c>
      <c r="C69" t="s">
        <v>59</v>
      </c>
      <c r="D69">
        <v>0</v>
      </c>
      <c r="F69" t="s">
        <v>88</v>
      </c>
      <c r="G69" t="str" cm="1">
        <f t="array" ref="G69">_xlfn.LET(
    _xlpm.r, TRIM(B69),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69" t="str" cm="1">
        <f t="array" ref="H69">_xlfn.LET(
     _xlpm.r, TRIM(C69),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70" spans="1:8" x14ac:dyDescent="0.25">
      <c r="A70">
        <v>2022</v>
      </c>
      <c r="B70" t="s">
        <v>21</v>
      </c>
      <c r="C70" t="s">
        <v>59</v>
      </c>
      <c r="D70">
        <v>0</v>
      </c>
      <c r="F70" t="s">
        <v>88</v>
      </c>
      <c r="G70" t="str" cm="1">
        <f t="array" ref="G70">_xlfn.LET(
    _xlpm.r, TRIM(B70),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70" t="str" cm="1">
        <f t="array" ref="H70">_xlfn.LET(
     _xlpm.r, TRIM(C70),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71" spans="1:8" x14ac:dyDescent="0.25">
      <c r="A71">
        <v>2022</v>
      </c>
      <c r="B71" t="s">
        <v>22</v>
      </c>
      <c r="C71" t="s">
        <v>59</v>
      </c>
      <c r="D71">
        <v>197290000</v>
      </c>
      <c r="F71" t="s">
        <v>89</v>
      </c>
      <c r="G71" t="str" cm="1">
        <f t="array" ref="G71">_xlfn.LET(
    _xlpm.r, TRIM(B71),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71" t="str" cm="1">
        <f t="array" ref="H71">_xlfn.LET(
     _xlpm.r, TRIM(C71),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72" spans="1:8" x14ac:dyDescent="0.25">
      <c r="A72">
        <v>2022</v>
      </c>
      <c r="B72" t="s">
        <v>22</v>
      </c>
      <c r="C72" t="s">
        <v>59</v>
      </c>
      <c r="D72">
        <v>0</v>
      </c>
      <c r="F72" t="s">
        <v>89</v>
      </c>
      <c r="G72" t="str" cm="1">
        <f t="array" ref="G72">_xlfn.LET(
    _xlpm.r, TRIM(B72),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72" t="str" cm="1">
        <f t="array" ref="H72">_xlfn.LET(
     _xlpm.r, TRIM(C72),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73" spans="1:8" x14ac:dyDescent="0.25">
      <c r="A73">
        <v>2022</v>
      </c>
      <c r="B73" t="s">
        <v>22</v>
      </c>
      <c r="C73" t="s">
        <v>59</v>
      </c>
      <c r="D73">
        <v>0</v>
      </c>
      <c r="F73" t="s">
        <v>89</v>
      </c>
      <c r="G73" t="str" cm="1">
        <f t="array" ref="G73">_xlfn.LET(
    _xlpm.r, TRIM(B73),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73" t="str" cm="1">
        <f t="array" ref="H73">_xlfn.LET(
     _xlpm.r, TRIM(C73),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74" spans="1:8" x14ac:dyDescent="0.25">
      <c r="A74">
        <v>2022</v>
      </c>
      <c r="B74" t="s">
        <v>22</v>
      </c>
      <c r="C74" t="s">
        <v>59</v>
      </c>
      <c r="D74">
        <v>0</v>
      </c>
      <c r="F74" t="s">
        <v>89</v>
      </c>
      <c r="G74" t="str" cm="1">
        <f t="array" ref="G74">_xlfn.LET(
    _xlpm.r, TRIM(B74),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74" t="str" cm="1">
        <f t="array" ref="H74">_xlfn.LET(
     _xlpm.r, TRIM(C74),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75" spans="1:8" x14ac:dyDescent="0.25">
      <c r="A75">
        <v>2022</v>
      </c>
      <c r="B75" t="s">
        <v>22</v>
      </c>
      <c r="C75" t="s">
        <v>59</v>
      </c>
      <c r="D75">
        <v>0</v>
      </c>
      <c r="F75" t="s">
        <v>89</v>
      </c>
      <c r="G75" t="str" cm="1">
        <f t="array" ref="G75">_xlfn.LET(
    _xlpm.r, TRIM(B75),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75" t="str" cm="1">
        <f t="array" ref="H75">_xlfn.LET(
     _xlpm.r, TRIM(C75),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76" spans="1:8" x14ac:dyDescent="0.25">
      <c r="A76">
        <v>2022</v>
      </c>
      <c r="B76" t="s">
        <v>22</v>
      </c>
      <c r="C76" t="s">
        <v>59</v>
      </c>
      <c r="D76">
        <v>0</v>
      </c>
      <c r="F76" t="s">
        <v>89</v>
      </c>
      <c r="G76" t="str" cm="1">
        <f t="array" ref="G76">_xlfn.LET(
    _xlpm.r, TRIM(B76),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76" t="str" cm="1">
        <f t="array" ref="H76">_xlfn.LET(
     _xlpm.r, TRIM(C76),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77" spans="1:8" x14ac:dyDescent="0.25">
      <c r="A77">
        <v>2022</v>
      </c>
      <c r="B77" t="s">
        <v>23</v>
      </c>
      <c r="C77" t="s">
        <v>59</v>
      </c>
      <c r="D77">
        <v>93675000</v>
      </c>
      <c r="F77" t="s">
        <v>90</v>
      </c>
      <c r="G77" t="str" cm="1">
        <f t="array" ref="G77">_xlfn.LET(
    _xlpm.r, TRIM(B77),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77" t="str" cm="1">
        <f t="array" ref="H77">_xlfn.LET(
     _xlpm.r, TRIM(C77),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78" spans="1:8" x14ac:dyDescent="0.25">
      <c r="A78">
        <v>2022</v>
      </c>
      <c r="B78" t="s">
        <v>23</v>
      </c>
      <c r="C78" t="s">
        <v>59</v>
      </c>
      <c r="D78">
        <v>0</v>
      </c>
      <c r="F78" t="s">
        <v>90</v>
      </c>
      <c r="G78" t="str" cm="1">
        <f t="array" ref="G78">_xlfn.LET(
    _xlpm.r, TRIM(B78),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78" t="str" cm="1">
        <f t="array" ref="H78">_xlfn.LET(
     _xlpm.r, TRIM(C78),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79" spans="1:8" x14ac:dyDescent="0.25">
      <c r="A79">
        <v>2022</v>
      </c>
      <c r="B79" t="s">
        <v>23</v>
      </c>
      <c r="C79" t="s">
        <v>59</v>
      </c>
      <c r="D79">
        <v>0</v>
      </c>
      <c r="F79" t="s">
        <v>90</v>
      </c>
      <c r="G79" t="str" cm="1">
        <f t="array" ref="G79">_xlfn.LET(
    _xlpm.r, TRIM(B79),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79" t="str" cm="1">
        <f t="array" ref="H79">_xlfn.LET(
     _xlpm.r, TRIM(C79),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80" spans="1:8" x14ac:dyDescent="0.25">
      <c r="A80">
        <v>2022</v>
      </c>
      <c r="B80" t="s">
        <v>23</v>
      </c>
      <c r="C80" t="s">
        <v>59</v>
      </c>
      <c r="D80">
        <v>0</v>
      </c>
      <c r="F80" t="s">
        <v>90</v>
      </c>
      <c r="G80" t="str" cm="1">
        <f t="array" ref="G80">_xlfn.LET(
    _xlpm.r, TRIM(B80),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0" t="str" cm="1">
        <f t="array" ref="H80">_xlfn.LET(
     _xlpm.r, TRIM(C80),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81" spans="1:8" x14ac:dyDescent="0.25">
      <c r="A81">
        <v>2022</v>
      </c>
      <c r="B81" t="s">
        <v>24</v>
      </c>
      <c r="C81" t="s">
        <v>59</v>
      </c>
      <c r="D81">
        <v>493000</v>
      </c>
      <c r="F81" t="s">
        <v>91</v>
      </c>
      <c r="G81" t="str" cm="1">
        <f t="array" ref="G81">_xlfn.LET(
    _xlpm.r, TRIM(B81),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1" t="str" cm="1">
        <f t="array" ref="H81">_xlfn.LET(
     _xlpm.r, TRIM(C81),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82" spans="1:8" x14ac:dyDescent="0.25">
      <c r="A82">
        <v>2022</v>
      </c>
      <c r="B82" t="s">
        <v>24</v>
      </c>
      <c r="C82" t="s">
        <v>59</v>
      </c>
      <c r="D82">
        <v>0</v>
      </c>
      <c r="F82" t="s">
        <v>91</v>
      </c>
      <c r="G82" t="str" cm="1">
        <f t="array" ref="G82">_xlfn.LET(
    _xlpm.r, TRIM(B82),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2" t="str" cm="1">
        <f t="array" ref="H82">_xlfn.LET(
     _xlpm.r, TRIM(C82),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83" spans="1:8" x14ac:dyDescent="0.25">
      <c r="A83">
        <v>2022</v>
      </c>
      <c r="B83" t="s">
        <v>24</v>
      </c>
      <c r="C83" t="s">
        <v>59</v>
      </c>
      <c r="D83">
        <v>0</v>
      </c>
      <c r="F83" t="s">
        <v>91</v>
      </c>
      <c r="G83" t="str" cm="1">
        <f t="array" ref="G83">_xlfn.LET(
    _xlpm.r, TRIM(B83),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3" t="str" cm="1">
        <f t="array" ref="H83">_xlfn.LET(
     _xlpm.r, TRIM(C83),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84" spans="1:8" x14ac:dyDescent="0.25">
      <c r="A84">
        <v>2022</v>
      </c>
      <c r="B84" t="s">
        <v>25</v>
      </c>
      <c r="C84" t="s">
        <v>62</v>
      </c>
      <c r="D84">
        <v>0</v>
      </c>
      <c r="F84" t="s">
        <v>92</v>
      </c>
      <c r="G84" t="str" cm="1">
        <f t="array" ref="G84">_xlfn.LET(
    _xlpm.r, TRIM(B84),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84" t="str" cm="1">
        <f t="array" ref="H84">_xlfn.LET(
     _xlpm.r, TRIM(C84),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85" spans="1:8" x14ac:dyDescent="0.25">
      <c r="A85">
        <v>2022</v>
      </c>
      <c r="B85" t="s">
        <v>25</v>
      </c>
      <c r="C85" t="s">
        <v>59</v>
      </c>
      <c r="D85">
        <v>0</v>
      </c>
      <c r="F85" t="s">
        <v>92</v>
      </c>
      <c r="G85" t="str" cm="1">
        <f t="array" ref="G85">_xlfn.LET(
    _xlpm.r, TRIM(B85),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85" t="str" cm="1">
        <f t="array" ref="H85">_xlfn.LET(
     _xlpm.r, TRIM(C85),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86" spans="1:8" x14ac:dyDescent="0.25">
      <c r="A86">
        <v>2022</v>
      </c>
      <c r="B86" t="s">
        <v>27</v>
      </c>
      <c r="C86" t="s">
        <v>59</v>
      </c>
      <c r="D86">
        <v>0</v>
      </c>
      <c r="F86" t="s">
        <v>94</v>
      </c>
      <c r="G86" t="str" cm="1">
        <f t="array" ref="G86">_xlfn.LET(
    _xlpm.r, TRIM(B86),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وزير الدولة - أحمد الصايغ</v>
      </c>
      <c r="H86" t="str" cm="1">
        <f t="array" ref="H86">_xlfn.LET(
     _xlpm.r, TRIM(C86),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87" spans="1:8" x14ac:dyDescent="0.25">
      <c r="A87">
        <v>2022</v>
      </c>
      <c r="B87" t="s">
        <v>28</v>
      </c>
      <c r="C87" t="s">
        <v>61</v>
      </c>
      <c r="D87">
        <v>9163600000</v>
      </c>
      <c r="F87" t="s">
        <v>95</v>
      </c>
      <c r="G87" t="str" cm="1">
        <f t="array" ref="G87">_xlfn.LET(
    _xlpm.r, TRIM(B87),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87" t="str" cm="1">
        <f t="array" ref="H87">_xlfn.LET(
     _xlpm.r, TRIM(C87),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الضرائب</v>
      </c>
    </row>
    <row r="88" spans="1:8" x14ac:dyDescent="0.25">
      <c r="A88">
        <v>2022</v>
      </c>
      <c r="B88" t="s">
        <v>28</v>
      </c>
      <c r="C88" t="s">
        <v>60</v>
      </c>
      <c r="D88">
        <v>350000000</v>
      </c>
      <c r="F88" t="s">
        <v>95</v>
      </c>
      <c r="G88" t="str" cm="1">
        <f t="array" ref="G88">_xlfn.LET(
    _xlpm.r, TRIM(B88),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88" t="str" cm="1">
        <f t="array" ref="H88">_xlfn.LET(
     _xlpm.r, TRIM(C88),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89" spans="1:8" x14ac:dyDescent="0.25">
      <c r="A89">
        <v>2022</v>
      </c>
      <c r="B89" t="s">
        <v>28</v>
      </c>
      <c r="C89" t="s">
        <v>62</v>
      </c>
      <c r="D89">
        <v>18401257000</v>
      </c>
      <c r="F89" t="s">
        <v>95</v>
      </c>
      <c r="G89" t="str" cm="1">
        <f t="array" ref="G89">_xlfn.LET(
    _xlpm.r, TRIM(B89),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89" t="str" cm="1">
        <f t="array" ref="H89">_xlfn.LET(
     _xlpm.r, TRIM(C89),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90" spans="1:8" x14ac:dyDescent="0.25">
      <c r="A90">
        <v>2022</v>
      </c>
      <c r="B90" t="s">
        <v>28</v>
      </c>
      <c r="C90" t="s">
        <v>59</v>
      </c>
      <c r="D90">
        <v>22198340000</v>
      </c>
      <c r="F90" t="s">
        <v>95</v>
      </c>
      <c r="G90" t="str" cm="1">
        <f t="array" ref="G90">_xlfn.LET(
    _xlpm.r, TRIM(B90),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90" t="str" cm="1">
        <f t="array" ref="H90">_xlfn.LET(
     _xlpm.r, TRIM(C90),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91" spans="1:8" x14ac:dyDescent="0.25">
      <c r="A91">
        <v>2022</v>
      </c>
      <c r="B91" t="s">
        <v>28</v>
      </c>
      <c r="C91" t="s">
        <v>61</v>
      </c>
      <c r="D91">
        <v>0</v>
      </c>
      <c r="F91" t="s">
        <v>95</v>
      </c>
      <c r="G91" t="str" cm="1">
        <f t="array" ref="G91">_xlfn.LET(
    _xlpm.r, TRIM(B91),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91" t="str" cm="1">
        <f t="array" ref="H91">_xlfn.LET(
     _xlpm.r, TRIM(C91),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الضرائب</v>
      </c>
    </row>
    <row r="92" spans="1:8" x14ac:dyDescent="0.25">
      <c r="A92">
        <v>2022</v>
      </c>
      <c r="B92" t="s">
        <v>28</v>
      </c>
      <c r="C92" t="s">
        <v>60</v>
      </c>
      <c r="D92">
        <v>0</v>
      </c>
      <c r="F92" t="s">
        <v>95</v>
      </c>
      <c r="G92" t="str" cm="1">
        <f t="array" ref="G92">_xlfn.LET(
    _xlpm.r, TRIM(B92),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92" t="str" cm="1">
        <f t="array" ref="H92">_xlfn.LET(
     _xlpm.r, TRIM(C92),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93" spans="1:8" x14ac:dyDescent="0.25">
      <c r="A93">
        <v>2022</v>
      </c>
      <c r="B93" t="s">
        <v>28</v>
      </c>
      <c r="C93" t="s">
        <v>60</v>
      </c>
      <c r="D93">
        <v>0</v>
      </c>
      <c r="F93" t="s">
        <v>95</v>
      </c>
      <c r="G93" t="str" cm="1">
        <f t="array" ref="G93">_xlfn.LET(
    _xlpm.r, TRIM(B93),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93" t="str" cm="1">
        <f t="array" ref="H93">_xlfn.LET(
     _xlpm.r, TRIM(C93),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94" spans="1:8" x14ac:dyDescent="0.25">
      <c r="A94">
        <v>2022</v>
      </c>
      <c r="B94" t="s">
        <v>28</v>
      </c>
      <c r="C94" t="s">
        <v>60</v>
      </c>
      <c r="D94">
        <v>0</v>
      </c>
      <c r="F94" t="s">
        <v>95</v>
      </c>
      <c r="G94" t="str" cm="1">
        <f t="array" ref="G94">_xlfn.LET(
    _xlpm.r, TRIM(B94),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94" t="str" cm="1">
        <f t="array" ref="H94">_xlfn.LET(
     _xlpm.r, TRIM(C94),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95" spans="1:8" x14ac:dyDescent="0.25">
      <c r="A95">
        <v>2022</v>
      </c>
      <c r="B95" t="s">
        <v>28</v>
      </c>
      <c r="C95" t="s">
        <v>60</v>
      </c>
      <c r="D95">
        <v>0</v>
      </c>
      <c r="F95" t="s">
        <v>95</v>
      </c>
      <c r="G95" t="str" cm="1">
        <f t="array" ref="G95">_xlfn.LET(
    _xlpm.r, TRIM(B95),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95" t="str" cm="1">
        <f t="array" ref="H95">_xlfn.LET(
     _xlpm.r, TRIM(C95),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96" spans="1:8" x14ac:dyDescent="0.25">
      <c r="A96">
        <v>2022</v>
      </c>
      <c r="B96" t="s">
        <v>28</v>
      </c>
      <c r="C96" t="s">
        <v>60</v>
      </c>
      <c r="D96">
        <v>0</v>
      </c>
      <c r="F96" t="s">
        <v>95</v>
      </c>
      <c r="G96" t="str" cm="1">
        <f t="array" ref="G96">_xlfn.LET(
    _xlpm.r, TRIM(B96),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96" t="str" cm="1">
        <f t="array" ref="H96">_xlfn.LET(
     _xlpm.r, TRIM(C96),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97" spans="1:8" x14ac:dyDescent="0.25">
      <c r="A97">
        <v>2022</v>
      </c>
      <c r="B97" t="s">
        <v>28</v>
      </c>
      <c r="C97" t="s">
        <v>60</v>
      </c>
      <c r="D97">
        <v>0</v>
      </c>
      <c r="F97" t="s">
        <v>95</v>
      </c>
      <c r="G97" t="str" cm="1">
        <f t="array" ref="G97">_xlfn.LET(
    _xlpm.r, TRIM(B97),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97" t="str" cm="1">
        <f t="array" ref="H97">_xlfn.LET(
     _xlpm.r, TRIM(C97),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98" spans="1:8" x14ac:dyDescent="0.25">
      <c r="A98">
        <v>2022</v>
      </c>
      <c r="B98" t="s">
        <v>28</v>
      </c>
      <c r="C98" t="s">
        <v>60</v>
      </c>
      <c r="D98">
        <v>0</v>
      </c>
      <c r="F98" t="s">
        <v>95</v>
      </c>
      <c r="G98" t="str" cm="1">
        <f t="array" ref="G98">_xlfn.LET(
    _xlpm.r, TRIM(B98),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98" t="str" cm="1">
        <f t="array" ref="H98">_xlfn.LET(
     _xlpm.r, TRIM(C98),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99" spans="1:8" x14ac:dyDescent="0.25">
      <c r="A99">
        <v>2022</v>
      </c>
      <c r="B99" t="s">
        <v>28</v>
      </c>
      <c r="C99" t="s">
        <v>60</v>
      </c>
      <c r="D99">
        <v>0</v>
      </c>
      <c r="F99" t="s">
        <v>95</v>
      </c>
      <c r="G99" t="str" cm="1">
        <f t="array" ref="G99">_xlfn.LET(
    _xlpm.r, TRIM(B99),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99" t="str" cm="1">
        <f t="array" ref="H99">_xlfn.LET(
     _xlpm.r, TRIM(C99),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100" spans="1:8" x14ac:dyDescent="0.25">
      <c r="A100">
        <v>2022</v>
      </c>
      <c r="B100" t="s">
        <v>28</v>
      </c>
      <c r="C100" t="s">
        <v>60</v>
      </c>
      <c r="D100">
        <v>0</v>
      </c>
      <c r="F100" t="s">
        <v>95</v>
      </c>
      <c r="G100" t="str" cm="1">
        <f t="array" ref="G100">_xlfn.LET(
    _xlpm.r, TRIM(B100),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00" t="str" cm="1">
        <f t="array" ref="H100">_xlfn.LET(
     _xlpm.r, TRIM(C100),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101" spans="1:8" x14ac:dyDescent="0.25">
      <c r="A101">
        <v>2022</v>
      </c>
      <c r="B101" t="s">
        <v>28</v>
      </c>
      <c r="C101" t="s">
        <v>60</v>
      </c>
      <c r="D101">
        <v>0</v>
      </c>
      <c r="F101" t="s">
        <v>95</v>
      </c>
      <c r="G101" t="str" cm="1">
        <f t="array" ref="G101">_xlfn.LET(
    _xlpm.r, TRIM(B101),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01" t="str" cm="1">
        <f t="array" ref="H101">_xlfn.LET(
     _xlpm.r, TRIM(C101),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102" spans="1:8" x14ac:dyDescent="0.25">
      <c r="A102">
        <v>2022</v>
      </c>
      <c r="B102" t="s">
        <v>28</v>
      </c>
      <c r="C102" t="s">
        <v>60</v>
      </c>
      <c r="D102">
        <v>0</v>
      </c>
      <c r="F102" t="s">
        <v>95</v>
      </c>
      <c r="G102" t="str" cm="1">
        <f t="array" ref="G102">_xlfn.LET(
    _xlpm.r, TRIM(B102),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02" t="str" cm="1">
        <f t="array" ref="H102">_xlfn.LET(
     _xlpm.r, TRIM(C102),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103" spans="1:8" x14ac:dyDescent="0.25">
      <c r="A103">
        <v>2022</v>
      </c>
      <c r="B103" t="s">
        <v>28</v>
      </c>
      <c r="C103" t="s">
        <v>60</v>
      </c>
      <c r="D103">
        <v>0</v>
      </c>
      <c r="F103" t="s">
        <v>95</v>
      </c>
      <c r="G103" t="str" cm="1">
        <f t="array" ref="G103">_xlfn.LET(
    _xlpm.r, TRIM(B103),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03" t="str" cm="1">
        <f t="array" ref="H103">_xlfn.LET(
     _xlpm.r, TRIM(C103),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104" spans="1:8" x14ac:dyDescent="0.25">
      <c r="A104">
        <v>2022</v>
      </c>
      <c r="B104" t="s">
        <v>28</v>
      </c>
      <c r="C104" t="s">
        <v>62</v>
      </c>
      <c r="D104">
        <v>0</v>
      </c>
      <c r="F104" t="s">
        <v>95</v>
      </c>
      <c r="G104" t="str" cm="1">
        <f t="array" ref="G104">_xlfn.LET(
    _xlpm.r, TRIM(B104),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04" t="str" cm="1">
        <f t="array" ref="H104">_xlfn.LET(
     _xlpm.r, TRIM(C104),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05" spans="1:8" x14ac:dyDescent="0.25">
      <c r="A105">
        <v>2022</v>
      </c>
      <c r="B105" t="s">
        <v>28</v>
      </c>
      <c r="C105" t="s">
        <v>62</v>
      </c>
      <c r="D105">
        <v>0</v>
      </c>
      <c r="F105" t="s">
        <v>95</v>
      </c>
      <c r="G105" t="str" cm="1">
        <f t="array" ref="G105">_xlfn.LET(
    _xlpm.r, TRIM(B105),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05" t="str" cm="1">
        <f t="array" ref="H105">_xlfn.LET(
     _xlpm.r, TRIM(C105),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06" spans="1:8" x14ac:dyDescent="0.25">
      <c r="A106">
        <v>2022</v>
      </c>
      <c r="B106" t="s">
        <v>28</v>
      </c>
      <c r="C106" t="s">
        <v>62</v>
      </c>
      <c r="D106">
        <v>0</v>
      </c>
      <c r="F106" t="s">
        <v>95</v>
      </c>
      <c r="G106" t="str" cm="1">
        <f t="array" ref="G106">_xlfn.LET(
    _xlpm.r, TRIM(B106),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06" t="str" cm="1">
        <f t="array" ref="H106">_xlfn.LET(
     _xlpm.r, TRIM(C106),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07" spans="1:8" x14ac:dyDescent="0.25">
      <c r="A107">
        <v>2022</v>
      </c>
      <c r="B107" t="s">
        <v>28</v>
      </c>
      <c r="C107" t="s">
        <v>62</v>
      </c>
      <c r="D107">
        <v>0</v>
      </c>
      <c r="F107" t="s">
        <v>95</v>
      </c>
      <c r="G107" t="str" cm="1">
        <f t="array" ref="G107">_xlfn.LET(
    _xlpm.r, TRIM(B107),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07" t="str" cm="1">
        <f t="array" ref="H107">_xlfn.LET(
     _xlpm.r, TRIM(C107),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08" spans="1:8" x14ac:dyDescent="0.25">
      <c r="A108">
        <v>2022</v>
      </c>
      <c r="B108" t="s">
        <v>28</v>
      </c>
      <c r="C108" t="s">
        <v>62</v>
      </c>
      <c r="D108">
        <v>0</v>
      </c>
      <c r="F108" t="s">
        <v>95</v>
      </c>
      <c r="G108" t="str" cm="1">
        <f t="array" ref="G108">_xlfn.LET(
    _xlpm.r, TRIM(B108),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08" t="str" cm="1">
        <f t="array" ref="H108">_xlfn.LET(
     _xlpm.r, TRIM(C108),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09" spans="1:8" x14ac:dyDescent="0.25">
      <c r="A109">
        <v>2022</v>
      </c>
      <c r="B109" t="s">
        <v>28</v>
      </c>
      <c r="C109" t="s">
        <v>59</v>
      </c>
      <c r="D109">
        <v>0</v>
      </c>
      <c r="F109" t="s">
        <v>95</v>
      </c>
      <c r="G109" t="str" cm="1">
        <f t="array" ref="G109">_xlfn.LET(
    _xlpm.r, TRIM(B109),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09" t="str" cm="1">
        <f t="array" ref="H109">_xlfn.LET(
     _xlpm.r, TRIM(C109),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10" spans="1:8" x14ac:dyDescent="0.25">
      <c r="A110">
        <v>2022</v>
      </c>
      <c r="B110" t="s">
        <v>28</v>
      </c>
      <c r="C110" t="s">
        <v>59</v>
      </c>
      <c r="D110">
        <v>0</v>
      </c>
      <c r="F110" t="s">
        <v>95</v>
      </c>
      <c r="G110" t="str" cm="1">
        <f t="array" ref="G110">_xlfn.LET(
    _xlpm.r, TRIM(B110),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10" t="str" cm="1">
        <f t="array" ref="H110">_xlfn.LET(
     _xlpm.r, TRIM(C110),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11" spans="1:8" x14ac:dyDescent="0.25">
      <c r="A111">
        <v>2022</v>
      </c>
      <c r="B111" t="s">
        <v>28</v>
      </c>
      <c r="C111" t="s">
        <v>59</v>
      </c>
      <c r="D111">
        <v>0</v>
      </c>
      <c r="F111" t="s">
        <v>95</v>
      </c>
      <c r="G111" t="str" cm="1">
        <f t="array" ref="G111">_xlfn.LET(
    _xlpm.r, TRIM(B111),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11" t="str" cm="1">
        <f t="array" ref="H111">_xlfn.LET(
     _xlpm.r, TRIM(C111),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12" spans="1:8" x14ac:dyDescent="0.25">
      <c r="A112">
        <v>2022</v>
      </c>
      <c r="B112" t="s">
        <v>28</v>
      </c>
      <c r="C112" t="s">
        <v>59</v>
      </c>
      <c r="D112">
        <v>0</v>
      </c>
      <c r="F112" t="s">
        <v>95</v>
      </c>
      <c r="G112" t="str" cm="1">
        <f t="array" ref="G112">_xlfn.LET(
    _xlpm.r, TRIM(B112),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12" t="str" cm="1">
        <f t="array" ref="H112">_xlfn.LET(
     _xlpm.r, TRIM(C112),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13" spans="1:8" x14ac:dyDescent="0.25">
      <c r="A113">
        <v>2022</v>
      </c>
      <c r="B113" t="s">
        <v>28</v>
      </c>
      <c r="C113" t="s">
        <v>59</v>
      </c>
      <c r="D113">
        <v>0</v>
      </c>
      <c r="F113" t="s">
        <v>95</v>
      </c>
      <c r="G113" t="str" cm="1">
        <f t="array" ref="G113">_xlfn.LET(
    _xlpm.r, TRIM(B113),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13" t="str" cm="1">
        <f t="array" ref="H113">_xlfn.LET(
     _xlpm.r, TRIM(C113),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14" spans="1:8" x14ac:dyDescent="0.25">
      <c r="A114">
        <v>2022</v>
      </c>
      <c r="B114" t="s">
        <v>28</v>
      </c>
      <c r="C114" t="s">
        <v>59</v>
      </c>
      <c r="D114">
        <v>0</v>
      </c>
      <c r="F114" t="s">
        <v>95</v>
      </c>
      <c r="G114" t="str" cm="1">
        <f t="array" ref="G114">_xlfn.LET(
    _xlpm.r, TRIM(B114),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14" t="str" cm="1">
        <f t="array" ref="H114">_xlfn.LET(
     _xlpm.r, TRIM(C114),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15" spans="1:8" x14ac:dyDescent="0.25">
      <c r="A115">
        <v>2022</v>
      </c>
      <c r="B115" t="s">
        <v>28</v>
      </c>
      <c r="C115" t="s">
        <v>59</v>
      </c>
      <c r="D115">
        <v>0</v>
      </c>
      <c r="F115" t="s">
        <v>95</v>
      </c>
      <c r="G115" t="str" cm="1">
        <f t="array" ref="G115">_xlfn.LET(
    _xlpm.r, TRIM(B115),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15" t="str" cm="1">
        <f t="array" ref="H115">_xlfn.LET(
     _xlpm.r, TRIM(C115),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16" spans="1:8" x14ac:dyDescent="0.25">
      <c r="A116">
        <v>2022</v>
      </c>
      <c r="B116" t="s">
        <v>28</v>
      </c>
      <c r="C116" t="s">
        <v>59</v>
      </c>
      <c r="D116">
        <v>0</v>
      </c>
      <c r="F116" t="s">
        <v>95</v>
      </c>
      <c r="G116" t="str" cm="1">
        <f t="array" ref="G116">_xlfn.LET(
    _xlpm.r, TRIM(B116),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16" t="str" cm="1">
        <f t="array" ref="H116">_xlfn.LET(
     _xlpm.r, TRIM(C116),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17" spans="1:8" x14ac:dyDescent="0.25">
      <c r="A117">
        <v>2022</v>
      </c>
      <c r="B117" t="s">
        <v>32</v>
      </c>
      <c r="C117" t="s">
        <v>62</v>
      </c>
      <c r="D117">
        <v>0</v>
      </c>
      <c r="F117" t="s">
        <v>96</v>
      </c>
      <c r="G117" t="str" cm="1">
        <f t="array" ref="G117">_xlfn.LET(
    _xlpm.r, TRIM(B117),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مكتب نائب الرئيس للشؤون السياسية</v>
      </c>
      <c r="H117" t="str" cm="1">
        <f t="array" ref="H117">_xlfn.LET(
     _xlpm.r, TRIM(C117),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18" spans="1:8" x14ac:dyDescent="0.25">
      <c r="A118">
        <v>2022</v>
      </c>
      <c r="B118" t="s">
        <v>32</v>
      </c>
      <c r="C118" t="s">
        <v>62</v>
      </c>
      <c r="D118">
        <v>0</v>
      </c>
      <c r="F118" t="s">
        <v>96</v>
      </c>
      <c r="G118" t="str" cm="1">
        <f t="array" ref="G118">_xlfn.LET(
    _xlpm.r, TRIM(B118),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مكتب نائب الرئيس للشؤون السياسية</v>
      </c>
      <c r="H118" t="str" cm="1">
        <f t="array" ref="H118">_xlfn.LET(
     _xlpm.r, TRIM(C118),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19" spans="1:8" x14ac:dyDescent="0.25">
      <c r="A119">
        <v>2022</v>
      </c>
      <c r="B119" t="s">
        <v>33</v>
      </c>
      <c r="C119" t="s">
        <v>59</v>
      </c>
      <c r="D119">
        <v>47690000</v>
      </c>
      <c r="F119" t="s">
        <v>97</v>
      </c>
      <c r="G119" t="str" cm="1">
        <f t="array" ref="G119">_xlfn.LET(
    _xlpm.r, TRIM(B119),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19" t="str" cm="1">
        <f t="array" ref="H119">_xlfn.LET(
     _xlpm.r, TRIM(C119),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20" spans="1:8" x14ac:dyDescent="0.25">
      <c r="A120">
        <v>2022</v>
      </c>
      <c r="B120" t="s">
        <v>33</v>
      </c>
      <c r="C120" t="s">
        <v>62</v>
      </c>
      <c r="D120">
        <v>0</v>
      </c>
      <c r="F120" t="s">
        <v>97</v>
      </c>
      <c r="G120" t="str" cm="1">
        <f t="array" ref="G120">_xlfn.LET(
    _xlpm.r, TRIM(B120),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20" t="str" cm="1">
        <f t="array" ref="H120">_xlfn.LET(
     _xlpm.r, TRIM(C120),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21" spans="1:8" x14ac:dyDescent="0.25">
      <c r="A121">
        <v>2022</v>
      </c>
      <c r="B121" t="s">
        <v>33</v>
      </c>
      <c r="C121" t="s">
        <v>59</v>
      </c>
      <c r="D121">
        <v>0</v>
      </c>
      <c r="F121" t="s">
        <v>97</v>
      </c>
      <c r="G121" t="str" cm="1">
        <f t="array" ref="G121">_xlfn.LET(
    _xlpm.r, TRIM(B121),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21" t="str" cm="1">
        <f t="array" ref="H121">_xlfn.LET(
     _xlpm.r, TRIM(C121),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22" spans="1:8" x14ac:dyDescent="0.25">
      <c r="A122">
        <v>2022</v>
      </c>
      <c r="B122" t="s">
        <v>33</v>
      </c>
      <c r="C122" t="s">
        <v>59</v>
      </c>
      <c r="D122">
        <v>0</v>
      </c>
      <c r="F122" t="s">
        <v>97</v>
      </c>
      <c r="G122" t="str" cm="1">
        <f t="array" ref="G122">_xlfn.LET(
    _xlpm.r, TRIM(B122),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22" t="str" cm="1">
        <f t="array" ref="H122">_xlfn.LET(
     _xlpm.r, TRIM(C122),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23" spans="1:8" x14ac:dyDescent="0.25">
      <c r="A123">
        <v>2022</v>
      </c>
      <c r="B123" t="s">
        <v>34</v>
      </c>
      <c r="C123" t="s">
        <v>59</v>
      </c>
      <c r="D123">
        <v>383453000</v>
      </c>
      <c r="F123" t="s">
        <v>98</v>
      </c>
      <c r="G123" t="str" cm="1">
        <f t="array" ref="G123">_xlfn.LET(
    _xlpm.r, TRIM(B123),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23" t="str" cm="1">
        <f t="array" ref="H123">_xlfn.LET(
     _xlpm.r, TRIM(C123),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24" spans="1:8" x14ac:dyDescent="0.25">
      <c r="A124">
        <v>2022</v>
      </c>
      <c r="B124" t="s">
        <v>34</v>
      </c>
      <c r="C124" t="s">
        <v>62</v>
      </c>
      <c r="D124">
        <v>0</v>
      </c>
      <c r="F124" t="s">
        <v>98</v>
      </c>
      <c r="G124" t="str" cm="1">
        <f t="array" ref="G124">_xlfn.LET(
    _xlpm.r, TRIM(B124),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24" t="str" cm="1">
        <f t="array" ref="H124">_xlfn.LET(
     _xlpm.r, TRIM(C124),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25" spans="1:8" x14ac:dyDescent="0.25">
      <c r="A125">
        <v>2022</v>
      </c>
      <c r="B125" t="s">
        <v>34</v>
      </c>
      <c r="C125" t="s">
        <v>59</v>
      </c>
      <c r="D125">
        <v>0</v>
      </c>
      <c r="F125" t="s">
        <v>98</v>
      </c>
      <c r="G125" t="str" cm="1">
        <f t="array" ref="G125">_xlfn.LET(
    _xlpm.r, TRIM(B125),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25" t="str" cm="1">
        <f t="array" ref="H125">_xlfn.LET(
     _xlpm.r, TRIM(C125),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26" spans="1:8" x14ac:dyDescent="0.25">
      <c r="A126">
        <v>2022</v>
      </c>
      <c r="B126" t="s">
        <v>34</v>
      </c>
      <c r="C126" t="s">
        <v>59</v>
      </c>
      <c r="D126">
        <v>0</v>
      </c>
      <c r="F126" t="s">
        <v>98</v>
      </c>
      <c r="G126" t="str" cm="1">
        <f t="array" ref="G126">_xlfn.LET(
    _xlpm.r, TRIM(B126),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26" t="str" cm="1">
        <f t="array" ref="H126">_xlfn.LET(
     _xlpm.r, TRIM(C126),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27" spans="1:8" x14ac:dyDescent="0.25">
      <c r="A127">
        <v>2022</v>
      </c>
      <c r="B127" t="s">
        <v>34</v>
      </c>
      <c r="C127" t="s">
        <v>59</v>
      </c>
      <c r="D127">
        <v>0</v>
      </c>
      <c r="F127" t="s">
        <v>98</v>
      </c>
      <c r="G127" t="str" cm="1">
        <f t="array" ref="G127">_xlfn.LET(
    _xlpm.r, TRIM(B127),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27" t="str" cm="1">
        <f t="array" ref="H127">_xlfn.LET(
     _xlpm.r, TRIM(C127),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28" spans="1:8" x14ac:dyDescent="0.25">
      <c r="A128">
        <v>2022</v>
      </c>
      <c r="B128" t="s">
        <v>34</v>
      </c>
      <c r="C128" t="s">
        <v>59</v>
      </c>
      <c r="D128">
        <v>0</v>
      </c>
      <c r="F128" t="s">
        <v>98</v>
      </c>
      <c r="G128" t="str" cm="1">
        <f t="array" ref="G128">_xlfn.LET(
    _xlpm.r, TRIM(B128),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28" t="str" cm="1">
        <f t="array" ref="H128">_xlfn.LET(
     _xlpm.r, TRIM(C128),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29" spans="1:8" x14ac:dyDescent="0.25">
      <c r="A129">
        <v>2022</v>
      </c>
      <c r="B129" t="s">
        <v>34</v>
      </c>
      <c r="C129" t="s">
        <v>59</v>
      </c>
      <c r="D129">
        <v>0</v>
      </c>
      <c r="F129" t="s">
        <v>98</v>
      </c>
      <c r="G129" t="str" cm="1">
        <f t="array" ref="G129">_xlfn.LET(
    _xlpm.r, TRIM(B129),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29" t="str" cm="1">
        <f t="array" ref="H129">_xlfn.LET(
     _xlpm.r, TRIM(C129),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30" spans="1:8" x14ac:dyDescent="0.25">
      <c r="A130">
        <v>2022</v>
      </c>
      <c r="B130" t="s">
        <v>34</v>
      </c>
      <c r="C130" t="s">
        <v>59</v>
      </c>
      <c r="D130">
        <v>0</v>
      </c>
      <c r="F130" t="s">
        <v>98</v>
      </c>
      <c r="G130" t="str" cm="1">
        <f t="array" ref="G130">_xlfn.LET(
    _xlpm.r, TRIM(B130),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30" t="str" cm="1">
        <f t="array" ref="H130">_xlfn.LET(
     _xlpm.r, TRIM(C130),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31" spans="1:8" x14ac:dyDescent="0.25">
      <c r="A131">
        <v>2022</v>
      </c>
      <c r="B131" t="s">
        <v>34</v>
      </c>
      <c r="C131" t="s">
        <v>59</v>
      </c>
      <c r="D131">
        <v>0</v>
      </c>
      <c r="F131" t="s">
        <v>98</v>
      </c>
      <c r="G131" t="str" cm="1">
        <f t="array" ref="G131">_xlfn.LET(
    _xlpm.r, TRIM(B131),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31" t="str" cm="1">
        <f t="array" ref="H131">_xlfn.LET(
     _xlpm.r, TRIM(C131),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32" spans="1:8" x14ac:dyDescent="0.25">
      <c r="A132">
        <v>2022</v>
      </c>
      <c r="B132" t="s">
        <v>34</v>
      </c>
      <c r="C132" t="s">
        <v>59</v>
      </c>
      <c r="D132">
        <v>0</v>
      </c>
      <c r="F132" t="s">
        <v>98</v>
      </c>
      <c r="G132" t="str" cm="1">
        <f t="array" ref="G132">_xlfn.LET(
    _xlpm.r, TRIM(B132),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32" t="str" cm="1">
        <f t="array" ref="H132">_xlfn.LET(
     _xlpm.r, TRIM(C132),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33" spans="1:8" x14ac:dyDescent="0.25">
      <c r="A133">
        <v>2022</v>
      </c>
      <c r="B133" t="s">
        <v>35</v>
      </c>
      <c r="C133" t="s">
        <v>62</v>
      </c>
      <c r="D133">
        <v>0</v>
      </c>
      <c r="F133" t="s">
        <v>99</v>
      </c>
      <c r="G133" t="str" cm="1">
        <f t="array" ref="G133">_xlfn.LET(
    _xlpm.r, TRIM(B133),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133" t="str" cm="1">
        <f t="array" ref="H133">_xlfn.LET(
     _xlpm.r, TRIM(C133),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34" spans="1:8" x14ac:dyDescent="0.25">
      <c r="A134">
        <v>2022</v>
      </c>
      <c r="B134" t="s">
        <v>35</v>
      </c>
      <c r="C134" t="s">
        <v>59</v>
      </c>
      <c r="D134">
        <v>0</v>
      </c>
      <c r="F134" t="s">
        <v>99</v>
      </c>
      <c r="G134" t="str" cm="1">
        <f t="array" ref="G134">_xlfn.LET(
    _xlpm.r, TRIM(B134),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134" t="str" cm="1">
        <f t="array" ref="H134">_xlfn.LET(
     _xlpm.r, TRIM(C134),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35" spans="1:8" x14ac:dyDescent="0.25">
      <c r="A135">
        <v>2022</v>
      </c>
      <c r="B135" t="s">
        <v>36</v>
      </c>
      <c r="C135" t="s">
        <v>62</v>
      </c>
      <c r="D135">
        <v>0</v>
      </c>
      <c r="F135" t="s">
        <v>100</v>
      </c>
      <c r="G135" t="str" cm="1">
        <f t="array" ref="G135">_xlfn.LET(
    _xlpm.r, TRIM(B135),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الوطني الاتحادي</v>
      </c>
      <c r="H135" t="str" cm="1">
        <f t="array" ref="H135">_xlfn.LET(
     _xlpm.r, TRIM(C135),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36" spans="1:8" x14ac:dyDescent="0.25">
      <c r="A136">
        <v>2022</v>
      </c>
      <c r="B136" t="s">
        <v>36</v>
      </c>
      <c r="C136" t="s">
        <v>59</v>
      </c>
      <c r="D136">
        <v>0</v>
      </c>
      <c r="F136" t="s">
        <v>100</v>
      </c>
      <c r="G136" t="str" cm="1">
        <f t="array" ref="G136">_xlfn.LET(
    _xlpm.r, TRIM(B136),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الوطني الاتحادي</v>
      </c>
      <c r="H136" t="str" cm="1">
        <f t="array" ref="H136">_xlfn.LET(
     _xlpm.r, TRIM(C136),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37" spans="1:8" x14ac:dyDescent="0.25">
      <c r="A137">
        <v>2022</v>
      </c>
      <c r="B137" t="s">
        <v>36</v>
      </c>
      <c r="C137" t="s">
        <v>59</v>
      </c>
      <c r="D137">
        <v>100000</v>
      </c>
      <c r="F137" t="s">
        <v>100</v>
      </c>
      <c r="G137" t="str" cm="1">
        <f t="array" ref="G137">_xlfn.LET(
    _xlpm.r, TRIM(B137),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الوطني الاتحادي</v>
      </c>
      <c r="H137" t="str" cm="1">
        <f t="array" ref="H137">_xlfn.LET(
     _xlpm.r, TRIM(C137),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38" spans="1:8" x14ac:dyDescent="0.25">
      <c r="A138">
        <v>2022</v>
      </c>
      <c r="B138" t="s">
        <v>37</v>
      </c>
      <c r="C138" t="s">
        <v>62</v>
      </c>
      <c r="D138">
        <v>0</v>
      </c>
      <c r="F138" t="s">
        <v>101</v>
      </c>
      <c r="G138" t="str" cm="1">
        <f t="array" ref="G138">_xlfn.LET(
    _xlpm.r, TRIM(B138),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الاتحادي للمعلومات الجغرافية</v>
      </c>
      <c r="H138" t="str" cm="1">
        <f t="array" ref="H138">_xlfn.LET(
     _xlpm.r, TRIM(C138),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39" spans="1:8" x14ac:dyDescent="0.25">
      <c r="A139">
        <v>2022</v>
      </c>
      <c r="B139" t="s">
        <v>38</v>
      </c>
      <c r="C139" t="s">
        <v>59</v>
      </c>
      <c r="D139">
        <v>7100000</v>
      </c>
      <c r="F139" t="s">
        <v>102</v>
      </c>
      <c r="G139" t="str" cm="1">
        <f t="array" ref="G139">_xlfn.LET(
    _xlpm.r, TRIM(B139),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139" t="str" cm="1">
        <f t="array" ref="H139">_xlfn.LET(
     _xlpm.r, TRIM(C139),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40" spans="1:8" x14ac:dyDescent="0.25">
      <c r="A140">
        <v>2022</v>
      </c>
      <c r="B140" t="s">
        <v>38</v>
      </c>
      <c r="C140" t="s">
        <v>62</v>
      </c>
      <c r="D140">
        <v>0</v>
      </c>
      <c r="F140" t="s">
        <v>102</v>
      </c>
      <c r="G140" t="str" cm="1">
        <f t="array" ref="G140">_xlfn.LET(
    _xlpm.r, TRIM(B140),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140" t="str" cm="1">
        <f t="array" ref="H140">_xlfn.LET(
     _xlpm.r, TRIM(C140),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41" spans="1:8" x14ac:dyDescent="0.25">
      <c r="A141">
        <v>2022</v>
      </c>
      <c r="B141" t="s">
        <v>38</v>
      </c>
      <c r="C141" t="s">
        <v>59</v>
      </c>
      <c r="D141">
        <v>0</v>
      </c>
      <c r="F141" t="s">
        <v>102</v>
      </c>
      <c r="G141" t="str" cm="1">
        <f t="array" ref="G141">_xlfn.LET(
    _xlpm.r, TRIM(B141),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141" t="str" cm="1">
        <f t="array" ref="H141">_xlfn.LET(
     _xlpm.r, TRIM(C141),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42" spans="1:8" x14ac:dyDescent="0.25">
      <c r="A142">
        <v>2022</v>
      </c>
      <c r="B142" t="s">
        <v>38</v>
      </c>
      <c r="C142" t="s">
        <v>59</v>
      </c>
      <c r="D142">
        <v>0</v>
      </c>
      <c r="F142" t="s">
        <v>102</v>
      </c>
      <c r="G142" t="str" cm="1">
        <f t="array" ref="G142">_xlfn.LET(
    _xlpm.r, TRIM(B142),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142" t="str" cm="1">
        <f t="array" ref="H142">_xlfn.LET(
     _xlpm.r, TRIM(C142),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43" spans="1:8" x14ac:dyDescent="0.25">
      <c r="A143">
        <v>2022</v>
      </c>
      <c r="B143" t="s">
        <v>39</v>
      </c>
      <c r="C143" t="s">
        <v>62</v>
      </c>
      <c r="D143">
        <v>0</v>
      </c>
      <c r="F143" t="s">
        <v>103</v>
      </c>
      <c r="G143" t="str" cm="1">
        <f t="array" ref="G143">_xlfn.LET(
    _xlpm.r, TRIM(B143),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مجلس الإمارات للتوازن بين الجنسين</v>
      </c>
      <c r="H143" t="str" cm="1">
        <f t="array" ref="H143">_xlfn.LET(
     _xlpm.r, TRIM(C143),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44" spans="1:8" x14ac:dyDescent="0.25">
      <c r="A144">
        <v>2022</v>
      </c>
      <c r="B144" t="s">
        <v>39</v>
      </c>
      <c r="C144" t="s">
        <v>59</v>
      </c>
      <c r="D144">
        <v>0</v>
      </c>
      <c r="F144" t="s">
        <v>103</v>
      </c>
      <c r="G144" t="str" cm="1">
        <f t="array" ref="G144">_xlfn.LET(
    _xlpm.r, TRIM(B144),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مجلس الإمارات للتوازن بين الجنسين</v>
      </c>
      <c r="H144" t="str" cm="1">
        <f t="array" ref="H144">_xlfn.LET(
     _xlpm.r, TRIM(C144),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45" spans="1:8" x14ac:dyDescent="0.25">
      <c r="A145">
        <v>2022</v>
      </c>
      <c r="B145" t="s">
        <v>40</v>
      </c>
      <c r="C145" t="s">
        <v>62</v>
      </c>
      <c r="D145">
        <v>0</v>
      </c>
      <c r="F145" t="s">
        <v>104</v>
      </c>
      <c r="G145" t="str" cm="1">
        <f t="array" ref="G145">_xlfn.LET(
    _xlpm.r, TRIM(B145),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التسامح والتعايش</v>
      </c>
      <c r="H145" t="str" cm="1">
        <f t="array" ref="H145">_xlfn.LET(
     _xlpm.r, TRIM(C145),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46" spans="1:8" x14ac:dyDescent="0.25">
      <c r="A146">
        <v>2022</v>
      </c>
      <c r="B146" t="s">
        <v>40</v>
      </c>
      <c r="C146" t="s">
        <v>59</v>
      </c>
      <c r="D146">
        <v>0</v>
      </c>
      <c r="F146" t="s">
        <v>104</v>
      </c>
      <c r="G146" t="str" cm="1">
        <f t="array" ref="G146">_xlfn.LET(
    _xlpm.r, TRIM(B146),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التسامح والتعايش</v>
      </c>
      <c r="H146" t="str" cm="1">
        <f t="array" ref="H146">_xlfn.LET(
     _xlpm.r, TRIM(C146),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47" spans="1:8" x14ac:dyDescent="0.25">
      <c r="A147">
        <v>2022</v>
      </c>
      <c r="B147" t="s">
        <v>41</v>
      </c>
      <c r="C147" t="s">
        <v>60</v>
      </c>
      <c r="D147">
        <v>0</v>
      </c>
      <c r="F147" t="s">
        <v>105</v>
      </c>
      <c r="G147" t="str" cm="1">
        <f t="array" ref="G147">_xlfn.LET(
    _xlpm.r, TRIM(B147),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47" t="str" cm="1">
        <f t="array" ref="H147">_xlfn.LET(
     _xlpm.r, TRIM(C147),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148" spans="1:8" x14ac:dyDescent="0.25">
      <c r="A148">
        <v>2022</v>
      </c>
      <c r="B148" t="s">
        <v>41</v>
      </c>
      <c r="C148" t="s">
        <v>62</v>
      </c>
      <c r="D148">
        <v>0</v>
      </c>
      <c r="F148" t="s">
        <v>105</v>
      </c>
      <c r="G148" t="str" cm="1">
        <f t="array" ref="G148">_xlfn.LET(
    _xlpm.r, TRIM(B148),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48" t="str" cm="1">
        <f t="array" ref="H148">_xlfn.LET(
     _xlpm.r, TRIM(C148),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49" spans="1:8" x14ac:dyDescent="0.25">
      <c r="A149">
        <v>2022</v>
      </c>
      <c r="B149" t="s">
        <v>41</v>
      </c>
      <c r="C149" t="s">
        <v>59</v>
      </c>
      <c r="D149">
        <v>0</v>
      </c>
      <c r="F149" t="s">
        <v>105</v>
      </c>
      <c r="G149" t="str" cm="1">
        <f t="array" ref="G149">_xlfn.LET(
    _xlpm.r, TRIM(B149),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49" t="str" cm="1">
        <f t="array" ref="H149">_xlfn.LET(
     _xlpm.r, TRIM(C149),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50" spans="1:8" x14ac:dyDescent="0.25">
      <c r="A150">
        <v>2022</v>
      </c>
      <c r="B150" t="s">
        <v>42</v>
      </c>
      <c r="C150" t="s">
        <v>62</v>
      </c>
      <c r="D150">
        <v>0</v>
      </c>
      <c r="F150" t="s">
        <v>106</v>
      </c>
      <c r="G150" t="str" cm="1">
        <f t="array" ref="G150">_xlfn.LET(
    _xlpm.r, TRIM(B150),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الأعلى للأمومة والطفولة</v>
      </c>
      <c r="H150" t="str" cm="1">
        <f t="array" ref="H150">_xlfn.LET(
     _xlpm.r, TRIM(C150),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51" spans="1:8" x14ac:dyDescent="0.25">
      <c r="A151">
        <v>2022</v>
      </c>
      <c r="B151" t="s">
        <v>44</v>
      </c>
      <c r="C151" t="s">
        <v>62</v>
      </c>
      <c r="D151">
        <v>0</v>
      </c>
      <c r="F151" t="s">
        <v>108</v>
      </c>
      <c r="G151" t="str" cm="1">
        <f t="array" ref="G151">_xlfn.LET(
    _xlpm.r, TRIM(B151),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الوطني للإرشاد</v>
      </c>
      <c r="H151" t="str" cm="1">
        <f t="array" ref="H151">_xlfn.LET(
     _xlpm.r, TRIM(C151),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52" spans="1:8" x14ac:dyDescent="0.25">
      <c r="A152">
        <v>2022</v>
      </c>
      <c r="B152" t="s">
        <v>45</v>
      </c>
      <c r="C152" t="s">
        <v>62</v>
      </c>
      <c r="D152">
        <v>0</v>
      </c>
      <c r="F152" t="s">
        <v>109</v>
      </c>
      <c r="G152" t="str" cm="1">
        <f t="array" ref="G152">_xlfn.LET(
    _xlpm.r, TRIM(B152),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الإمارات للفضاء</v>
      </c>
      <c r="H152" t="str" cm="1">
        <f t="array" ref="H152">_xlfn.LET(
     _xlpm.r, TRIM(C152),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53" spans="1:8" x14ac:dyDescent="0.25">
      <c r="A153">
        <v>2022</v>
      </c>
      <c r="B153" t="s">
        <v>45</v>
      </c>
      <c r="C153" t="s">
        <v>59</v>
      </c>
      <c r="D153">
        <v>0</v>
      </c>
      <c r="F153" t="s">
        <v>109</v>
      </c>
      <c r="G153" t="str" cm="1">
        <f t="array" ref="G153">_xlfn.LET(
    _xlpm.r, TRIM(B153),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الإمارات للفضاء</v>
      </c>
      <c r="H153" t="str" cm="1">
        <f t="array" ref="H153">_xlfn.LET(
     _xlpm.r, TRIM(C153),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54" spans="1:8" x14ac:dyDescent="0.25">
      <c r="A154">
        <v>2022</v>
      </c>
      <c r="B154" t="s">
        <v>46</v>
      </c>
      <c r="C154" t="s">
        <v>59</v>
      </c>
      <c r="D154">
        <v>8697000</v>
      </c>
      <c r="F154" t="s">
        <v>110</v>
      </c>
      <c r="G154" t="str" cm="1">
        <f t="array" ref="G154">_xlfn.LET(
    _xlpm.r, TRIM(B154),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54" t="str" cm="1">
        <f t="array" ref="H154">_xlfn.LET(
     _xlpm.r, TRIM(C154),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55" spans="1:8" x14ac:dyDescent="0.25">
      <c r="A155">
        <v>2022</v>
      </c>
      <c r="B155" t="s">
        <v>46</v>
      </c>
      <c r="C155" t="s">
        <v>62</v>
      </c>
      <c r="D155">
        <v>0</v>
      </c>
      <c r="F155" t="s">
        <v>110</v>
      </c>
      <c r="G155" t="str" cm="1">
        <f t="array" ref="G155">_xlfn.LET(
    _xlpm.r, TRIM(B155),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55" t="str" cm="1">
        <f t="array" ref="H155">_xlfn.LET(
     _xlpm.r, TRIM(C155),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56" spans="1:8" x14ac:dyDescent="0.25">
      <c r="A156">
        <v>2022</v>
      </c>
      <c r="B156" t="s">
        <v>46</v>
      </c>
      <c r="C156" t="s">
        <v>59</v>
      </c>
      <c r="D156">
        <v>0</v>
      </c>
      <c r="F156" t="s">
        <v>110</v>
      </c>
      <c r="G156" t="str" cm="1">
        <f t="array" ref="G156">_xlfn.LET(
    _xlpm.r, TRIM(B156),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56" t="str" cm="1">
        <f t="array" ref="H156">_xlfn.LET(
     _xlpm.r, TRIM(C156),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57" spans="1:8" x14ac:dyDescent="0.25">
      <c r="A157">
        <v>2022</v>
      </c>
      <c r="B157" t="s">
        <v>47</v>
      </c>
      <c r="C157" t="s">
        <v>59</v>
      </c>
      <c r="D157">
        <v>70000</v>
      </c>
      <c r="F157" t="s">
        <v>111</v>
      </c>
      <c r="G157" t="str" cm="1">
        <f t="array" ref="G157">_xlfn.LET(
    _xlpm.r, TRIM(B157),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157" t="str" cm="1">
        <f t="array" ref="H157">_xlfn.LET(
     _xlpm.r, TRIM(C157),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58" spans="1:8" x14ac:dyDescent="0.25">
      <c r="A158">
        <v>2022</v>
      </c>
      <c r="B158" t="s">
        <v>47</v>
      </c>
      <c r="C158" t="s">
        <v>62</v>
      </c>
      <c r="D158">
        <v>0</v>
      </c>
      <c r="F158" t="s">
        <v>111</v>
      </c>
      <c r="G158" t="str" cm="1">
        <f t="array" ref="G158">_xlfn.LET(
    _xlpm.r, TRIM(B158),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158" t="str" cm="1">
        <f t="array" ref="H158">_xlfn.LET(
     _xlpm.r, TRIM(C158),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59" spans="1:8" x14ac:dyDescent="0.25">
      <c r="A159">
        <v>2022</v>
      </c>
      <c r="B159" t="s">
        <v>47</v>
      </c>
      <c r="C159" t="s">
        <v>59</v>
      </c>
      <c r="D159">
        <v>0</v>
      </c>
      <c r="F159" t="s">
        <v>111</v>
      </c>
      <c r="G159" t="str" cm="1">
        <f t="array" ref="G159">_xlfn.LET(
    _xlpm.r, TRIM(B159),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159" t="str" cm="1">
        <f t="array" ref="H159">_xlfn.LET(
     _xlpm.r, TRIM(C159),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60" spans="1:8" x14ac:dyDescent="0.25">
      <c r="A160">
        <v>2022</v>
      </c>
      <c r="B160" t="s">
        <v>63</v>
      </c>
      <c r="C160" t="s">
        <v>60</v>
      </c>
      <c r="D160">
        <v>0</v>
      </c>
      <c r="F160" t="s">
        <v>122</v>
      </c>
      <c r="G160" t="str" cm="1">
        <f t="array" ref="G160">_xlfn.LET(
    _xlpm.r, TRIM(B160),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تطوير القدرات الوطنية</v>
      </c>
      <c r="H160" t="str" cm="1">
        <f t="array" ref="H160">_xlfn.LET(
     _xlpm.r, TRIM(C160),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161" spans="1:8" x14ac:dyDescent="0.25">
      <c r="A161">
        <v>2022</v>
      </c>
      <c r="B161" t="s">
        <v>64</v>
      </c>
      <c r="C161" t="s">
        <v>59</v>
      </c>
      <c r="D161">
        <v>0</v>
      </c>
      <c r="F161" t="s">
        <v>123</v>
      </c>
      <c r="G161" t="str" cm="1">
        <f t="array" ref="G161">_xlfn.LET(
    _xlpm.r, TRIM(B161),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للضرائب</v>
      </c>
      <c r="H161" t="str" cm="1">
        <f t="array" ref="H161">_xlfn.LET(
     _xlpm.r, TRIM(C161),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62" spans="1:8" x14ac:dyDescent="0.25">
      <c r="A162">
        <v>2022</v>
      </c>
      <c r="B162" t="s">
        <v>65</v>
      </c>
      <c r="C162" t="s">
        <v>62</v>
      </c>
      <c r="D162">
        <v>0</v>
      </c>
      <c r="F162" t="s">
        <v>124</v>
      </c>
      <c r="G162" t="str" cm="1">
        <f t="array" ref="G162">_xlfn.LET(
    _xlpm.r, TRIM(B162),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المكتب التنفيذي لمواجهة غسل الأموال وتمويل الإرهاب</v>
      </c>
      <c r="H162" t="str" cm="1">
        <f t="array" ref="H162">_xlfn.LET(
     _xlpm.r, TRIM(C162),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63" spans="1:8" x14ac:dyDescent="0.25">
      <c r="A163">
        <v>2022</v>
      </c>
      <c r="B163" t="s">
        <v>65</v>
      </c>
      <c r="C163" t="s">
        <v>59</v>
      </c>
      <c r="D163">
        <v>0</v>
      </c>
      <c r="F163" t="s">
        <v>124</v>
      </c>
      <c r="G163" t="str" cm="1">
        <f t="array" ref="G163">_xlfn.LET(
    _xlpm.r, TRIM(B163),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المكتب التنفيذي لمواجهة غسل الأموال وتمويل الإرهاب</v>
      </c>
      <c r="H163" t="str" cm="1">
        <f t="array" ref="H163">_xlfn.LET(
     _xlpm.r, TRIM(C163),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64" spans="1:8" x14ac:dyDescent="0.25">
      <c r="A164">
        <v>2022</v>
      </c>
      <c r="B164" t="s">
        <v>48</v>
      </c>
      <c r="C164" t="s">
        <v>59</v>
      </c>
      <c r="D164">
        <v>100000000</v>
      </c>
      <c r="F164" t="s">
        <v>112</v>
      </c>
      <c r="G164" t="str" cm="1">
        <f t="array" ref="G164">_xlfn.LET(
    _xlpm.r, TRIM(B164),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الإمارات العربية المتحدة</v>
      </c>
      <c r="H164" t="str" cm="1">
        <f t="array" ref="H164">_xlfn.LET(
     _xlpm.r, TRIM(C164),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65" spans="1:8" x14ac:dyDescent="0.25">
      <c r="A165">
        <v>2022</v>
      </c>
      <c r="B165" t="s">
        <v>49</v>
      </c>
      <c r="C165" t="s">
        <v>59</v>
      </c>
      <c r="D165">
        <v>32966000</v>
      </c>
      <c r="F165" t="s">
        <v>113</v>
      </c>
      <c r="G165" t="str" cm="1">
        <f t="array" ref="G165">_xlfn.LET(
    _xlpm.r, TRIM(B165),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65" t="str" cm="1">
        <f t="array" ref="H165">_xlfn.LET(
     _xlpm.r, TRIM(C165),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66" spans="1:8" x14ac:dyDescent="0.25">
      <c r="A166">
        <v>2022</v>
      </c>
      <c r="B166" t="s">
        <v>50</v>
      </c>
      <c r="C166" t="s">
        <v>59</v>
      </c>
      <c r="D166">
        <v>50000000</v>
      </c>
      <c r="F166" t="s">
        <v>114</v>
      </c>
      <c r="G166" t="str" cm="1">
        <f t="array" ref="G166">_xlfn.LET(
    _xlpm.r, TRIM(B166),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زايد</v>
      </c>
      <c r="H166" t="str" cm="1">
        <f t="array" ref="H166">_xlfn.LET(
     _xlpm.r, TRIM(C166),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67" spans="1:8" x14ac:dyDescent="0.25">
      <c r="A167">
        <v>2022</v>
      </c>
      <c r="B167" t="s">
        <v>66</v>
      </c>
      <c r="C167" t="s">
        <v>59</v>
      </c>
      <c r="D167">
        <v>0</v>
      </c>
      <c r="F167" t="s">
        <v>125</v>
      </c>
      <c r="G167" t="str" cm="1">
        <f t="array" ref="G167">_xlfn.LET(
    _xlpm.r, TRIM(B167),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 (مكافحة غسل الأموال)</v>
      </c>
      <c r="H167" t="str" cm="1">
        <f t="array" ref="H167">_xlfn.LET(
     _xlpm.r, TRIM(C167),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68" spans="1:8" x14ac:dyDescent="0.25">
      <c r="A168">
        <v>2022</v>
      </c>
      <c r="B168" t="s">
        <v>67</v>
      </c>
      <c r="C168" t="s">
        <v>59</v>
      </c>
      <c r="D168">
        <v>0</v>
      </c>
      <c r="F168" t="s">
        <v>126</v>
      </c>
      <c r="G168" t="str" cm="1">
        <f t="array" ref="G168">_xlfn.LET(
    _xlpm.r, TRIM(B168),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للجمارك (مكافحة غسل الأموال)</v>
      </c>
      <c r="H168" t="str" cm="1">
        <f t="array" ref="H168">_xlfn.LET(
     _xlpm.r, TRIM(C168),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69" spans="1:8" x14ac:dyDescent="0.25">
      <c r="A169">
        <v>2022</v>
      </c>
      <c r="B169" t="s">
        <v>51</v>
      </c>
      <c r="C169" t="s">
        <v>59</v>
      </c>
      <c r="D169">
        <v>300000</v>
      </c>
      <c r="F169" t="s">
        <v>115</v>
      </c>
      <c r="G169" t="str" cm="1">
        <f t="array" ref="G169">_xlfn.LET(
    _xlpm.r, TRIM(B169),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صندوق الزكاة</v>
      </c>
      <c r="H169" t="str" cm="1">
        <f t="array" ref="H169">_xlfn.LET(
     _xlpm.r, TRIM(C169),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70" spans="1:8" x14ac:dyDescent="0.25">
      <c r="A170">
        <v>2022</v>
      </c>
      <c r="B170" t="s">
        <v>68</v>
      </c>
      <c r="C170" t="s">
        <v>62</v>
      </c>
      <c r="D170">
        <v>0</v>
      </c>
      <c r="F170" t="s">
        <v>127</v>
      </c>
      <c r="G170" t="str" cm="1">
        <f t="array" ref="G170">_xlfn.LET(
    _xlpm.r, TRIM(B170),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 – الدعم المحلي</v>
      </c>
      <c r="H170" t="str" cm="1">
        <f t="array" ref="H170">_xlfn.LET(
     _xlpm.r, TRIM(C170),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71" spans="1:8" x14ac:dyDescent="0.25">
      <c r="A171">
        <v>2022</v>
      </c>
      <c r="B171" t="s">
        <v>68</v>
      </c>
      <c r="C171" t="s">
        <v>59</v>
      </c>
      <c r="D171">
        <v>0</v>
      </c>
      <c r="F171" t="s">
        <v>127</v>
      </c>
      <c r="G171" t="str" cm="1">
        <f t="array" ref="G171">_xlfn.LET(
    _xlpm.r, TRIM(B171),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 – الدعم المحلي</v>
      </c>
      <c r="H171" t="str" cm="1">
        <f t="array" ref="H171">_xlfn.LET(
     _xlpm.r, TRIM(C171),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72" spans="1:8" x14ac:dyDescent="0.25">
      <c r="A172">
        <v>2022</v>
      </c>
      <c r="B172" t="s">
        <v>52</v>
      </c>
      <c r="C172" t="s">
        <v>59</v>
      </c>
      <c r="D172">
        <v>183000000</v>
      </c>
      <c r="F172" t="s">
        <v>116</v>
      </c>
      <c r="G172" t="str" cm="1">
        <f t="array" ref="G172">_xlfn.LET(
    _xlpm.r, TRIM(B172),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72" t="str" cm="1">
        <f t="array" ref="H172">_xlfn.LET(
     _xlpm.r, TRIM(C172),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73" spans="1:8" x14ac:dyDescent="0.25">
      <c r="A173">
        <v>2022</v>
      </c>
      <c r="B173" t="s">
        <v>56</v>
      </c>
      <c r="C173" t="s">
        <v>59</v>
      </c>
      <c r="D173">
        <v>0</v>
      </c>
      <c r="F173" t="s">
        <v>120</v>
      </c>
      <c r="G173" t="str" cm="1">
        <f t="array" ref="G173">_xlfn.LET(
    _xlpm.r, TRIM(B173),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تنظيم الاتصالات</v>
      </c>
      <c r="H173" t="str" cm="1">
        <f t="array" ref="H173">_xlfn.LET(
     _xlpm.r, TRIM(C173),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74" spans="1:8" x14ac:dyDescent="0.25">
      <c r="A174">
        <v>2022</v>
      </c>
      <c r="B174" t="s">
        <v>57</v>
      </c>
      <c r="C174" t="s">
        <v>62</v>
      </c>
      <c r="D174">
        <v>0</v>
      </c>
      <c r="F174" t="s">
        <v>121</v>
      </c>
      <c r="G174" t="str" cm="1">
        <f t="array" ref="G174">_xlfn.LET(
    _xlpm.r, TRIM(B174),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للرقابة النووية</v>
      </c>
      <c r="H174" t="str" cm="1">
        <f t="array" ref="H174">_xlfn.LET(
     _xlpm.r, TRIM(C174),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175" spans="1:8" x14ac:dyDescent="0.25">
      <c r="A175">
        <v>2022</v>
      </c>
      <c r="B175" t="s">
        <v>57</v>
      </c>
      <c r="C175" t="s">
        <v>59</v>
      </c>
      <c r="D175">
        <v>0</v>
      </c>
      <c r="F175" t="s">
        <v>121</v>
      </c>
      <c r="G175" t="str" cm="1">
        <f t="array" ref="G175">_xlfn.LET(
    _xlpm.r, TRIM(B175),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للرقابة النووية</v>
      </c>
      <c r="H175" t="str" cm="1">
        <f t="array" ref="H175">_xlfn.LET(
     _xlpm.r, TRIM(C175),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76" spans="1:8" x14ac:dyDescent="0.25">
      <c r="A176">
        <v>2022</v>
      </c>
      <c r="B176" t="s">
        <v>69</v>
      </c>
      <c r="C176" t="s">
        <v>59</v>
      </c>
      <c r="D176">
        <v>0</v>
      </c>
      <c r="F176" t="s">
        <v>128</v>
      </c>
      <c r="G176" t="str" cm="1">
        <f t="array" ref="G176">_xlfn.LET(
    _xlpm.r, TRIM(B176),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العقارية</v>
      </c>
      <c r="H176" t="str" cm="1">
        <f t="array" ref="H176">_xlfn.LET(
     _xlpm.r, TRIM(C176),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77" spans="1:8" x14ac:dyDescent="0.25">
      <c r="A177">
        <v>2023</v>
      </c>
      <c r="B177" t="s">
        <v>4</v>
      </c>
      <c r="C177" t="s">
        <v>59</v>
      </c>
      <c r="D177">
        <v>542285000</v>
      </c>
      <c r="F177" t="s">
        <v>76</v>
      </c>
      <c r="G177" t="str" cm="1">
        <f t="array" ref="G177">_xlfn.LET(
    _xlpm.r, TRIM(B177),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77" t="str" cm="1">
        <f t="array" ref="H177">_xlfn.LET(
     _xlpm.r, TRIM(C177),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78" spans="1:8" x14ac:dyDescent="0.25">
      <c r="A178">
        <v>2023</v>
      </c>
      <c r="B178" t="s">
        <v>4</v>
      </c>
      <c r="C178" t="s">
        <v>59</v>
      </c>
      <c r="D178">
        <v>0</v>
      </c>
      <c r="F178" t="s">
        <v>76</v>
      </c>
      <c r="G178" t="str" cm="1">
        <f t="array" ref="G178">_xlfn.LET(
    _xlpm.r, TRIM(B178),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78" t="str" cm="1">
        <f t="array" ref="H178">_xlfn.LET(
     _xlpm.r, TRIM(C178),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79" spans="1:8" x14ac:dyDescent="0.25">
      <c r="A179">
        <v>2023</v>
      </c>
      <c r="B179" t="s">
        <v>4</v>
      </c>
      <c r="C179" t="s">
        <v>59</v>
      </c>
      <c r="D179">
        <v>0</v>
      </c>
      <c r="F179" t="s">
        <v>76</v>
      </c>
      <c r="G179" t="str" cm="1">
        <f t="array" ref="G179">_xlfn.LET(
    _xlpm.r, TRIM(B179),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79" t="str" cm="1">
        <f t="array" ref="H179">_xlfn.LET(
     _xlpm.r, TRIM(C179),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80" spans="1:8" x14ac:dyDescent="0.25">
      <c r="A180">
        <v>2023</v>
      </c>
      <c r="B180" t="s">
        <v>4</v>
      </c>
      <c r="C180" t="s">
        <v>59</v>
      </c>
      <c r="D180">
        <v>0</v>
      </c>
      <c r="F180" t="s">
        <v>76</v>
      </c>
      <c r="G180" t="str" cm="1">
        <f t="array" ref="G180">_xlfn.LET(
    _xlpm.r, TRIM(B180),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80" t="str" cm="1">
        <f t="array" ref="H180">_xlfn.LET(
     _xlpm.r, TRIM(C180),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81" spans="1:8" x14ac:dyDescent="0.25">
      <c r="A181">
        <v>2023</v>
      </c>
      <c r="B181" t="s">
        <v>9</v>
      </c>
      <c r="C181" t="s">
        <v>59</v>
      </c>
      <c r="D181">
        <v>39845000</v>
      </c>
      <c r="F181" t="s">
        <v>77</v>
      </c>
      <c r="G181" t="str" cm="1">
        <f t="array" ref="G181">_xlfn.LET(
    _xlpm.r, TRIM(B181),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81" t="str" cm="1">
        <f t="array" ref="H181">_xlfn.LET(
     _xlpm.r, TRIM(C181),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82" spans="1:8" x14ac:dyDescent="0.25">
      <c r="A182">
        <v>2023</v>
      </c>
      <c r="B182" t="s">
        <v>9</v>
      </c>
      <c r="C182" t="s">
        <v>59</v>
      </c>
      <c r="D182">
        <v>0</v>
      </c>
      <c r="F182" t="s">
        <v>77</v>
      </c>
      <c r="G182" t="str" cm="1">
        <f t="array" ref="G182">_xlfn.LET(
    _xlpm.r, TRIM(B182),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82" t="str" cm="1">
        <f t="array" ref="H182">_xlfn.LET(
     _xlpm.r, TRIM(C182),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83" spans="1:8" x14ac:dyDescent="0.25">
      <c r="A183">
        <v>2023</v>
      </c>
      <c r="B183" t="s">
        <v>9</v>
      </c>
      <c r="C183" t="s">
        <v>59</v>
      </c>
      <c r="D183">
        <v>0</v>
      </c>
      <c r="F183" t="s">
        <v>77</v>
      </c>
      <c r="G183" t="str" cm="1">
        <f t="array" ref="G183">_xlfn.LET(
    _xlpm.r, TRIM(B183),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83" t="str" cm="1">
        <f t="array" ref="H183">_xlfn.LET(
     _xlpm.r, TRIM(C183),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84" spans="1:8" x14ac:dyDescent="0.25">
      <c r="A184">
        <v>2023</v>
      </c>
      <c r="B184" t="s">
        <v>9</v>
      </c>
      <c r="C184" t="s">
        <v>59</v>
      </c>
      <c r="D184">
        <v>0</v>
      </c>
      <c r="F184" t="s">
        <v>77</v>
      </c>
      <c r="G184" t="str" cm="1">
        <f t="array" ref="G184">_xlfn.LET(
    _xlpm.r, TRIM(B184),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84" t="str" cm="1">
        <f t="array" ref="H184">_xlfn.LET(
     _xlpm.r, TRIM(C184),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85" spans="1:8" x14ac:dyDescent="0.25">
      <c r="A185">
        <v>2023</v>
      </c>
      <c r="B185" t="s">
        <v>9</v>
      </c>
      <c r="C185" t="s">
        <v>59</v>
      </c>
      <c r="D185">
        <v>0</v>
      </c>
      <c r="F185" t="s">
        <v>77</v>
      </c>
      <c r="G185" t="str" cm="1">
        <f t="array" ref="G185">_xlfn.LET(
    _xlpm.r, TRIM(B185),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85" t="str" cm="1">
        <f t="array" ref="H185">_xlfn.LET(
     _xlpm.r, TRIM(C185),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86" spans="1:8" x14ac:dyDescent="0.25">
      <c r="A186">
        <v>2023</v>
      </c>
      <c r="B186" t="s">
        <v>10</v>
      </c>
      <c r="C186" t="s">
        <v>59</v>
      </c>
      <c r="D186">
        <v>1244423000</v>
      </c>
      <c r="F186" t="s">
        <v>78</v>
      </c>
      <c r="G186" t="str" cm="1">
        <f t="array" ref="G186">_xlfn.LET(
    _xlpm.r, TRIM(B186),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86" t="str" cm="1">
        <f t="array" ref="H186">_xlfn.LET(
     _xlpm.r, TRIM(C186),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87" spans="1:8" x14ac:dyDescent="0.25">
      <c r="A187">
        <v>2023</v>
      </c>
      <c r="B187" t="s">
        <v>10</v>
      </c>
      <c r="C187" t="s">
        <v>59</v>
      </c>
      <c r="D187">
        <v>0</v>
      </c>
      <c r="F187" t="s">
        <v>78</v>
      </c>
      <c r="G187" t="str" cm="1">
        <f t="array" ref="G187">_xlfn.LET(
    _xlpm.r, TRIM(B187),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87" t="str" cm="1">
        <f t="array" ref="H187">_xlfn.LET(
     _xlpm.r, TRIM(C187),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88" spans="1:8" x14ac:dyDescent="0.25">
      <c r="A188">
        <v>2023</v>
      </c>
      <c r="B188" t="s">
        <v>10</v>
      </c>
      <c r="C188" t="s">
        <v>59</v>
      </c>
      <c r="D188">
        <v>0</v>
      </c>
      <c r="F188" t="s">
        <v>78</v>
      </c>
      <c r="G188" t="str" cm="1">
        <f t="array" ref="G188">_xlfn.LET(
    _xlpm.r, TRIM(B188),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88" t="str" cm="1">
        <f t="array" ref="H188">_xlfn.LET(
     _xlpm.r, TRIM(C188),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89" spans="1:8" x14ac:dyDescent="0.25">
      <c r="A189">
        <v>2023</v>
      </c>
      <c r="B189" t="s">
        <v>11</v>
      </c>
      <c r="C189" t="s">
        <v>59</v>
      </c>
      <c r="D189">
        <v>158000000</v>
      </c>
      <c r="F189" t="s">
        <v>79</v>
      </c>
      <c r="G189" t="str" cm="1">
        <f t="array" ref="G189">_xlfn.LET(
    _xlpm.r, TRIM(B189),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89" t="str" cm="1">
        <f t="array" ref="H189">_xlfn.LET(
     _xlpm.r, TRIM(C189),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90" spans="1:8" x14ac:dyDescent="0.25">
      <c r="A190">
        <v>2023</v>
      </c>
      <c r="B190" t="s">
        <v>11</v>
      </c>
      <c r="C190" t="s">
        <v>60</v>
      </c>
      <c r="D190">
        <v>0</v>
      </c>
      <c r="F190" t="s">
        <v>79</v>
      </c>
      <c r="G190" t="str" cm="1">
        <f t="array" ref="G190">_xlfn.LET(
    _xlpm.r, TRIM(B190),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90" t="str" cm="1">
        <f t="array" ref="H190">_xlfn.LET(
     _xlpm.r, TRIM(C190),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191" spans="1:8" x14ac:dyDescent="0.25">
      <c r="A191">
        <v>2023</v>
      </c>
      <c r="B191" t="s">
        <v>11</v>
      </c>
      <c r="C191" t="s">
        <v>60</v>
      </c>
      <c r="D191">
        <v>0</v>
      </c>
      <c r="F191" t="s">
        <v>79</v>
      </c>
      <c r="G191" t="str" cm="1">
        <f t="array" ref="G191">_xlfn.LET(
    _xlpm.r, TRIM(B191),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91" t="str" cm="1">
        <f t="array" ref="H191">_xlfn.LET(
     _xlpm.r, TRIM(C191),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192" spans="1:8" x14ac:dyDescent="0.25">
      <c r="A192">
        <v>2023</v>
      </c>
      <c r="B192" t="s">
        <v>11</v>
      </c>
      <c r="C192" t="s">
        <v>59</v>
      </c>
      <c r="D192">
        <v>0</v>
      </c>
      <c r="F192" t="s">
        <v>79</v>
      </c>
      <c r="G192" t="str" cm="1">
        <f t="array" ref="G192">_xlfn.LET(
    _xlpm.r, TRIM(B192),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92" t="str" cm="1">
        <f t="array" ref="H192">_xlfn.LET(
     _xlpm.r, TRIM(C192),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93" spans="1:8" x14ac:dyDescent="0.25">
      <c r="A193">
        <v>2023</v>
      </c>
      <c r="B193" t="s">
        <v>11</v>
      </c>
      <c r="C193" t="s">
        <v>59</v>
      </c>
      <c r="D193">
        <v>0</v>
      </c>
      <c r="F193" t="s">
        <v>79</v>
      </c>
      <c r="G193" t="str" cm="1">
        <f t="array" ref="G193">_xlfn.LET(
    _xlpm.r, TRIM(B193),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93" t="str" cm="1">
        <f t="array" ref="H193">_xlfn.LET(
     _xlpm.r, TRIM(C193),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94" spans="1:8" x14ac:dyDescent="0.25">
      <c r="A194">
        <v>2023</v>
      </c>
      <c r="B194" t="s">
        <v>11</v>
      </c>
      <c r="C194" t="s">
        <v>59</v>
      </c>
      <c r="D194">
        <v>0</v>
      </c>
      <c r="F194" t="s">
        <v>79</v>
      </c>
      <c r="G194" t="str" cm="1">
        <f t="array" ref="G194">_xlfn.LET(
    _xlpm.r, TRIM(B194),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94" t="str" cm="1">
        <f t="array" ref="H194">_xlfn.LET(
     _xlpm.r, TRIM(C194),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95" spans="1:8" x14ac:dyDescent="0.25">
      <c r="A195">
        <v>2023</v>
      </c>
      <c r="B195" t="s">
        <v>11</v>
      </c>
      <c r="C195" t="s">
        <v>59</v>
      </c>
      <c r="D195">
        <v>0</v>
      </c>
      <c r="F195" t="s">
        <v>79</v>
      </c>
      <c r="G195" t="str" cm="1">
        <f t="array" ref="G195">_xlfn.LET(
    _xlpm.r, TRIM(B195),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95" t="str" cm="1">
        <f t="array" ref="H195">_xlfn.LET(
     _xlpm.r, TRIM(C195),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96" spans="1:8" x14ac:dyDescent="0.25">
      <c r="A196">
        <v>2023</v>
      </c>
      <c r="B196" t="s">
        <v>11</v>
      </c>
      <c r="C196" t="s">
        <v>59</v>
      </c>
      <c r="D196">
        <v>0</v>
      </c>
      <c r="F196" t="s">
        <v>79</v>
      </c>
      <c r="G196" t="str" cm="1">
        <f t="array" ref="G196">_xlfn.LET(
    _xlpm.r, TRIM(B196),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96" t="str" cm="1">
        <f t="array" ref="H196">_xlfn.LET(
     _xlpm.r, TRIM(C196),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97" spans="1:8" x14ac:dyDescent="0.25">
      <c r="A197">
        <v>2023</v>
      </c>
      <c r="B197" t="s">
        <v>11</v>
      </c>
      <c r="C197" t="s">
        <v>59</v>
      </c>
      <c r="D197">
        <v>0</v>
      </c>
      <c r="F197" t="s">
        <v>79</v>
      </c>
      <c r="G197" t="str" cm="1">
        <f t="array" ref="G197">_xlfn.LET(
    _xlpm.r, TRIM(B197),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97" t="str" cm="1">
        <f t="array" ref="H197">_xlfn.LET(
     _xlpm.r, TRIM(C197),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98" spans="1:8" x14ac:dyDescent="0.25">
      <c r="A198">
        <v>2023</v>
      </c>
      <c r="B198" t="s">
        <v>11</v>
      </c>
      <c r="C198" t="s">
        <v>59</v>
      </c>
      <c r="D198">
        <v>0</v>
      </c>
      <c r="F198" t="s">
        <v>79</v>
      </c>
      <c r="G198" t="str" cm="1">
        <f t="array" ref="G198">_xlfn.LET(
    _xlpm.r, TRIM(B198),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98" t="str" cm="1">
        <f t="array" ref="H198">_xlfn.LET(
     _xlpm.r, TRIM(C198),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199" spans="1:8" x14ac:dyDescent="0.25">
      <c r="A199">
        <v>2023</v>
      </c>
      <c r="B199" t="s">
        <v>12</v>
      </c>
      <c r="C199" t="s">
        <v>59</v>
      </c>
      <c r="D199">
        <v>10780000</v>
      </c>
      <c r="F199" t="s">
        <v>80</v>
      </c>
      <c r="G199" t="str" cm="1">
        <f t="array" ref="G199">_xlfn.LET(
    _xlpm.r, TRIM(B199),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الدفاع</v>
      </c>
      <c r="H199" t="str" cm="1">
        <f t="array" ref="H199">_xlfn.LET(
     _xlpm.r, TRIM(C199),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00" spans="1:8" x14ac:dyDescent="0.25">
      <c r="A200">
        <v>2023</v>
      </c>
      <c r="B200" t="s">
        <v>12</v>
      </c>
      <c r="C200" t="s">
        <v>59</v>
      </c>
      <c r="D200">
        <v>0</v>
      </c>
      <c r="F200" t="s">
        <v>80</v>
      </c>
      <c r="G200" t="str" cm="1">
        <f t="array" ref="G200">_xlfn.LET(
    _xlpm.r, TRIM(B200),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الدفاع</v>
      </c>
      <c r="H200" t="str" cm="1">
        <f t="array" ref="H200">_xlfn.LET(
     _xlpm.r, TRIM(C200),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01" spans="1:8" x14ac:dyDescent="0.25">
      <c r="A201">
        <v>2023</v>
      </c>
      <c r="B201" t="s">
        <v>12</v>
      </c>
      <c r="C201" t="s">
        <v>59</v>
      </c>
      <c r="D201">
        <v>0</v>
      </c>
      <c r="F201" t="s">
        <v>80</v>
      </c>
      <c r="G201" t="str" cm="1">
        <f t="array" ref="G201">_xlfn.LET(
    _xlpm.r, TRIM(B201),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الدفاع</v>
      </c>
      <c r="H201" t="str" cm="1">
        <f t="array" ref="H201">_xlfn.LET(
     _xlpm.r, TRIM(C201),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02" spans="1:8" x14ac:dyDescent="0.25">
      <c r="A202">
        <v>2023</v>
      </c>
      <c r="B202" t="s">
        <v>12</v>
      </c>
      <c r="C202" t="s">
        <v>59</v>
      </c>
      <c r="D202">
        <v>0</v>
      </c>
      <c r="F202" t="s">
        <v>80</v>
      </c>
      <c r="G202" t="str" cm="1">
        <f t="array" ref="G202">_xlfn.LET(
    _xlpm.r, TRIM(B202),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الدفاع</v>
      </c>
      <c r="H202" t="str" cm="1">
        <f t="array" ref="H202">_xlfn.LET(
     _xlpm.r, TRIM(C202),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03" spans="1:8" x14ac:dyDescent="0.25">
      <c r="A203">
        <v>2023</v>
      </c>
      <c r="B203" t="s">
        <v>14</v>
      </c>
      <c r="C203" t="s">
        <v>59</v>
      </c>
      <c r="D203">
        <v>42230000</v>
      </c>
      <c r="F203" t="s">
        <v>82</v>
      </c>
      <c r="G203" t="str" cm="1">
        <f t="array" ref="G203">_xlfn.LET(
    _xlpm.r, TRIM(B203),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203" t="str" cm="1">
        <f t="array" ref="H203">_xlfn.LET(
     _xlpm.r, TRIM(C203),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04" spans="1:8" x14ac:dyDescent="0.25">
      <c r="A204">
        <v>2023</v>
      </c>
      <c r="B204" t="s">
        <v>14</v>
      </c>
      <c r="C204" t="s">
        <v>59</v>
      </c>
      <c r="D204">
        <v>0</v>
      </c>
      <c r="F204" t="s">
        <v>82</v>
      </c>
      <c r="G204" t="str" cm="1">
        <f t="array" ref="G204">_xlfn.LET(
    _xlpm.r, TRIM(B204),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204" t="str" cm="1">
        <f t="array" ref="H204">_xlfn.LET(
     _xlpm.r, TRIM(C204),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05" spans="1:8" x14ac:dyDescent="0.25">
      <c r="A205">
        <v>2023</v>
      </c>
      <c r="B205" t="s">
        <v>14</v>
      </c>
      <c r="C205" t="s">
        <v>59</v>
      </c>
      <c r="D205">
        <v>0</v>
      </c>
      <c r="F205" t="s">
        <v>82</v>
      </c>
      <c r="G205" t="str" cm="1">
        <f t="array" ref="G205">_xlfn.LET(
    _xlpm.r, TRIM(B205),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205" t="str" cm="1">
        <f t="array" ref="H205">_xlfn.LET(
     _xlpm.r, TRIM(C205),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06" spans="1:8" x14ac:dyDescent="0.25">
      <c r="A206">
        <v>2023</v>
      </c>
      <c r="B206" t="s">
        <v>15</v>
      </c>
      <c r="C206" t="s">
        <v>59</v>
      </c>
      <c r="D206">
        <v>335820000</v>
      </c>
      <c r="F206" t="s">
        <v>83</v>
      </c>
      <c r="G206" t="str" cm="1">
        <f t="array" ref="G206">_xlfn.LET(
    _xlpm.r, TRIM(B206),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206" t="str" cm="1">
        <f t="array" ref="H206">_xlfn.LET(
     _xlpm.r, TRIM(C206),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07" spans="1:8" x14ac:dyDescent="0.25">
      <c r="A207">
        <v>2023</v>
      </c>
      <c r="B207" t="s">
        <v>15</v>
      </c>
      <c r="C207" t="s">
        <v>61</v>
      </c>
      <c r="D207">
        <v>0</v>
      </c>
      <c r="F207" t="s">
        <v>83</v>
      </c>
      <c r="G207" t="str" cm="1">
        <f t="array" ref="G207">_xlfn.LET(
    _xlpm.r, TRIM(B207),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207" t="str" cm="1">
        <f t="array" ref="H207">_xlfn.LET(
     _xlpm.r, TRIM(C207),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الضرائب</v>
      </c>
    </row>
    <row r="208" spans="1:8" x14ac:dyDescent="0.25">
      <c r="A208">
        <v>2023</v>
      </c>
      <c r="B208" t="s">
        <v>15</v>
      </c>
      <c r="C208" t="s">
        <v>61</v>
      </c>
      <c r="D208">
        <v>0</v>
      </c>
      <c r="F208" t="s">
        <v>83</v>
      </c>
      <c r="G208" t="str" cm="1">
        <f t="array" ref="G208">_xlfn.LET(
    _xlpm.r, TRIM(B208),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208" t="str" cm="1">
        <f t="array" ref="H208">_xlfn.LET(
     _xlpm.r, TRIM(C208),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الضرائب</v>
      </c>
    </row>
    <row r="209" spans="1:8" x14ac:dyDescent="0.25">
      <c r="A209">
        <v>2023</v>
      </c>
      <c r="B209" t="s">
        <v>15</v>
      </c>
      <c r="C209" t="s">
        <v>59</v>
      </c>
      <c r="D209">
        <v>0</v>
      </c>
      <c r="F209" t="s">
        <v>83</v>
      </c>
      <c r="G209" t="str" cm="1">
        <f t="array" ref="G209">_xlfn.LET(
    _xlpm.r, TRIM(B209),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209" t="str" cm="1">
        <f t="array" ref="H209">_xlfn.LET(
     _xlpm.r, TRIM(C209),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10" spans="1:8" x14ac:dyDescent="0.25">
      <c r="A210">
        <v>2023</v>
      </c>
      <c r="B210" t="s">
        <v>15</v>
      </c>
      <c r="C210" t="s">
        <v>59</v>
      </c>
      <c r="D210">
        <v>0</v>
      </c>
      <c r="F210" t="s">
        <v>83</v>
      </c>
      <c r="G210" t="str" cm="1">
        <f t="array" ref="G210">_xlfn.LET(
    _xlpm.r, TRIM(B210),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210" t="str" cm="1">
        <f t="array" ref="H210">_xlfn.LET(
     _xlpm.r, TRIM(C210),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11" spans="1:8" x14ac:dyDescent="0.25">
      <c r="A211">
        <v>2023</v>
      </c>
      <c r="B211" t="s">
        <v>15</v>
      </c>
      <c r="C211" t="s">
        <v>59</v>
      </c>
      <c r="D211">
        <v>0</v>
      </c>
      <c r="F211" t="s">
        <v>83</v>
      </c>
      <c r="G211" t="str" cm="1">
        <f t="array" ref="G211">_xlfn.LET(
    _xlpm.r, TRIM(B211),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211" t="str" cm="1">
        <f t="array" ref="H211">_xlfn.LET(
     _xlpm.r, TRIM(C211),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12" spans="1:8" x14ac:dyDescent="0.25">
      <c r="A212">
        <v>2023</v>
      </c>
      <c r="B212" t="s">
        <v>15</v>
      </c>
      <c r="C212" t="s">
        <v>59</v>
      </c>
      <c r="D212">
        <v>0</v>
      </c>
      <c r="F212" t="s">
        <v>83</v>
      </c>
      <c r="G212" t="str" cm="1">
        <f t="array" ref="G212">_xlfn.LET(
    _xlpm.r, TRIM(B212),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212" t="str" cm="1">
        <f t="array" ref="H212">_xlfn.LET(
     _xlpm.r, TRIM(C212),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13" spans="1:8" x14ac:dyDescent="0.25">
      <c r="A213">
        <v>2023</v>
      </c>
      <c r="B213" t="s">
        <v>15</v>
      </c>
      <c r="C213" t="s">
        <v>59</v>
      </c>
      <c r="D213">
        <v>0</v>
      </c>
      <c r="F213" t="s">
        <v>83</v>
      </c>
      <c r="G213" t="str" cm="1">
        <f t="array" ref="G213">_xlfn.LET(
    _xlpm.r, TRIM(B213),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213" t="str" cm="1">
        <f t="array" ref="H213">_xlfn.LET(
     _xlpm.r, TRIM(C213),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14" spans="1:8" x14ac:dyDescent="0.25">
      <c r="A214">
        <v>2023</v>
      </c>
      <c r="B214" t="s">
        <v>15</v>
      </c>
      <c r="C214" t="s">
        <v>59</v>
      </c>
      <c r="D214">
        <v>0</v>
      </c>
      <c r="F214" t="s">
        <v>83</v>
      </c>
      <c r="G214" t="str" cm="1">
        <f t="array" ref="G214">_xlfn.LET(
    _xlpm.r, TRIM(B214),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214" t="str" cm="1">
        <f t="array" ref="H214">_xlfn.LET(
     _xlpm.r, TRIM(C214),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15" spans="1:8" x14ac:dyDescent="0.25">
      <c r="A215">
        <v>2023</v>
      </c>
      <c r="B215" t="s">
        <v>15</v>
      </c>
      <c r="C215" t="s">
        <v>59</v>
      </c>
      <c r="D215">
        <v>0</v>
      </c>
      <c r="F215" t="s">
        <v>83</v>
      </c>
      <c r="G215" t="str" cm="1">
        <f t="array" ref="G215">_xlfn.LET(
    _xlpm.r, TRIM(B215),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215" t="str" cm="1">
        <f t="array" ref="H215">_xlfn.LET(
     _xlpm.r, TRIM(C215),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16" spans="1:8" x14ac:dyDescent="0.25">
      <c r="A216">
        <v>2023</v>
      </c>
      <c r="B216" t="s">
        <v>15</v>
      </c>
      <c r="C216" t="s">
        <v>59</v>
      </c>
      <c r="D216">
        <v>0</v>
      </c>
      <c r="F216" t="s">
        <v>83</v>
      </c>
      <c r="G216" t="str" cm="1">
        <f t="array" ref="G216">_xlfn.LET(
    _xlpm.r, TRIM(B216),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216" t="str" cm="1">
        <f t="array" ref="H216">_xlfn.LET(
     _xlpm.r, TRIM(C216),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17" spans="1:8" x14ac:dyDescent="0.25">
      <c r="A217">
        <v>2023</v>
      </c>
      <c r="B217" t="s">
        <v>16</v>
      </c>
      <c r="C217" t="s">
        <v>59</v>
      </c>
      <c r="D217">
        <v>80555000</v>
      </c>
      <c r="F217" t="s">
        <v>84</v>
      </c>
      <c r="G217" t="str" cm="1">
        <f t="array" ref="G217">_xlfn.LET(
    _xlpm.r, TRIM(B217),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217" t="str" cm="1">
        <f t="array" ref="H217">_xlfn.LET(
     _xlpm.r, TRIM(C217),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18" spans="1:8" x14ac:dyDescent="0.25">
      <c r="A218">
        <v>2023</v>
      </c>
      <c r="B218" t="s">
        <v>16</v>
      </c>
      <c r="C218" t="s">
        <v>59</v>
      </c>
      <c r="D218">
        <v>0</v>
      </c>
      <c r="F218" t="s">
        <v>84</v>
      </c>
      <c r="G218" t="str" cm="1">
        <f t="array" ref="G218">_xlfn.LET(
    _xlpm.r, TRIM(B218),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218" t="str" cm="1">
        <f t="array" ref="H218">_xlfn.LET(
     _xlpm.r, TRIM(C218),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19" spans="1:8" x14ac:dyDescent="0.25">
      <c r="A219">
        <v>2023</v>
      </c>
      <c r="B219" t="s">
        <v>16</v>
      </c>
      <c r="C219" t="s">
        <v>59</v>
      </c>
      <c r="D219">
        <v>0</v>
      </c>
      <c r="F219" t="s">
        <v>84</v>
      </c>
      <c r="G219" t="str" cm="1">
        <f t="array" ref="G219">_xlfn.LET(
    _xlpm.r, TRIM(B219),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219" t="str" cm="1">
        <f t="array" ref="H219">_xlfn.LET(
     _xlpm.r, TRIM(C219),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20" spans="1:8" x14ac:dyDescent="0.25">
      <c r="A220">
        <v>2023</v>
      </c>
      <c r="B220" t="s">
        <v>16</v>
      </c>
      <c r="C220" t="s">
        <v>59</v>
      </c>
      <c r="D220">
        <v>0</v>
      </c>
      <c r="F220" t="s">
        <v>84</v>
      </c>
      <c r="G220" t="str" cm="1">
        <f t="array" ref="G220">_xlfn.LET(
    _xlpm.r, TRIM(B220),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220" t="str" cm="1">
        <f t="array" ref="H220">_xlfn.LET(
     _xlpm.r, TRIM(C220),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21" spans="1:8" x14ac:dyDescent="0.25">
      <c r="A221">
        <v>2023</v>
      </c>
      <c r="B221" t="s">
        <v>16</v>
      </c>
      <c r="C221" t="s">
        <v>59</v>
      </c>
      <c r="D221">
        <v>0</v>
      </c>
      <c r="F221" t="s">
        <v>84</v>
      </c>
      <c r="G221" t="str" cm="1">
        <f t="array" ref="G221">_xlfn.LET(
    _xlpm.r, TRIM(B221),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221" t="str" cm="1">
        <f t="array" ref="H221">_xlfn.LET(
     _xlpm.r, TRIM(C221),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22" spans="1:8" x14ac:dyDescent="0.25">
      <c r="A222">
        <v>2023</v>
      </c>
      <c r="B222" t="s">
        <v>17</v>
      </c>
      <c r="C222" t="s">
        <v>59</v>
      </c>
      <c r="D222">
        <v>1130000</v>
      </c>
      <c r="F222" t="s">
        <v>85</v>
      </c>
      <c r="G222" t="str" cm="1">
        <f t="array" ref="G222">_xlfn.LET(
    _xlpm.r, TRIM(B222),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222" t="str" cm="1">
        <f t="array" ref="H222">_xlfn.LET(
     _xlpm.r, TRIM(C222),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23" spans="1:8" x14ac:dyDescent="0.25">
      <c r="A223">
        <v>2023</v>
      </c>
      <c r="B223" t="s">
        <v>17</v>
      </c>
      <c r="C223" t="s">
        <v>59</v>
      </c>
      <c r="D223">
        <v>0</v>
      </c>
      <c r="F223" t="s">
        <v>85</v>
      </c>
      <c r="G223" t="str" cm="1">
        <f t="array" ref="G223">_xlfn.LET(
    _xlpm.r, TRIM(B223),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223" t="str" cm="1">
        <f t="array" ref="H223">_xlfn.LET(
     _xlpm.r, TRIM(C223),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24" spans="1:8" x14ac:dyDescent="0.25">
      <c r="A224">
        <v>2023</v>
      </c>
      <c r="B224" t="s">
        <v>17</v>
      </c>
      <c r="C224" t="s">
        <v>59</v>
      </c>
      <c r="D224">
        <v>0</v>
      </c>
      <c r="F224" t="s">
        <v>85</v>
      </c>
      <c r="G224" t="str" cm="1">
        <f t="array" ref="G224">_xlfn.LET(
    _xlpm.r, TRIM(B224),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224" t="str" cm="1">
        <f t="array" ref="H224">_xlfn.LET(
     _xlpm.r, TRIM(C224),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25" spans="1:8" x14ac:dyDescent="0.25">
      <c r="A225">
        <v>2023</v>
      </c>
      <c r="B225" t="s">
        <v>18</v>
      </c>
      <c r="C225" t="s">
        <v>59</v>
      </c>
      <c r="D225">
        <v>456000000</v>
      </c>
      <c r="F225" t="s">
        <v>86</v>
      </c>
      <c r="G225" t="str" cm="1">
        <f t="array" ref="G225">_xlfn.LET(
    _xlpm.r, TRIM(B225),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225" t="str" cm="1">
        <f t="array" ref="H225">_xlfn.LET(
     _xlpm.r, TRIM(C225),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26" spans="1:8" x14ac:dyDescent="0.25">
      <c r="A226">
        <v>2023</v>
      </c>
      <c r="B226" t="s">
        <v>18</v>
      </c>
      <c r="C226" t="s">
        <v>59</v>
      </c>
      <c r="D226">
        <v>0</v>
      </c>
      <c r="F226" t="s">
        <v>86</v>
      </c>
      <c r="G226" t="str" cm="1">
        <f t="array" ref="G226">_xlfn.LET(
    _xlpm.r, TRIM(B226),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226" t="str" cm="1">
        <f t="array" ref="H226">_xlfn.LET(
     _xlpm.r, TRIM(C226),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27" spans="1:8" x14ac:dyDescent="0.25">
      <c r="A227">
        <v>2023</v>
      </c>
      <c r="B227" t="s">
        <v>18</v>
      </c>
      <c r="C227" t="s">
        <v>59</v>
      </c>
      <c r="D227">
        <v>0</v>
      </c>
      <c r="F227" t="s">
        <v>86</v>
      </c>
      <c r="G227" t="str" cm="1">
        <f t="array" ref="G227">_xlfn.LET(
    _xlpm.r, TRIM(B227),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227" t="str" cm="1">
        <f t="array" ref="H227">_xlfn.LET(
     _xlpm.r, TRIM(C227),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28" spans="1:8" x14ac:dyDescent="0.25">
      <c r="A228">
        <v>2023</v>
      </c>
      <c r="B228" t="s">
        <v>21</v>
      </c>
      <c r="C228" t="s">
        <v>59</v>
      </c>
      <c r="D228">
        <v>4800000000</v>
      </c>
      <c r="F228" t="s">
        <v>88</v>
      </c>
      <c r="G228" t="str" cm="1">
        <f t="array" ref="G228">_xlfn.LET(
    _xlpm.r, TRIM(B228),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228" t="str" cm="1">
        <f t="array" ref="H228">_xlfn.LET(
     _xlpm.r, TRIM(C228),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29" spans="1:8" x14ac:dyDescent="0.25">
      <c r="A229">
        <v>2023</v>
      </c>
      <c r="B229" t="s">
        <v>21</v>
      </c>
      <c r="C229" t="s">
        <v>61</v>
      </c>
      <c r="D229">
        <v>0</v>
      </c>
      <c r="F229" t="s">
        <v>88</v>
      </c>
      <c r="G229" t="str" cm="1">
        <f t="array" ref="G229">_xlfn.LET(
    _xlpm.r, TRIM(B229),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229" t="str" cm="1">
        <f t="array" ref="H229">_xlfn.LET(
     _xlpm.r, TRIM(C229),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الضرائب</v>
      </c>
    </row>
    <row r="230" spans="1:8" x14ac:dyDescent="0.25">
      <c r="A230">
        <v>2023</v>
      </c>
      <c r="B230" t="s">
        <v>21</v>
      </c>
      <c r="C230" t="s">
        <v>59</v>
      </c>
      <c r="D230">
        <v>0</v>
      </c>
      <c r="F230" t="s">
        <v>88</v>
      </c>
      <c r="G230" t="str" cm="1">
        <f t="array" ref="G230">_xlfn.LET(
    _xlpm.r, TRIM(B230),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230" t="str" cm="1">
        <f t="array" ref="H230">_xlfn.LET(
     _xlpm.r, TRIM(C230),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31" spans="1:8" x14ac:dyDescent="0.25">
      <c r="A231">
        <v>2023</v>
      </c>
      <c r="B231" t="s">
        <v>21</v>
      </c>
      <c r="C231" t="s">
        <v>59</v>
      </c>
      <c r="D231">
        <v>0</v>
      </c>
      <c r="F231" t="s">
        <v>88</v>
      </c>
      <c r="G231" t="str" cm="1">
        <f t="array" ref="G231">_xlfn.LET(
    _xlpm.r, TRIM(B231),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231" t="str" cm="1">
        <f t="array" ref="H231">_xlfn.LET(
     _xlpm.r, TRIM(C231),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32" spans="1:8" x14ac:dyDescent="0.25">
      <c r="A232">
        <v>2023</v>
      </c>
      <c r="B232" t="s">
        <v>21</v>
      </c>
      <c r="C232" t="s">
        <v>59</v>
      </c>
      <c r="D232">
        <v>0</v>
      </c>
      <c r="F232" t="s">
        <v>88</v>
      </c>
      <c r="G232" t="str" cm="1">
        <f t="array" ref="G232">_xlfn.LET(
    _xlpm.r, TRIM(B232),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232" t="str" cm="1">
        <f t="array" ref="H232">_xlfn.LET(
     _xlpm.r, TRIM(C232),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33" spans="1:8" x14ac:dyDescent="0.25">
      <c r="A233">
        <v>2023</v>
      </c>
      <c r="B233" t="s">
        <v>21</v>
      </c>
      <c r="C233" t="s">
        <v>59</v>
      </c>
      <c r="D233">
        <v>0</v>
      </c>
      <c r="F233" t="s">
        <v>88</v>
      </c>
      <c r="G233" t="str" cm="1">
        <f t="array" ref="G233">_xlfn.LET(
    _xlpm.r, TRIM(B233),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233" t="str" cm="1">
        <f t="array" ref="H233">_xlfn.LET(
     _xlpm.r, TRIM(C233),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34" spans="1:8" x14ac:dyDescent="0.25">
      <c r="A234">
        <v>2023</v>
      </c>
      <c r="B234" t="s">
        <v>21</v>
      </c>
      <c r="C234" t="s">
        <v>59</v>
      </c>
      <c r="D234">
        <v>0</v>
      </c>
      <c r="F234" t="s">
        <v>88</v>
      </c>
      <c r="G234" t="str" cm="1">
        <f t="array" ref="G234">_xlfn.LET(
    _xlpm.r, TRIM(B234),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234" t="str" cm="1">
        <f t="array" ref="H234">_xlfn.LET(
     _xlpm.r, TRIM(C234),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35" spans="1:8" x14ac:dyDescent="0.25">
      <c r="A235">
        <v>2023</v>
      </c>
      <c r="B235" t="s">
        <v>21</v>
      </c>
      <c r="C235" t="s">
        <v>59</v>
      </c>
      <c r="D235">
        <v>0</v>
      </c>
      <c r="F235" t="s">
        <v>88</v>
      </c>
      <c r="G235" t="str" cm="1">
        <f t="array" ref="G235">_xlfn.LET(
    _xlpm.r, TRIM(B235),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235" t="str" cm="1">
        <f t="array" ref="H235">_xlfn.LET(
     _xlpm.r, TRIM(C235),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36" spans="1:8" x14ac:dyDescent="0.25">
      <c r="A236">
        <v>2023</v>
      </c>
      <c r="B236" t="s">
        <v>21</v>
      </c>
      <c r="C236" t="s">
        <v>59</v>
      </c>
      <c r="D236">
        <v>0</v>
      </c>
      <c r="F236" t="s">
        <v>88</v>
      </c>
      <c r="G236" t="str" cm="1">
        <f t="array" ref="G236">_xlfn.LET(
    _xlpm.r, TRIM(B236),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236" t="str" cm="1">
        <f t="array" ref="H236">_xlfn.LET(
     _xlpm.r, TRIM(C236),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37" spans="1:8" x14ac:dyDescent="0.25">
      <c r="A237">
        <v>2023</v>
      </c>
      <c r="B237" t="s">
        <v>21</v>
      </c>
      <c r="C237" t="s">
        <v>59</v>
      </c>
      <c r="D237">
        <v>0</v>
      </c>
      <c r="F237" t="s">
        <v>88</v>
      </c>
      <c r="G237" t="str" cm="1">
        <f t="array" ref="G237">_xlfn.LET(
    _xlpm.r, TRIM(B237),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237" t="str" cm="1">
        <f t="array" ref="H237">_xlfn.LET(
     _xlpm.r, TRIM(C237),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38" spans="1:8" x14ac:dyDescent="0.25">
      <c r="A238">
        <v>2023</v>
      </c>
      <c r="B238" t="s">
        <v>22</v>
      </c>
      <c r="C238" t="s">
        <v>59</v>
      </c>
      <c r="D238">
        <v>232000000</v>
      </c>
      <c r="F238" t="s">
        <v>89</v>
      </c>
      <c r="G238" t="str" cm="1">
        <f t="array" ref="G238">_xlfn.LET(
    _xlpm.r, TRIM(B238),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238" t="str" cm="1">
        <f t="array" ref="H238">_xlfn.LET(
     _xlpm.r, TRIM(C238),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39" spans="1:8" x14ac:dyDescent="0.25">
      <c r="A239">
        <v>2023</v>
      </c>
      <c r="B239" t="s">
        <v>22</v>
      </c>
      <c r="C239" t="s">
        <v>59</v>
      </c>
      <c r="D239">
        <v>0</v>
      </c>
      <c r="F239" t="s">
        <v>89</v>
      </c>
      <c r="G239" t="str" cm="1">
        <f t="array" ref="G239">_xlfn.LET(
    _xlpm.r, TRIM(B239),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239" t="str" cm="1">
        <f t="array" ref="H239">_xlfn.LET(
     _xlpm.r, TRIM(C239),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40" spans="1:8" x14ac:dyDescent="0.25">
      <c r="A240">
        <v>2023</v>
      </c>
      <c r="B240" t="s">
        <v>22</v>
      </c>
      <c r="C240" t="s">
        <v>59</v>
      </c>
      <c r="D240">
        <v>0</v>
      </c>
      <c r="F240" t="s">
        <v>89</v>
      </c>
      <c r="G240" t="str" cm="1">
        <f t="array" ref="G240">_xlfn.LET(
    _xlpm.r, TRIM(B240),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240" t="str" cm="1">
        <f t="array" ref="H240">_xlfn.LET(
     _xlpm.r, TRIM(C240),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41" spans="1:8" x14ac:dyDescent="0.25">
      <c r="A241">
        <v>2023</v>
      </c>
      <c r="B241" t="s">
        <v>23</v>
      </c>
      <c r="C241" t="s">
        <v>59</v>
      </c>
      <c r="D241">
        <v>97329000</v>
      </c>
      <c r="F241" t="s">
        <v>90</v>
      </c>
      <c r="G241" t="str" cm="1">
        <f t="array" ref="G241">_xlfn.LET(
    _xlpm.r, TRIM(B241),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241" t="str" cm="1">
        <f t="array" ref="H241">_xlfn.LET(
     _xlpm.r, TRIM(C241),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42" spans="1:8" x14ac:dyDescent="0.25">
      <c r="A242">
        <v>2023</v>
      </c>
      <c r="B242" t="s">
        <v>23</v>
      </c>
      <c r="C242" t="s">
        <v>59</v>
      </c>
      <c r="D242">
        <v>0</v>
      </c>
      <c r="F242" t="s">
        <v>90</v>
      </c>
      <c r="G242" t="str" cm="1">
        <f t="array" ref="G242">_xlfn.LET(
    _xlpm.r, TRIM(B242),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242" t="str" cm="1">
        <f t="array" ref="H242">_xlfn.LET(
     _xlpm.r, TRIM(C242),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43" spans="1:8" x14ac:dyDescent="0.25">
      <c r="A243">
        <v>2023</v>
      </c>
      <c r="B243" t="s">
        <v>23</v>
      </c>
      <c r="C243" t="s">
        <v>59</v>
      </c>
      <c r="D243">
        <v>0</v>
      </c>
      <c r="F243" t="s">
        <v>90</v>
      </c>
      <c r="G243" t="str" cm="1">
        <f t="array" ref="G243">_xlfn.LET(
    _xlpm.r, TRIM(B243),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243" t="str" cm="1">
        <f t="array" ref="H243">_xlfn.LET(
     _xlpm.r, TRIM(C243),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44" spans="1:8" x14ac:dyDescent="0.25">
      <c r="A244">
        <v>2023</v>
      </c>
      <c r="B244" t="s">
        <v>24</v>
      </c>
      <c r="C244" t="s">
        <v>59</v>
      </c>
      <c r="D244">
        <v>850000</v>
      </c>
      <c r="F244" t="s">
        <v>91</v>
      </c>
      <c r="G244" t="str" cm="1">
        <f t="array" ref="G244">_xlfn.LET(
    _xlpm.r, TRIM(B244),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244" t="str" cm="1">
        <f t="array" ref="H244">_xlfn.LET(
     _xlpm.r, TRIM(C244),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45" spans="1:8" x14ac:dyDescent="0.25">
      <c r="A245">
        <v>2023</v>
      </c>
      <c r="B245" t="s">
        <v>24</v>
      </c>
      <c r="C245" t="s">
        <v>59</v>
      </c>
      <c r="D245">
        <v>0</v>
      </c>
      <c r="F245" t="s">
        <v>91</v>
      </c>
      <c r="G245" t="str" cm="1">
        <f t="array" ref="G245">_xlfn.LET(
    _xlpm.r, TRIM(B245),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245" t="str" cm="1">
        <f t="array" ref="H245">_xlfn.LET(
     _xlpm.r, TRIM(C245),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46" spans="1:8" x14ac:dyDescent="0.25">
      <c r="A246">
        <v>2023</v>
      </c>
      <c r="B246" t="s">
        <v>25</v>
      </c>
      <c r="C246" t="s">
        <v>59</v>
      </c>
      <c r="D246">
        <v>0</v>
      </c>
      <c r="F246" t="s">
        <v>92</v>
      </c>
      <c r="G246" t="str" cm="1">
        <f t="array" ref="G246">_xlfn.LET(
    _xlpm.r, TRIM(B246),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246" t="str" cm="1">
        <f t="array" ref="H246">_xlfn.LET(
     _xlpm.r, TRIM(C246),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47" spans="1:8" x14ac:dyDescent="0.25">
      <c r="A247">
        <v>2023</v>
      </c>
      <c r="B247" t="s">
        <v>25</v>
      </c>
      <c r="C247" t="s">
        <v>59</v>
      </c>
      <c r="D247">
        <v>0</v>
      </c>
      <c r="F247" t="s">
        <v>92</v>
      </c>
      <c r="G247" t="str" cm="1">
        <f t="array" ref="G247">_xlfn.LET(
    _xlpm.r, TRIM(B247),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247" t="str" cm="1">
        <f t="array" ref="H247">_xlfn.LET(
     _xlpm.r, TRIM(C247),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48" spans="1:8" x14ac:dyDescent="0.25">
      <c r="A248">
        <v>2023</v>
      </c>
      <c r="B248" t="s">
        <v>28</v>
      </c>
      <c r="C248" t="s">
        <v>61</v>
      </c>
      <c r="D248">
        <v>9653400000</v>
      </c>
      <c r="F248" t="s">
        <v>95</v>
      </c>
      <c r="G248" t="str" cm="1">
        <f t="array" ref="G248">_xlfn.LET(
    _xlpm.r, TRIM(B248),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48" t="str" cm="1">
        <f t="array" ref="H248">_xlfn.LET(
     _xlpm.r, TRIM(C248),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الضرائب</v>
      </c>
    </row>
    <row r="249" spans="1:8" x14ac:dyDescent="0.25">
      <c r="A249">
        <v>2023</v>
      </c>
      <c r="B249" t="s">
        <v>28</v>
      </c>
      <c r="C249" t="s">
        <v>60</v>
      </c>
      <c r="D249">
        <v>450000000</v>
      </c>
      <c r="F249" t="s">
        <v>95</v>
      </c>
      <c r="G249" t="str" cm="1">
        <f t="array" ref="G249">_xlfn.LET(
    _xlpm.r, TRIM(B249),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49" t="str" cm="1">
        <f t="array" ref="H249">_xlfn.LET(
     _xlpm.r, TRIM(C249),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250" spans="1:8" x14ac:dyDescent="0.25">
      <c r="A250">
        <v>2023</v>
      </c>
      <c r="B250" t="s">
        <v>28</v>
      </c>
      <c r="C250" t="s">
        <v>62</v>
      </c>
      <c r="D250">
        <v>19000919000</v>
      </c>
      <c r="F250" t="s">
        <v>95</v>
      </c>
      <c r="G250" t="str" cm="1">
        <f t="array" ref="G250">_xlfn.LET(
    _xlpm.r, TRIM(B250),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50" t="str" cm="1">
        <f t="array" ref="H250">_xlfn.LET(
     _xlpm.r, TRIM(C250),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251" spans="1:8" x14ac:dyDescent="0.25">
      <c r="A251">
        <v>2023</v>
      </c>
      <c r="B251" t="s">
        <v>28</v>
      </c>
      <c r="C251" t="s">
        <v>59</v>
      </c>
      <c r="D251">
        <v>23892735000</v>
      </c>
      <c r="F251" t="s">
        <v>95</v>
      </c>
      <c r="G251" t="str" cm="1">
        <f t="array" ref="G251">_xlfn.LET(
    _xlpm.r, TRIM(B251),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51" t="str" cm="1">
        <f t="array" ref="H251">_xlfn.LET(
     _xlpm.r, TRIM(C251),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52" spans="1:8" x14ac:dyDescent="0.25">
      <c r="A252">
        <v>2023</v>
      </c>
      <c r="B252" t="s">
        <v>28</v>
      </c>
      <c r="C252" t="s">
        <v>61</v>
      </c>
      <c r="D252">
        <v>0</v>
      </c>
      <c r="F252" t="s">
        <v>95</v>
      </c>
      <c r="G252" t="str" cm="1">
        <f t="array" ref="G252">_xlfn.LET(
    _xlpm.r, TRIM(B252),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52" t="str" cm="1">
        <f t="array" ref="H252">_xlfn.LET(
     _xlpm.r, TRIM(C252),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الضرائب</v>
      </c>
    </row>
    <row r="253" spans="1:8" x14ac:dyDescent="0.25">
      <c r="A253">
        <v>2023</v>
      </c>
      <c r="B253" t="s">
        <v>28</v>
      </c>
      <c r="C253" t="s">
        <v>60</v>
      </c>
      <c r="D253">
        <v>0</v>
      </c>
      <c r="F253" t="s">
        <v>95</v>
      </c>
      <c r="G253" t="str" cm="1">
        <f t="array" ref="G253">_xlfn.LET(
    _xlpm.r, TRIM(B253),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53" t="str" cm="1">
        <f t="array" ref="H253">_xlfn.LET(
     _xlpm.r, TRIM(C253),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254" spans="1:8" x14ac:dyDescent="0.25">
      <c r="A254">
        <v>2023</v>
      </c>
      <c r="B254" t="s">
        <v>28</v>
      </c>
      <c r="C254" t="s">
        <v>60</v>
      </c>
      <c r="D254">
        <v>0</v>
      </c>
      <c r="F254" t="s">
        <v>95</v>
      </c>
      <c r="G254" t="str" cm="1">
        <f t="array" ref="G254">_xlfn.LET(
    _xlpm.r, TRIM(B254),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54" t="str" cm="1">
        <f t="array" ref="H254">_xlfn.LET(
     _xlpm.r, TRIM(C254),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255" spans="1:8" x14ac:dyDescent="0.25">
      <c r="A255">
        <v>2023</v>
      </c>
      <c r="B255" t="s">
        <v>28</v>
      </c>
      <c r="C255" t="s">
        <v>60</v>
      </c>
      <c r="D255">
        <v>0</v>
      </c>
      <c r="F255" t="s">
        <v>95</v>
      </c>
      <c r="G255" t="str" cm="1">
        <f t="array" ref="G255">_xlfn.LET(
    _xlpm.r, TRIM(B255),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55" t="str" cm="1">
        <f t="array" ref="H255">_xlfn.LET(
     _xlpm.r, TRIM(C255),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256" spans="1:8" x14ac:dyDescent="0.25">
      <c r="A256">
        <v>2023</v>
      </c>
      <c r="B256" t="s">
        <v>28</v>
      </c>
      <c r="C256" t="s">
        <v>60</v>
      </c>
      <c r="D256">
        <v>0</v>
      </c>
      <c r="F256" t="s">
        <v>95</v>
      </c>
      <c r="G256" t="str" cm="1">
        <f t="array" ref="G256">_xlfn.LET(
    _xlpm.r, TRIM(B256),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56" t="str" cm="1">
        <f t="array" ref="H256">_xlfn.LET(
     _xlpm.r, TRIM(C256),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257" spans="1:8" x14ac:dyDescent="0.25">
      <c r="A257">
        <v>2023</v>
      </c>
      <c r="B257" t="s">
        <v>28</v>
      </c>
      <c r="C257" t="s">
        <v>60</v>
      </c>
      <c r="D257">
        <v>0</v>
      </c>
      <c r="F257" t="s">
        <v>95</v>
      </c>
      <c r="G257" t="str" cm="1">
        <f t="array" ref="G257">_xlfn.LET(
    _xlpm.r, TRIM(B257),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57" t="str" cm="1">
        <f t="array" ref="H257">_xlfn.LET(
     _xlpm.r, TRIM(C257),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258" spans="1:8" x14ac:dyDescent="0.25">
      <c r="A258">
        <v>2023</v>
      </c>
      <c r="B258" t="s">
        <v>28</v>
      </c>
      <c r="C258" t="s">
        <v>60</v>
      </c>
      <c r="D258">
        <v>0</v>
      </c>
      <c r="F258" t="s">
        <v>95</v>
      </c>
      <c r="G258" t="str" cm="1">
        <f t="array" ref="G258">_xlfn.LET(
    _xlpm.r, TRIM(B258),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58" t="str" cm="1">
        <f t="array" ref="H258">_xlfn.LET(
     _xlpm.r, TRIM(C258),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259" spans="1:8" x14ac:dyDescent="0.25">
      <c r="A259">
        <v>2023</v>
      </c>
      <c r="B259" t="s">
        <v>28</v>
      </c>
      <c r="C259" t="s">
        <v>60</v>
      </c>
      <c r="D259">
        <v>0</v>
      </c>
      <c r="F259" t="s">
        <v>95</v>
      </c>
      <c r="G259" t="str" cm="1">
        <f t="array" ref="G259">_xlfn.LET(
    _xlpm.r, TRIM(B259),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59" t="str" cm="1">
        <f t="array" ref="H259">_xlfn.LET(
     _xlpm.r, TRIM(C259),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260" spans="1:8" x14ac:dyDescent="0.25">
      <c r="A260">
        <v>2023</v>
      </c>
      <c r="B260" t="s">
        <v>28</v>
      </c>
      <c r="C260" t="s">
        <v>60</v>
      </c>
      <c r="D260">
        <v>0</v>
      </c>
      <c r="F260" t="s">
        <v>95</v>
      </c>
      <c r="G260" t="str" cm="1">
        <f t="array" ref="G260">_xlfn.LET(
    _xlpm.r, TRIM(B260),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60" t="str" cm="1">
        <f t="array" ref="H260">_xlfn.LET(
     _xlpm.r, TRIM(C260),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261" spans="1:8" x14ac:dyDescent="0.25">
      <c r="A261">
        <v>2023</v>
      </c>
      <c r="B261" t="s">
        <v>28</v>
      </c>
      <c r="C261" t="s">
        <v>60</v>
      </c>
      <c r="D261">
        <v>0</v>
      </c>
      <c r="F261" t="s">
        <v>95</v>
      </c>
      <c r="G261" t="str" cm="1">
        <f t="array" ref="G261">_xlfn.LET(
    _xlpm.r, TRIM(B261),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61" t="str" cm="1">
        <f t="array" ref="H261">_xlfn.LET(
     _xlpm.r, TRIM(C261),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262" spans="1:8" x14ac:dyDescent="0.25">
      <c r="A262">
        <v>2023</v>
      </c>
      <c r="B262" t="s">
        <v>28</v>
      </c>
      <c r="C262" t="s">
        <v>60</v>
      </c>
      <c r="D262">
        <v>0</v>
      </c>
      <c r="F262" t="s">
        <v>95</v>
      </c>
      <c r="G262" t="str" cm="1">
        <f t="array" ref="G262">_xlfn.LET(
    _xlpm.r, TRIM(B262),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62" t="str" cm="1">
        <f t="array" ref="H262">_xlfn.LET(
     _xlpm.r, TRIM(C262),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263" spans="1:8" x14ac:dyDescent="0.25">
      <c r="A263">
        <v>2023</v>
      </c>
      <c r="B263" t="s">
        <v>28</v>
      </c>
      <c r="C263" t="s">
        <v>60</v>
      </c>
      <c r="D263">
        <v>0</v>
      </c>
      <c r="F263" t="s">
        <v>95</v>
      </c>
      <c r="G263" t="str" cm="1">
        <f t="array" ref="G263">_xlfn.LET(
    _xlpm.r, TRIM(B263),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63" t="str" cm="1">
        <f t="array" ref="H263">_xlfn.LET(
     _xlpm.r, TRIM(C263),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264" spans="1:8" x14ac:dyDescent="0.25">
      <c r="A264">
        <v>2023</v>
      </c>
      <c r="B264" t="s">
        <v>28</v>
      </c>
      <c r="C264" t="s">
        <v>60</v>
      </c>
      <c r="D264">
        <v>0</v>
      </c>
      <c r="F264" t="s">
        <v>95</v>
      </c>
      <c r="G264" t="str" cm="1">
        <f t="array" ref="G264">_xlfn.LET(
    _xlpm.r, TRIM(B264),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64" t="str" cm="1">
        <f t="array" ref="H264">_xlfn.LET(
     _xlpm.r, TRIM(C264),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265" spans="1:8" x14ac:dyDescent="0.25">
      <c r="A265">
        <v>2023</v>
      </c>
      <c r="B265" t="s">
        <v>28</v>
      </c>
      <c r="C265" t="s">
        <v>62</v>
      </c>
      <c r="D265">
        <v>0</v>
      </c>
      <c r="F265" t="s">
        <v>95</v>
      </c>
      <c r="G265" t="str" cm="1">
        <f t="array" ref="G265">_xlfn.LET(
    _xlpm.r, TRIM(B265),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65" t="str" cm="1">
        <f t="array" ref="H265">_xlfn.LET(
     _xlpm.r, TRIM(C265),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266" spans="1:8" x14ac:dyDescent="0.25">
      <c r="A266">
        <v>2023</v>
      </c>
      <c r="B266" t="s">
        <v>28</v>
      </c>
      <c r="C266" t="s">
        <v>59</v>
      </c>
      <c r="D266">
        <v>0</v>
      </c>
      <c r="F266" t="s">
        <v>95</v>
      </c>
      <c r="G266" t="str" cm="1">
        <f t="array" ref="G266">_xlfn.LET(
    _xlpm.r, TRIM(B266),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66" t="str" cm="1">
        <f t="array" ref="H266">_xlfn.LET(
     _xlpm.r, TRIM(C266),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67" spans="1:8" x14ac:dyDescent="0.25">
      <c r="A267">
        <v>2023</v>
      </c>
      <c r="B267" t="s">
        <v>28</v>
      </c>
      <c r="C267" t="s">
        <v>59</v>
      </c>
      <c r="D267">
        <v>0</v>
      </c>
      <c r="F267" t="s">
        <v>95</v>
      </c>
      <c r="G267" t="str" cm="1">
        <f t="array" ref="G267">_xlfn.LET(
    _xlpm.r, TRIM(B267),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67" t="str" cm="1">
        <f t="array" ref="H267">_xlfn.LET(
     _xlpm.r, TRIM(C267),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68" spans="1:8" x14ac:dyDescent="0.25">
      <c r="A268">
        <v>2023</v>
      </c>
      <c r="B268" t="s">
        <v>28</v>
      </c>
      <c r="C268" t="s">
        <v>59</v>
      </c>
      <c r="D268">
        <v>0</v>
      </c>
      <c r="F268" t="s">
        <v>95</v>
      </c>
      <c r="G268" t="str" cm="1">
        <f t="array" ref="G268">_xlfn.LET(
    _xlpm.r, TRIM(B268),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68" t="str" cm="1">
        <f t="array" ref="H268">_xlfn.LET(
     _xlpm.r, TRIM(C268),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69" spans="1:8" x14ac:dyDescent="0.25">
      <c r="A269">
        <v>2023</v>
      </c>
      <c r="B269" t="s">
        <v>28</v>
      </c>
      <c r="C269" t="s">
        <v>59</v>
      </c>
      <c r="D269">
        <v>0</v>
      </c>
      <c r="F269" t="s">
        <v>95</v>
      </c>
      <c r="G269" t="str" cm="1">
        <f t="array" ref="G269">_xlfn.LET(
    _xlpm.r, TRIM(B269),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69" t="str" cm="1">
        <f t="array" ref="H269">_xlfn.LET(
     _xlpm.r, TRIM(C269),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70" spans="1:8" x14ac:dyDescent="0.25">
      <c r="A270">
        <v>2023</v>
      </c>
      <c r="B270" t="s">
        <v>28</v>
      </c>
      <c r="C270" t="s">
        <v>59</v>
      </c>
      <c r="D270">
        <v>0</v>
      </c>
      <c r="F270" t="s">
        <v>95</v>
      </c>
      <c r="G270" t="str" cm="1">
        <f t="array" ref="G270">_xlfn.LET(
    _xlpm.r, TRIM(B270),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70" t="str" cm="1">
        <f t="array" ref="H270">_xlfn.LET(
     _xlpm.r, TRIM(C270),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71" spans="1:8" x14ac:dyDescent="0.25">
      <c r="A271">
        <v>2023</v>
      </c>
      <c r="B271" t="s">
        <v>28</v>
      </c>
      <c r="C271" t="s">
        <v>59</v>
      </c>
      <c r="D271">
        <v>0</v>
      </c>
      <c r="F271" t="s">
        <v>95</v>
      </c>
      <c r="G271" t="str" cm="1">
        <f t="array" ref="G271">_xlfn.LET(
    _xlpm.r, TRIM(B271),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71" t="str" cm="1">
        <f t="array" ref="H271">_xlfn.LET(
     _xlpm.r, TRIM(C271),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72" spans="1:8" x14ac:dyDescent="0.25">
      <c r="A272">
        <v>2023</v>
      </c>
      <c r="B272" t="s">
        <v>28</v>
      </c>
      <c r="C272" t="s">
        <v>59</v>
      </c>
      <c r="D272">
        <v>0</v>
      </c>
      <c r="F272" t="s">
        <v>95</v>
      </c>
      <c r="G272" t="str" cm="1">
        <f t="array" ref="G272">_xlfn.LET(
    _xlpm.r, TRIM(B272),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72" t="str" cm="1">
        <f t="array" ref="H272">_xlfn.LET(
     _xlpm.r, TRIM(C272),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73" spans="1:8" x14ac:dyDescent="0.25">
      <c r="A273">
        <v>2023</v>
      </c>
      <c r="B273" t="s">
        <v>28</v>
      </c>
      <c r="C273" t="s">
        <v>59</v>
      </c>
      <c r="D273">
        <v>0</v>
      </c>
      <c r="F273" t="s">
        <v>95</v>
      </c>
      <c r="G273" t="str" cm="1">
        <f t="array" ref="G273">_xlfn.LET(
    _xlpm.r, TRIM(B273),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73" t="str" cm="1">
        <f t="array" ref="H273">_xlfn.LET(
     _xlpm.r, TRIM(C273),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74" spans="1:8" x14ac:dyDescent="0.25">
      <c r="A274">
        <v>2023</v>
      </c>
      <c r="B274" t="s">
        <v>28</v>
      </c>
      <c r="C274" t="s">
        <v>59</v>
      </c>
      <c r="D274">
        <v>0</v>
      </c>
      <c r="F274" t="s">
        <v>95</v>
      </c>
      <c r="G274" t="str" cm="1">
        <f t="array" ref="G274">_xlfn.LET(
    _xlpm.r, TRIM(B274),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274" t="str" cm="1">
        <f t="array" ref="H274">_xlfn.LET(
     _xlpm.r, TRIM(C274),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75" spans="1:8" x14ac:dyDescent="0.25">
      <c r="A275">
        <v>2023</v>
      </c>
      <c r="B275" t="s">
        <v>32</v>
      </c>
      <c r="C275" t="s">
        <v>62</v>
      </c>
      <c r="D275">
        <v>0</v>
      </c>
      <c r="F275" t="s">
        <v>96</v>
      </c>
      <c r="G275" t="str" cm="1">
        <f t="array" ref="G275">_xlfn.LET(
    _xlpm.r, TRIM(B275),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مكتب نائب الرئيس للشؤون السياسية</v>
      </c>
      <c r="H275" t="str" cm="1">
        <f t="array" ref="H275">_xlfn.LET(
     _xlpm.r, TRIM(C275),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276" spans="1:8" x14ac:dyDescent="0.25">
      <c r="A276">
        <v>2023</v>
      </c>
      <c r="B276" t="s">
        <v>33</v>
      </c>
      <c r="C276" t="s">
        <v>59</v>
      </c>
      <c r="D276">
        <v>41366000</v>
      </c>
      <c r="F276" t="s">
        <v>97</v>
      </c>
      <c r="G276" t="str" cm="1">
        <f t="array" ref="G276">_xlfn.LET(
    _xlpm.r, TRIM(B276),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276" t="str" cm="1">
        <f t="array" ref="H276">_xlfn.LET(
     _xlpm.r, TRIM(C276),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77" spans="1:8" x14ac:dyDescent="0.25">
      <c r="A277">
        <v>2023</v>
      </c>
      <c r="B277" t="s">
        <v>33</v>
      </c>
      <c r="C277" t="s">
        <v>62</v>
      </c>
      <c r="D277">
        <v>0</v>
      </c>
      <c r="F277" t="s">
        <v>97</v>
      </c>
      <c r="G277" t="str" cm="1">
        <f t="array" ref="G277">_xlfn.LET(
    _xlpm.r, TRIM(B277),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277" t="str" cm="1">
        <f t="array" ref="H277">_xlfn.LET(
     _xlpm.r, TRIM(C277),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278" spans="1:8" x14ac:dyDescent="0.25">
      <c r="A278">
        <v>2023</v>
      </c>
      <c r="B278" t="s">
        <v>33</v>
      </c>
      <c r="C278" t="s">
        <v>59</v>
      </c>
      <c r="D278">
        <v>0</v>
      </c>
      <c r="F278" t="s">
        <v>97</v>
      </c>
      <c r="G278" t="str" cm="1">
        <f t="array" ref="G278">_xlfn.LET(
    _xlpm.r, TRIM(B278),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278" t="str" cm="1">
        <f t="array" ref="H278">_xlfn.LET(
     _xlpm.r, TRIM(C278),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79" spans="1:8" x14ac:dyDescent="0.25">
      <c r="A279">
        <v>2023</v>
      </c>
      <c r="B279" t="s">
        <v>34</v>
      </c>
      <c r="C279" t="s">
        <v>59</v>
      </c>
      <c r="D279">
        <v>505760000</v>
      </c>
      <c r="F279" t="s">
        <v>98</v>
      </c>
      <c r="G279" t="str" cm="1">
        <f t="array" ref="G279">_xlfn.LET(
    _xlpm.r, TRIM(B279),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279" t="str" cm="1">
        <f t="array" ref="H279">_xlfn.LET(
     _xlpm.r, TRIM(C279),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80" spans="1:8" x14ac:dyDescent="0.25">
      <c r="A280">
        <v>2023</v>
      </c>
      <c r="B280" t="s">
        <v>34</v>
      </c>
      <c r="C280" t="s">
        <v>62</v>
      </c>
      <c r="D280">
        <v>0</v>
      </c>
      <c r="F280" t="s">
        <v>98</v>
      </c>
      <c r="G280" t="str" cm="1">
        <f t="array" ref="G280">_xlfn.LET(
    _xlpm.r, TRIM(B280),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280" t="str" cm="1">
        <f t="array" ref="H280">_xlfn.LET(
     _xlpm.r, TRIM(C280),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281" spans="1:8" x14ac:dyDescent="0.25">
      <c r="A281">
        <v>2023</v>
      </c>
      <c r="B281" t="s">
        <v>34</v>
      </c>
      <c r="C281" t="s">
        <v>59</v>
      </c>
      <c r="D281">
        <v>0</v>
      </c>
      <c r="F281" t="s">
        <v>98</v>
      </c>
      <c r="G281" t="str" cm="1">
        <f t="array" ref="G281">_xlfn.LET(
    _xlpm.r, TRIM(B281),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281" t="str" cm="1">
        <f t="array" ref="H281">_xlfn.LET(
     _xlpm.r, TRIM(C281),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82" spans="1:8" x14ac:dyDescent="0.25">
      <c r="A282">
        <v>2023</v>
      </c>
      <c r="B282" t="s">
        <v>34</v>
      </c>
      <c r="C282" t="s">
        <v>59</v>
      </c>
      <c r="D282">
        <v>0</v>
      </c>
      <c r="F282" t="s">
        <v>98</v>
      </c>
      <c r="G282" t="str" cm="1">
        <f t="array" ref="G282">_xlfn.LET(
    _xlpm.r, TRIM(B282),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282" t="str" cm="1">
        <f t="array" ref="H282">_xlfn.LET(
     _xlpm.r, TRIM(C282),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83" spans="1:8" x14ac:dyDescent="0.25">
      <c r="A283">
        <v>2023</v>
      </c>
      <c r="B283" t="s">
        <v>34</v>
      </c>
      <c r="C283" t="s">
        <v>59</v>
      </c>
      <c r="D283">
        <v>0</v>
      </c>
      <c r="F283" t="s">
        <v>98</v>
      </c>
      <c r="G283" t="str" cm="1">
        <f t="array" ref="G283">_xlfn.LET(
    _xlpm.r, TRIM(B283),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283" t="str" cm="1">
        <f t="array" ref="H283">_xlfn.LET(
     _xlpm.r, TRIM(C283),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84" spans="1:8" x14ac:dyDescent="0.25">
      <c r="A284">
        <v>2023</v>
      </c>
      <c r="B284" t="s">
        <v>34</v>
      </c>
      <c r="C284" t="s">
        <v>59</v>
      </c>
      <c r="D284">
        <v>0</v>
      </c>
      <c r="F284" t="s">
        <v>98</v>
      </c>
      <c r="G284" t="str" cm="1">
        <f t="array" ref="G284">_xlfn.LET(
    _xlpm.r, TRIM(B284),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284" t="str" cm="1">
        <f t="array" ref="H284">_xlfn.LET(
     _xlpm.r, TRIM(C284),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85" spans="1:8" x14ac:dyDescent="0.25">
      <c r="A285">
        <v>2023</v>
      </c>
      <c r="B285" t="s">
        <v>34</v>
      </c>
      <c r="C285" t="s">
        <v>59</v>
      </c>
      <c r="D285">
        <v>0</v>
      </c>
      <c r="F285" t="s">
        <v>98</v>
      </c>
      <c r="G285" t="str" cm="1">
        <f t="array" ref="G285">_xlfn.LET(
    _xlpm.r, TRIM(B285),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285" t="str" cm="1">
        <f t="array" ref="H285">_xlfn.LET(
     _xlpm.r, TRIM(C285),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86" spans="1:8" x14ac:dyDescent="0.25">
      <c r="A286">
        <v>2023</v>
      </c>
      <c r="B286" t="s">
        <v>34</v>
      </c>
      <c r="C286" t="s">
        <v>59</v>
      </c>
      <c r="D286">
        <v>0</v>
      </c>
      <c r="F286" t="s">
        <v>98</v>
      </c>
      <c r="G286" t="str" cm="1">
        <f t="array" ref="G286">_xlfn.LET(
    _xlpm.r, TRIM(B286),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286" t="str" cm="1">
        <f t="array" ref="H286">_xlfn.LET(
     _xlpm.r, TRIM(C286),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87" spans="1:8" x14ac:dyDescent="0.25">
      <c r="A287">
        <v>2023</v>
      </c>
      <c r="B287" t="s">
        <v>34</v>
      </c>
      <c r="C287" t="s">
        <v>59</v>
      </c>
      <c r="D287">
        <v>0</v>
      </c>
      <c r="F287" t="s">
        <v>98</v>
      </c>
      <c r="G287" t="str" cm="1">
        <f t="array" ref="G287">_xlfn.LET(
    _xlpm.r, TRIM(B287),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287" t="str" cm="1">
        <f t="array" ref="H287">_xlfn.LET(
     _xlpm.r, TRIM(C287),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88" spans="1:8" x14ac:dyDescent="0.25">
      <c r="A288">
        <v>2023</v>
      </c>
      <c r="B288" t="s">
        <v>34</v>
      </c>
      <c r="C288" t="s">
        <v>59</v>
      </c>
      <c r="D288">
        <v>0</v>
      </c>
      <c r="F288" t="s">
        <v>98</v>
      </c>
      <c r="G288" t="str" cm="1">
        <f t="array" ref="G288">_xlfn.LET(
    _xlpm.r, TRIM(B288),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288" t="str" cm="1">
        <f t="array" ref="H288">_xlfn.LET(
     _xlpm.r, TRIM(C288),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89" spans="1:8" x14ac:dyDescent="0.25">
      <c r="A289">
        <v>2023</v>
      </c>
      <c r="B289" t="s">
        <v>35</v>
      </c>
      <c r="C289" t="s">
        <v>62</v>
      </c>
      <c r="D289">
        <v>0</v>
      </c>
      <c r="F289" t="s">
        <v>99</v>
      </c>
      <c r="G289" t="str" cm="1">
        <f t="array" ref="G289">_xlfn.LET(
    _xlpm.r, TRIM(B289),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289" t="str" cm="1">
        <f t="array" ref="H289">_xlfn.LET(
     _xlpm.r, TRIM(C289),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290" spans="1:8" x14ac:dyDescent="0.25">
      <c r="A290">
        <v>2023</v>
      </c>
      <c r="B290" t="s">
        <v>35</v>
      </c>
      <c r="C290" t="s">
        <v>59</v>
      </c>
      <c r="D290">
        <v>0</v>
      </c>
      <c r="F290" t="s">
        <v>99</v>
      </c>
      <c r="G290" t="str" cm="1">
        <f t="array" ref="G290">_xlfn.LET(
    _xlpm.r, TRIM(B290),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290" t="str" cm="1">
        <f t="array" ref="H290">_xlfn.LET(
     _xlpm.r, TRIM(C290),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91" spans="1:8" x14ac:dyDescent="0.25">
      <c r="A291">
        <v>2023</v>
      </c>
      <c r="B291" t="s">
        <v>37</v>
      </c>
      <c r="C291" t="s">
        <v>62</v>
      </c>
      <c r="D291">
        <v>0</v>
      </c>
      <c r="F291" t="s">
        <v>101</v>
      </c>
      <c r="G291" t="str" cm="1">
        <f t="array" ref="G291">_xlfn.LET(
    _xlpm.r, TRIM(B291),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الاتحادي للمعلومات الجغرافية</v>
      </c>
      <c r="H291" t="str" cm="1">
        <f t="array" ref="H291">_xlfn.LET(
     _xlpm.r, TRIM(C291),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292" spans="1:8" x14ac:dyDescent="0.25">
      <c r="A292">
        <v>2023</v>
      </c>
      <c r="B292" t="s">
        <v>38</v>
      </c>
      <c r="C292" t="s">
        <v>59</v>
      </c>
      <c r="D292">
        <v>7100000</v>
      </c>
      <c r="F292" t="s">
        <v>102</v>
      </c>
      <c r="G292" t="str" cm="1">
        <f t="array" ref="G292">_xlfn.LET(
    _xlpm.r, TRIM(B292),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292" t="str" cm="1">
        <f t="array" ref="H292">_xlfn.LET(
     _xlpm.r, TRIM(C292),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93" spans="1:8" x14ac:dyDescent="0.25">
      <c r="A293">
        <v>2023</v>
      </c>
      <c r="B293" t="s">
        <v>38</v>
      </c>
      <c r="C293" t="s">
        <v>62</v>
      </c>
      <c r="D293">
        <v>0</v>
      </c>
      <c r="F293" t="s">
        <v>102</v>
      </c>
      <c r="G293" t="str" cm="1">
        <f t="array" ref="G293">_xlfn.LET(
    _xlpm.r, TRIM(B293),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293" t="str" cm="1">
        <f t="array" ref="H293">_xlfn.LET(
     _xlpm.r, TRIM(C293),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294" spans="1:8" x14ac:dyDescent="0.25">
      <c r="A294">
        <v>2023</v>
      </c>
      <c r="B294" t="s">
        <v>38</v>
      </c>
      <c r="C294" t="s">
        <v>59</v>
      </c>
      <c r="D294">
        <v>0</v>
      </c>
      <c r="F294" t="s">
        <v>102</v>
      </c>
      <c r="G294" t="str" cm="1">
        <f t="array" ref="G294">_xlfn.LET(
    _xlpm.r, TRIM(B294),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294" t="str" cm="1">
        <f t="array" ref="H294">_xlfn.LET(
     _xlpm.r, TRIM(C294),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95" spans="1:8" x14ac:dyDescent="0.25">
      <c r="A295">
        <v>2023</v>
      </c>
      <c r="B295" t="s">
        <v>38</v>
      </c>
      <c r="C295" t="s">
        <v>59</v>
      </c>
      <c r="D295">
        <v>0</v>
      </c>
      <c r="F295" t="s">
        <v>102</v>
      </c>
      <c r="G295" t="str" cm="1">
        <f t="array" ref="G295">_xlfn.LET(
    _xlpm.r, TRIM(B295),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295" t="str" cm="1">
        <f t="array" ref="H295">_xlfn.LET(
     _xlpm.r, TRIM(C295),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96" spans="1:8" x14ac:dyDescent="0.25">
      <c r="A296">
        <v>2023</v>
      </c>
      <c r="B296" t="s">
        <v>40</v>
      </c>
      <c r="C296" t="s">
        <v>62</v>
      </c>
      <c r="D296">
        <v>0</v>
      </c>
      <c r="F296" t="s">
        <v>104</v>
      </c>
      <c r="G296" t="str" cm="1">
        <f t="array" ref="G296">_xlfn.LET(
    _xlpm.r, TRIM(B296),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التسامح والتعايش</v>
      </c>
      <c r="H296" t="str" cm="1">
        <f t="array" ref="H296">_xlfn.LET(
     _xlpm.r, TRIM(C296),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297" spans="1:8" x14ac:dyDescent="0.25">
      <c r="A297">
        <v>2023</v>
      </c>
      <c r="B297" t="s">
        <v>40</v>
      </c>
      <c r="C297" t="s">
        <v>59</v>
      </c>
      <c r="D297">
        <v>0</v>
      </c>
      <c r="F297" t="s">
        <v>104</v>
      </c>
      <c r="G297" t="str" cm="1">
        <f t="array" ref="G297">_xlfn.LET(
    _xlpm.r, TRIM(B297),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التسامح والتعايش</v>
      </c>
      <c r="H297" t="str" cm="1">
        <f t="array" ref="H297">_xlfn.LET(
     _xlpm.r, TRIM(C297),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298" spans="1:8" x14ac:dyDescent="0.25">
      <c r="A298">
        <v>2023</v>
      </c>
      <c r="B298" t="s">
        <v>41</v>
      </c>
      <c r="C298" t="s">
        <v>60</v>
      </c>
      <c r="D298">
        <v>0</v>
      </c>
      <c r="F298" t="s">
        <v>105</v>
      </c>
      <c r="G298" t="str" cm="1">
        <f t="array" ref="G298">_xlfn.LET(
    _xlpm.r, TRIM(B298),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298" t="str" cm="1">
        <f t="array" ref="H298">_xlfn.LET(
     _xlpm.r, TRIM(C298),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299" spans="1:8" x14ac:dyDescent="0.25">
      <c r="A299">
        <v>2023</v>
      </c>
      <c r="B299" t="s">
        <v>41</v>
      </c>
      <c r="C299" t="s">
        <v>62</v>
      </c>
      <c r="D299">
        <v>0</v>
      </c>
      <c r="F299" t="s">
        <v>105</v>
      </c>
      <c r="G299" t="str" cm="1">
        <f t="array" ref="G299">_xlfn.LET(
    _xlpm.r, TRIM(B299),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299" t="str" cm="1">
        <f t="array" ref="H299">_xlfn.LET(
     _xlpm.r, TRIM(C299),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300" spans="1:8" x14ac:dyDescent="0.25">
      <c r="A300">
        <v>2023</v>
      </c>
      <c r="B300" t="s">
        <v>41</v>
      </c>
      <c r="C300" t="s">
        <v>59</v>
      </c>
      <c r="D300">
        <v>0</v>
      </c>
      <c r="F300" t="s">
        <v>105</v>
      </c>
      <c r="G300" t="str" cm="1">
        <f t="array" ref="G300">_xlfn.LET(
    _xlpm.r, TRIM(B300),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300" t="str" cm="1">
        <f t="array" ref="H300">_xlfn.LET(
     _xlpm.r, TRIM(C300),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01" spans="1:8" x14ac:dyDescent="0.25">
      <c r="A301">
        <v>2023</v>
      </c>
      <c r="B301" t="s">
        <v>43</v>
      </c>
      <c r="C301" t="s">
        <v>59</v>
      </c>
      <c r="D301">
        <v>600000</v>
      </c>
      <c r="F301" t="s">
        <v>107</v>
      </c>
      <c r="G301" t="str" cm="1">
        <f t="array" ref="G301">_xlfn.LET(
    _xlpm.r, TRIM(B301),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أكاديمية الإمارات الدبلوماسية</v>
      </c>
      <c r="H301" t="str" cm="1">
        <f t="array" ref="H301">_xlfn.LET(
     _xlpm.r, TRIM(C301),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02" spans="1:8" x14ac:dyDescent="0.25">
      <c r="A302">
        <v>2023</v>
      </c>
      <c r="B302" t="s">
        <v>44</v>
      </c>
      <c r="C302" t="s">
        <v>62</v>
      </c>
      <c r="D302">
        <v>0</v>
      </c>
      <c r="F302" t="s">
        <v>108</v>
      </c>
      <c r="G302" t="str" cm="1">
        <f t="array" ref="G302">_xlfn.LET(
    _xlpm.r, TRIM(B302),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الوطني للإرشاد</v>
      </c>
      <c r="H302" t="str" cm="1">
        <f t="array" ref="H302">_xlfn.LET(
     _xlpm.r, TRIM(C302),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303" spans="1:8" x14ac:dyDescent="0.25">
      <c r="A303">
        <v>2023</v>
      </c>
      <c r="B303" t="s">
        <v>45</v>
      </c>
      <c r="C303" t="s">
        <v>62</v>
      </c>
      <c r="D303">
        <v>0</v>
      </c>
      <c r="F303" t="s">
        <v>109</v>
      </c>
      <c r="G303" t="str" cm="1">
        <f t="array" ref="G303">_xlfn.LET(
    _xlpm.r, TRIM(B303),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الإمارات للفضاء</v>
      </c>
      <c r="H303" t="str" cm="1">
        <f t="array" ref="H303">_xlfn.LET(
     _xlpm.r, TRIM(C303),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304" spans="1:8" x14ac:dyDescent="0.25">
      <c r="A304">
        <v>2023</v>
      </c>
      <c r="B304" t="s">
        <v>45</v>
      </c>
      <c r="C304" t="s">
        <v>59</v>
      </c>
      <c r="D304">
        <v>0</v>
      </c>
      <c r="F304" t="s">
        <v>109</v>
      </c>
      <c r="G304" t="str" cm="1">
        <f t="array" ref="G304">_xlfn.LET(
    _xlpm.r, TRIM(B304),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الإمارات للفضاء</v>
      </c>
      <c r="H304" t="str" cm="1">
        <f t="array" ref="H304">_xlfn.LET(
     _xlpm.r, TRIM(C304),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05" spans="1:8" x14ac:dyDescent="0.25">
      <c r="A305">
        <v>2023</v>
      </c>
      <c r="B305" t="s">
        <v>46</v>
      </c>
      <c r="C305" t="s">
        <v>59</v>
      </c>
      <c r="D305">
        <v>9559000</v>
      </c>
      <c r="F305" t="s">
        <v>110</v>
      </c>
      <c r="G305" t="str" cm="1">
        <f t="array" ref="G305">_xlfn.LET(
    _xlpm.r, TRIM(B305),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305" t="str" cm="1">
        <f t="array" ref="H305">_xlfn.LET(
     _xlpm.r, TRIM(C305),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06" spans="1:8" x14ac:dyDescent="0.25">
      <c r="A306">
        <v>2023</v>
      </c>
      <c r="B306" t="s">
        <v>46</v>
      </c>
      <c r="C306" t="s">
        <v>61</v>
      </c>
      <c r="D306">
        <v>0</v>
      </c>
      <c r="F306" t="s">
        <v>110</v>
      </c>
      <c r="G306" t="str" cm="1">
        <f t="array" ref="G306">_xlfn.LET(
    _xlpm.r, TRIM(B306),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306" t="str" cm="1">
        <f t="array" ref="H306">_xlfn.LET(
     _xlpm.r, TRIM(C306),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الضرائب</v>
      </c>
    </row>
    <row r="307" spans="1:8" x14ac:dyDescent="0.25">
      <c r="A307">
        <v>2023</v>
      </c>
      <c r="B307" t="s">
        <v>46</v>
      </c>
      <c r="C307" t="s">
        <v>62</v>
      </c>
      <c r="D307">
        <v>0</v>
      </c>
      <c r="F307" t="s">
        <v>110</v>
      </c>
      <c r="G307" t="str" cm="1">
        <f t="array" ref="G307">_xlfn.LET(
    _xlpm.r, TRIM(B307),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307" t="str" cm="1">
        <f t="array" ref="H307">_xlfn.LET(
     _xlpm.r, TRIM(C307),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308" spans="1:8" x14ac:dyDescent="0.25">
      <c r="A308">
        <v>2023</v>
      </c>
      <c r="B308" t="s">
        <v>46</v>
      </c>
      <c r="C308" t="s">
        <v>59</v>
      </c>
      <c r="D308">
        <v>0</v>
      </c>
      <c r="F308" t="s">
        <v>110</v>
      </c>
      <c r="G308" t="str" cm="1">
        <f t="array" ref="G308">_xlfn.LET(
    _xlpm.r, TRIM(B308),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308" t="str" cm="1">
        <f t="array" ref="H308">_xlfn.LET(
     _xlpm.r, TRIM(C308),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09" spans="1:8" x14ac:dyDescent="0.25">
      <c r="A309">
        <v>2023</v>
      </c>
      <c r="B309" t="s">
        <v>47</v>
      </c>
      <c r="C309" t="s">
        <v>62</v>
      </c>
      <c r="D309">
        <v>0</v>
      </c>
      <c r="F309" t="s">
        <v>111</v>
      </c>
      <c r="G309" t="str" cm="1">
        <f t="array" ref="G309">_xlfn.LET(
    _xlpm.r, TRIM(B309),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309" t="str" cm="1">
        <f t="array" ref="H309">_xlfn.LET(
     _xlpm.r, TRIM(C309),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310" spans="1:8" x14ac:dyDescent="0.25">
      <c r="A310">
        <v>2023</v>
      </c>
      <c r="B310" t="s">
        <v>47</v>
      </c>
      <c r="C310" t="s">
        <v>59</v>
      </c>
      <c r="D310">
        <v>70000</v>
      </c>
      <c r="F310" t="s">
        <v>111</v>
      </c>
      <c r="G310" t="str" cm="1">
        <f t="array" ref="G310">_xlfn.LET(
    _xlpm.r, TRIM(B310),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310" t="str" cm="1">
        <f t="array" ref="H310">_xlfn.LET(
     _xlpm.r, TRIM(C310),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11" spans="1:8" x14ac:dyDescent="0.25">
      <c r="A311">
        <v>2023</v>
      </c>
      <c r="B311" t="s">
        <v>47</v>
      </c>
      <c r="C311" t="s">
        <v>62</v>
      </c>
      <c r="D311">
        <v>0</v>
      </c>
      <c r="F311" t="s">
        <v>111</v>
      </c>
      <c r="G311" t="str" cm="1">
        <f t="array" ref="G311">_xlfn.LET(
    _xlpm.r, TRIM(B311),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311" t="str" cm="1">
        <f t="array" ref="H311">_xlfn.LET(
     _xlpm.r, TRIM(C311),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312" spans="1:8" x14ac:dyDescent="0.25">
      <c r="A312">
        <v>2023</v>
      </c>
      <c r="B312" t="s">
        <v>47</v>
      </c>
      <c r="C312" t="s">
        <v>59</v>
      </c>
      <c r="D312">
        <v>0</v>
      </c>
      <c r="F312" t="s">
        <v>111</v>
      </c>
      <c r="G312" t="str" cm="1">
        <f t="array" ref="G312">_xlfn.LET(
    _xlpm.r, TRIM(B312),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312" t="str" cm="1">
        <f t="array" ref="H312">_xlfn.LET(
     _xlpm.r, TRIM(C312),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13" spans="1:8" x14ac:dyDescent="0.25">
      <c r="A313">
        <v>2023</v>
      </c>
      <c r="B313" t="s">
        <v>63</v>
      </c>
      <c r="C313" t="s">
        <v>60</v>
      </c>
      <c r="D313">
        <v>0</v>
      </c>
      <c r="F313" t="s">
        <v>122</v>
      </c>
      <c r="G313" t="str" cm="1">
        <f t="array" ref="G313">_xlfn.LET(
    _xlpm.r, TRIM(B313),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تطوير القدرات الوطنية</v>
      </c>
      <c r="H313" t="str" cm="1">
        <f t="array" ref="H313">_xlfn.LET(
     _xlpm.r, TRIM(C313),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مساهمات اجتماعية</v>
      </c>
    </row>
    <row r="314" spans="1:8" x14ac:dyDescent="0.25">
      <c r="A314">
        <v>2023</v>
      </c>
      <c r="B314" t="s">
        <v>63</v>
      </c>
      <c r="C314" t="s">
        <v>59</v>
      </c>
      <c r="D314">
        <v>0</v>
      </c>
      <c r="F314" t="s">
        <v>122</v>
      </c>
      <c r="G314" t="str" cm="1">
        <f t="array" ref="G314">_xlfn.LET(
    _xlpm.r, TRIM(B314),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تطوير القدرات الوطنية</v>
      </c>
      <c r="H314" t="str" cm="1">
        <f t="array" ref="H314">_xlfn.LET(
     _xlpm.r, TRIM(C314),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15" spans="1:8" x14ac:dyDescent="0.25">
      <c r="A315">
        <v>2023</v>
      </c>
      <c r="B315" t="s">
        <v>64</v>
      </c>
      <c r="C315" t="s">
        <v>59</v>
      </c>
      <c r="D315">
        <v>0</v>
      </c>
      <c r="F315" t="s">
        <v>123</v>
      </c>
      <c r="G315" t="str" cm="1">
        <f t="array" ref="G315">_xlfn.LET(
    _xlpm.r, TRIM(B315),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للضرائب</v>
      </c>
      <c r="H315" t="str" cm="1">
        <f t="array" ref="H315">_xlfn.LET(
     _xlpm.r, TRIM(C315),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16" spans="1:8" x14ac:dyDescent="0.25">
      <c r="A316">
        <v>2023</v>
      </c>
      <c r="B316" t="s">
        <v>65</v>
      </c>
      <c r="C316" t="s">
        <v>62</v>
      </c>
      <c r="D316">
        <v>0</v>
      </c>
      <c r="F316" t="s">
        <v>124</v>
      </c>
      <c r="G316" t="str" cm="1">
        <f t="array" ref="G316">_xlfn.LET(
    _xlpm.r, TRIM(B316),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المكتب التنفيذي لمواجهة غسل الأموال وتمويل الإرهاب</v>
      </c>
      <c r="H316" t="str" cm="1">
        <f t="array" ref="H316">_xlfn.LET(
     _xlpm.r, TRIM(C316),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317" spans="1:8" x14ac:dyDescent="0.25">
      <c r="A317">
        <v>2023</v>
      </c>
      <c r="B317" t="s">
        <v>65</v>
      </c>
      <c r="C317" t="s">
        <v>59</v>
      </c>
      <c r="D317">
        <v>0</v>
      </c>
      <c r="F317" t="s">
        <v>124</v>
      </c>
      <c r="G317" t="str" cm="1">
        <f t="array" ref="G317">_xlfn.LET(
    _xlpm.r, TRIM(B317),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المكتب التنفيذي لمواجهة غسل الأموال وتمويل الإرهاب</v>
      </c>
      <c r="H317" t="str" cm="1">
        <f t="array" ref="H317">_xlfn.LET(
     _xlpm.r, TRIM(C317),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18" spans="1:8" x14ac:dyDescent="0.25">
      <c r="A318">
        <v>2023</v>
      </c>
      <c r="B318" t="s">
        <v>48</v>
      </c>
      <c r="C318" t="s">
        <v>59</v>
      </c>
      <c r="D318">
        <v>102144000</v>
      </c>
      <c r="F318" t="s">
        <v>112</v>
      </c>
      <c r="G318" t="str" cm="1">
        <f t="array" ref="G318">_xlfn.LET(
    _xlpm.r, TRIM(B318),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الإمارات العربية المتحدة</v>
      </c>
      <c r="H318" t="str" cm="1">
        <f t="array" ref="H318">_xlfn.LET(
     _xlpm.r, TRIM(C318),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19" spans="1:8" x14ac:dyDescent="0.25">
      <c r="A319">
        <v>2023</v>
      </c>
      <c r="B319" t="s">
        <v>49</v>
      </c>
      <c r="C319" t="s">
        <v>59</v>
      </c>
      <c r="D319">
        <v>22053000</v>
      </c>
      <c r="F319" t="s">
        <v>113</v>
      </c>
      <c r="G319" t="str" cm="1">
        <f t="array" ref="G319">_xlfn.LET(
    _xlpm.r, TRIM(B319),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319" t="str" cm="1">
        <f t="array" ref="H319">_xlfn.LET(
     _xlpm.r, TRIM(C319),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20" spans="1:8" x14ac:dyDescent="0.25">
      <c r="A320">
        <v>2023</v>
      </c>
      <c r="B320" t="s">
        <v>50</v>
      </c>
      <c r="C320" t="s">
        <v>59</v>
      </c>
      <c r="D320">
        <v>50000000</v>
      </c>
      <c r="F320" t="s">
        <v>114</v>
      </c>
      <c r="G320" t="str" cm="1">
        <f t="array" ref="G320">_xlfn.LET(
    _xlpm.r, TRIM(B320),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زايد</v>
      </c>
      <c r="H320" t="str" cm="1">
        <f t="array" ref="H320">_xlfn.LET(
     _xlpm.r, TRIM(C320),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21" spans="1:8" x14ac:dyDescent="0.25">
      <c r="A321">
        <v>2023</v>
      </c>
      <c r="B321" t="s">
        <v>51</v>
      </c>
      <c r="C321" t="s">
        <v>59</v>
      </c>
      <c r="D321">
        <v>300000</v>
      </c>
      <c r="F321" t="s">
        <v>115</v>
      </c>
      <c r="G321" t="str" cm="1">
        <f t="array" ref="G321">_xlfn.LET(
    _xlpm.r, TRIM(B321),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صندوق الزكاة</v>
      </c>
      <c r="H321" t="str" cm="1">
        <f t="array" ref="H321">_xlfn.LET(
     _xlpm.r, TRIM(C321),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22" spans="1:8" x14ac:dyDescent="0.25">
      <c r="A322">
        <v>2023</v>
      </c>
      <c r="B322" t="s">
        <v>70</v>
      </c>
      <c r="C322" t="s">
        <v>59</v>
      </c>
      <c r="D322">
        <v>0</v>
      </c>
      <c r="F322" t="s">
        <v>129</v>
      </c>
      <c r="G322" t="str" cm="1">
        <f t="array" ref="G322">_xlfn.LET(
    _xlpm.r, TRIM(B322),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 (مكافحة غسل الأموال)</v>
      </c>
      <c r="H322" t="str" cm="1">
        <f t="array" ref="H322">_xlfn.LET(
     _xlpm.r, TRIM(C322),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23" spans="1:8" x14ac:dyDescent="0.25">
      <c r="A323">
        <v>2023</v>
      </c>
      <c r="B323" t="s">
        <v>68</v>
      </c>
      <c r="C323" t="s">
        <v>62</v>
      </c>
      <c r="D323">
        <v>0</v>
      </c>
      <c r="F323" t="s">
        <v>127</v>
      </c>
      <c r="G323" t="str" cm="1">
        <f t="array" ref="G323">_xlfn.LET(
    _xlpm.r, TRIM(B323),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 – الدعم المحلي</v>
      </c>
      <c r="H323" t="str" cm="1">
        <f t="array" ref="H323">_xlfn.LET(
     _xlpm.r, TRIM(C323),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324" spans="1:8" x14ac:dyDescent="0.25">
      <c r="A324">
        <v>2023</v>
      </c>
      <c r="B324" t="s">
        <v>68</v>
      </c>
      <c r="C324" t="s">
        <v>59</v>
      </c>
      <c r="D324">
        <v>0</v>
      </c>
      <c r="F324" t="s">
        <v>127</v>
      </c>
      <c r="G324" t="str" cm="1">
        <f t="array" ref="G324">_xlfn.LET(
    _xlpm.r, TRIM(B324),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 – الدعم المحلي</v>
      </c>
      <c r="H324" t="str" cm="1">
        <f t="array" ref="H324">_xlfn.LET(
     _xlpm.r, TRIM(C324),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25" spans="1:8" x14ac:dyDescent="0.25">
      <c r="A325">
        <v>2023</v>
      </c>
      <c r="B325" t="s">
        <v>52</v>
      </c>
      <c r="C325" t="s">
        <v>59</v>
      </c>
      <c r="D325">
        <v>170000000</v>
      </c>
      <c r="F325" t="s">
        <v>116</v>
      </c>
      <c r="G325" t="str" cm="1">
        <f t="array" ref="G325">_xlfn.LET(
    _xlpm.r, TRIM(B325),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325" t="str" cm="1">
        <f t="array" ref="H325">_xlfn.LET(
     _xlpm.r, TRIM(C325),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26" spans="1:8" x14ac:dyDescent="0.25">
      <c r="A326">
        <v>2023</v>
      </c>
      <c r="B326" t="s">
        <v>56</v>
      </c>
      <c r="C326" t="s">
        <v>59</v>
      </c>
      <c r="D326">
        <v>1350553000</v>
      </c>
      <c r="F326" t="s">
        <v>120</v>
      </c>
      <c r="G326" t="str" cm="1">
        <f t="array" ref="G326">_xlfn.LET(
    _xlpm.r, TRIM(B326),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تنظيم الاتصالات</v>
      </c>
      <c r="H326" t="str" cm="1">
        <f t="array" ref="H326">_xlfn.LET(
     _xlpm.r, TRIM(C326),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27" spans="1:8" x14ac:dyDescent="0.25">
      <c r="A327">
        <v>2023</v>
      </c>
      <c r="B327" t="s">
        <v>57</v>
      </c>
      <c r="C327" t="s">
        <v>62</v>
      </c>
      <c r="D327">
        <v>21935440</v>
      </c>
      <c r="F327" t="s">
        <v>121</v>
      </c>
      <c r="G327" t="str" cm="1">
        <f t="array" ref="G327">_xlfn.LET(
    _xlpm.r, TRIM(B327),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للرقابة النووية</v>
      </c>
      <c r="H327" t="str" cm="1">
        <f t="array" ref="H327">_xlfn.LET(
     _xlpm.r, TRIM(C327),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328" spans="1:8" x14ac:dyDescent="0.25">
      <c r="A328">
        <v>2023</v>
      </c>
      <c r="B328" t="s">
        <v>57</v>
      </c>
      <c r="C328" t="s">
        <v>59</v>
      </c>
      <c r="D328">
        <v>293258560</v>
      </c>
      <c r="F328" t="s">
        <v>121</v>
      </c>
      <c r="G328" t="str" cm="1">
        <f t="array" ref="G328">_xlfn.LET(
    _xlpm.r, TRIM(B328),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للرقابة النووية</v>
      </c>
      <c r="H328" t="str" cm="1">
        <f t="array" ref="H328">_xlfn.LET(
     _xlpm.r, TRIM(C328),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29" spans="1:8" x14ac:dyDescent="0.25">
      <c r="A329">
        <v>2023</v>
      </c>
      <c r="B329" t="s">
        <v>69</v>
      </c>
      <c r="C329" t="s">
        <v>59</v>
      </c>
      <c r="D329">
        <v>0</v>
      </c>
      <c r="F329" t="s">
        <v>128</v>
      </c>
      <c r="G329" t="str" cm="1">
        <f t="array" ref="G329">_xlfn.LET(
    _xlpm.r, TRIM(B329),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العقارية</v>
      </c>
      <c r="H329" t="str" cm="1">
        <f t="array" ref="H329">_xlfn.LET(
     _xlpm.r, TRIM(C329),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30" spans="1:8" x14ac:dyDescent="0.25">
      <c r="A330">
        <v>2023</v>
      </c>
      <c r="B330" t="s">
        <v>71</v>
      </c>
      <c r="C330" t="s">
        <v>62</v>
      </c>
      <c r="D330">
        <v>0</v>
      </c>
      <c r="F330" t="s">
        <v>130</v>
      </c>
      <c r="G330" t="str" cm="1">
        <f t="array" ref="G330">_xlfn.LET(
    _xlpm.r, TRIM(B330),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مشروع رعاية وزارة الموارد البشرية والتوطين</v>
      </c>
      <c r="H330" t="str" cm="1">
        <f t="array" ref="H330">_xlfn.LET(
     _xlpm.r, TRIM(C330),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المساهمات</v>
      </c>
    </row>
    <row r="331" spans="1:8" x14ac:dyDescent="0.25">
      <c r="A331">
        <v>2023</v>
      </c>
      <c r="B331" t="s">
        <v>72</v>
      </c>
      <c r="C331" t="s">
        <v>59</v>
      </c>
      <c r="D331">
        <v>0</v>
      </c>
      <c r="F331" t="s">
        <v>131</v>
      </c>
      <c r="G331" t="str" cm="1">
        <f t="array" ref="G331">_xlfn.LET(
    _xlpm.r, TRIM(B331),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مشروعات رعاية وكالة الإمارات للفضاء</v>
      </c>
      <c r="H331" t="str" cm="1">
        <f t="array" ref="H331">_xlfn.LET(
     _xlpm.r, TRIM(C331),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إيرادات اتحادية أخرى</v>
      </c>
    </row>
    <row r="332" spans="1:8" x14ac:dyDescent="0.25">
      <c r="A332">
        <v>2022</v>
      </c>
      <c r="B332" t="s">
        <v>4</v>
      </c>
      <c r="C332" t="s">
        <v>5</v>
      </c>
      <c r="E332">
        <v>488189</v>
      </c>
      <c r="F332" t="s">
        <v>76</v>
      </c>
      <c r="G332" t="str" cm="1">
        <f t="array" ref="G332">_xlfn.LET(
    _xlpm.r, TRIM(B332),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332" t="str" cm="1">
        <f t="array" ref="H332">_xlfn.LET(
     _xlpm.r, TRIM(C332),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33" spans="1:8" x14ac:dyDescent="0.25">
      <c r="A333">
        <v>2022</v>
      </c>
      <c r="B333" t="s">
        <v>4</v>
      </c>
      <c r="C333" t="s">
        <v>5</v>
      </c>
      <c r="E333">
        <v>65962708</v>
      </c>
      <c r="F333" t="s">
        <v>76</v>
      </c>
      <c r="G333" t="str" cm="1">
        <f t="array" ref="G333">_xlfn.LET(
    _xlpm.r, TRIM(B333),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333" t="str" cm="1">
        <f t="array" ref="H333">_xlfn.LET(
     _xlpm.r, TRIM(C333),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34" spans="1:8" x14ac:dyDescent="0.25">
      <c r="A334">
        <v>2022</v>
      </c>
      <c r="B334" t="s">
        <v>4</v>
      </c>
      <c r="C334" t="s">
        <v>5</v>
      </c>
      <c r="E334">
        <v>216880783</v>
      </c>
      <c r="F334" t="s">
        <v>76</v>
      </c>
      <c r="G334" t="str" cm="1">
        <f t="array" ref="G334">_xlfn.LET(
    _xlpm.r, TRIM(B334),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334" t="str" cm="1">
        <f t="array" ref="H334">_xlfn.LET(
     _xlpm.r, TRIM(C334),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35" spans="1:8" x14ac:dyDescent="0.25">
      <c r="A335">
        <v>2022</v>
      </c>
      <c r="B335" t="s">
        <v>4</v>
      </c>
      <c r="C335" t="s">
        <v>5</v>
      </c>
      <c r="E335">
        <v>21176242</v>
      </c>
      <c r="F335" t="s">
        <v>76</v>
      </c>
      <c r="G335" t="str" cm="1">
        <f t="array" ref="G335">_xlfn.LET(
    _xlpm.r, TRIM(B335),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335" t="str" cm="1">
        <f t="array" ref="H335">_xlfn.LET(
     _xlpm.r, TRIM(C335),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36" spans="1:8" x14ac:dyDescent="0.25">
      <c r="A336">
        <v>2022</v>
      </c>
      <c r="B336" t="s">
        <v>4</v>
      </c>
      <c r="C336" t="s">
        <v>5</v>
      </c>
      <c r="E336">
        <v>27140714</v>
      </c>
      <c r="F336" t="s">
        <v>76</v>
      </c>
      <c r="G336" t="str" cm="1">
        <f t="array" ref="G336">_xlfn.LET(
    _xlpm.r, TRIM(B336),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336" t="str" cm="1">
        <f t="array" ref="H336">_xlfn.LET(
     _xlpm.r, TRIM(C336),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37" spans="1:8" x14ac:dyDescent="0.25">
      <c r="A337">
        <v>2022</v>
      </c>
      <c r="B337" t="s">
        <v>4</v>
      </c>
      <c r="C337" t="s">
        <v>5</v>
      </c>
      <c r="E337">
        <v>30468316</v>
      </c>
      <c r="F337" t="s">
        <v>76</v>
      </c>
      <c r="G337" t="str" cm="1">
        <f t="array" ref="G337">_xlfn.LET(
    _xlpm.r, TRIM(B337),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337" t="str" cm="1">
        <f t="array" ref="H337">_xlfn.LET(
     _xlpm.r, TRIM(C337),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38" spans="1:8" x14ac:dyDescent="0.25">
      <c r="A338">
        <v>2022</v>
      </c>
      <c r="B338" t="s">
        <v>4</v>
      </c>
      <c r="C338" t="s">
        <v>5</v>
      </c>
      <c r="E338">
        <v>588048</v>
      </c>
      <c r="F338" t="s">
        <v>76</v>
      </c>
      <c r="G338" t="str" cm="1">
        <f t="array" ref="G338">_xlfn.LET(
    _xlpm.r, TRIM(B338),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338" t="str" cm="1">
        <f t="array" ref="H338">_xlfn.LET(
     _xlpm.r, TRIM(C338),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39" spans="1:8" x14ac:dyDescent="0.25">
      <c r="A339">
        <v>2022</v>
      </c>
      <c r="B339" t="s">
        <v>4</v>
      </c>
      <c r="C339" t="s">
        <v>6</v>
      </c>
      <c r="E339">
        <v>122382000</v>
      </c>
      <c r="F339" t="s">
        <v>76</v>
      </c>
      <c r="G339" t="str" cm="1">
        <f t="array" ref="G339">_xlfn.LET(
    _xlpm.r, TRIM(B339),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339" t="str" cm="1">
        <f t="array" ref="H339">_xlfn.LET(
     _xlpm.r, TRIM(C339),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340" spans="1:8" x14ac:dyDescent="0.25">
      <c r="A340">
        <v>2022</v>
      </c>
      <c r="B340" t="s">
        <v>4</v>
      </c>
      <c r="C340" t="s">
        <v>7</v>
      </c>
      <c r="E340">
        <v>200000000</v>
      </c>
      <c r="F340" t="s">
        <v>76</v>
      </c>
      <c r="G340" t="str" cm="1">
        <f t="array" ref="G340">_xlfn.LET(
    _xlpm.r, TRIM(B340),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340" t="str" cm="1">
        <f t="array" ref="H340">_xlfn.LET(
     _xlpm.r, TRIM(C340),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341" spans="1:8" x14ac:dyDescent="0.25">
      <c r="A341">
        <v>2022</v>
      </c>
      <c r="B341" t="s">
        <v>4</v>
      </c>
      <c r="C341" t="s">
        <v>8</v>
      </c>
      <c r="E341">
        <v>584500000</v>
      </c>
      <c r="F341" t="s">
        <v>76</v>
      </c>
      <c r="G341" t="str" cm="1">
        <f t="array" ref="G341">_xlfn.LET(
    _xlpm.r, TRIM(B341),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341" t="str" cm="1">
        <f t="array" ref="H341">_xlfn.LET(
     _xlpm.r, TRIM(C341),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342" spans="1:8" x14ac:dyDescent="0.25">
      <c r="A342">
        <v>2022</v>
      </c>
      <c r="B342" t="s">
        <v>4</v>
      </c>
      <c r="C342" t="s">
        <v>8</v>
      </c>
      <c r="E342">
        <v>11623000</v>
      </c>
      <c r="F342" t="s">
        <v>76</v>
      </c>
      <c r="G342" t="str" cm="1">
        <f t="array" ref="G342">_xlfn.LET(
    _xlpm.r, TRIM(B342),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342" t="str" cm="1">
        <f t="array" ref="H342">_xlfn.LET(
     _xlpm.r, TRIM(C342),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343" spans="1:8" x14ac:dyDescent="0.25">
      <c r="A343">
        <v>2022</v>
      </c>
      <c r="B343" t="s">
        <v>9</v>
      </c>
      <c r="C343" t="s">
        <v>5</v>
      </c>
      <c r="E343">
        <v>200000</v>
      </c>
      <c r="F343" t="s">
        <v>77</v>
      </c>
      <c r="G343" t="str" cm="1">
        <f t="array" ref="G343">_xlfn.LET(
    _xlpm.r, TRIM(B343),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43" t="str" cm="1">
        <f t="array" ref="H343">_xlfn.LET(
     _xlpm.r, TRIM(C343),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44" spans="1:8" x14ac:dyDescent="0.25">
      <c r="A344">
        <v>2022</v>
      </c>
      <c r="B344" t="s">
        <v>9</v>
      </c>
      <c r="C344" t="s">
        <v>5</v>
      </c>
      <c r="E344">
        <v>125266408</v>
      </c>
      <c r="F344" t="s">
        <v>77</v>
      </c>
      <c r="G344" t="str" cm="1">
        <f t="array" ref="G344">_xlfn.LET(
    _xlpm.r, TRIM(B344),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44" t="str" cm="1">
        <f t="array" ref="H344">_xlfn.LET(
     _xlpm.r, TRIM(C344),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45" spans="1:8" x14ac:dyDescent="0.25">
      <c r="A345">
        <v>2022</v>
      </c>
      <c r="B345" t="s">
        <v>9</v>
      </c>
      <c r="C345" t="s">
        <v>5</v>
      </c>
      <c r="E345">
        <v>25880868</v>
      </c>
      <c r="F345" t="s">
        <v>77</v>
      </c>
      <c r="G345" t="str" cm="1">
        <f t="array" ref="G345">_xlfn.LET(
    _xlpm.r, TRIM(B345),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45" t="str" cm="1">
        <f t="array" ref="H345">_xlfn.LET(
     _xlpm.r, TRIM(C345),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46" spans="1:8" x14ac:dyDescent="0.25">
      <c r="A346">
        <v>2022</v>
      </c>
      <c r="B346" t="s">
        <v>9</v>
      </c>
      <c r="C346" t="s">
        <v>5</v>
      </c>
      <c r="E346">
        <v>5027784</v>
      </c>
      <c r="F346" t="s">
        <v>77</v>
      </c>
      <c r="G346" t="str" cm="1">
        <f t="array" ref="G346">_xlfn.LET(
    _xlpm.r, TRIM(B346),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46" t="str" cm="1">
        <f t="array" ref="H346">_xlfn.LET(
     _xlpm.r, TRIM(C346),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47" spans="1:8" x14ac:dyDescent="0.25">
      <c r="A347">
        <v>2022</v>
      </c>
      <c r="B347" t="s">
        <v>9</v>
      </c>
      <c r="C347" t="s">
        <v>5</v>
      </c>
      <c r="E347">
        <v>1556340</v>
      </c>
      <c r="F347" t="s">
        <v>77</v>
      </c>
      <c r="G347" t="str" cm="1">
        <f t="array" ref="G347">_xlfn.LET(
    _xlpm.r, TRIM(B347),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47" t="str" cm="1">
        <f t="array" ref="H347">_xlfn.LET(
     _xlpm.r, TRIM(C347),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48" spans="1:8" x14ac:dyDescent="0.25">
      <c r="A348">
        <v>2022</v>
      </c>
      <c r="B348" t="s">
        <v>9</v>
      </c>
      <c r="C348" t="s">
        <v>5</v>
      </c>
      <c r="E348">
        <v>9459276</v>
      </c>
      <c r="F348" t="s">
        <v>77</v>
      </c>
      <c r="G348" t="str" cm="1">
        <f t="array" ref="G348">_xlfn.LET(
    _xlpm.r, TRIM(B348),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48" t="str" cm="1">
        <f t="array" ref="H348">_xlfn.LET(
     _xlpm.r, TRIM(C348),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49" spans="1:8" x14ac:dyDescent="0.25">
      <c r="A349">
        <v>2022</v>
      </c>
      <c r="B349" t="s">
        <v>9</v>
      </c>
      <c r="C349" t="s">
        <v>5</v>
      </c>
      <c r="E349">
        <v>8863416</v>
      </c>
      <c r="F349" t="s">
        <v>77</v>
      </c>
      <c r="G349" t="str" cm="1">
        <f t="array" ref="G349">_xlfn.LET(
    _xlpm.r, TRIM(B349),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49" t="str" cm="1">
        <f t="array" ref="H349">_xlfn.LET(
     _xlpm.r, TRIM(C349),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50" spans="1:8" x14ac:dyDescent="0.25">
      <c r="A350">
        <v>2022</v>
      </c>
      <c r="B350" t="s">
        <v>9</v>
      </c>
      <c r="C350" t="s">
        <v>5</v>
      </c>
      <c r="E350">
        <v>7926180</v>
      </c>
      <c r="F350" t="s">
        <v>77</v>
      </c>
      <c r="G350" t="str" cm="1">
        <f t="array" ref="G350">_xlfn.LET(
    _xlpm.r, TRIM(B350),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50" t="str" cm="1">
        <f t="array" ref="H350">_xlfn.LET(
     _xlpm.r, TRIM(C350),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51" spans="1:8" x14ac:dyDescent="0.25">
      <c r="A351">
        <v>2022</v>
      </c>
      <c r="B351" t="s">
        <v>9</v>
      </c>
      <c r="C351" t="s">
        <v>5</v>
      </c>
      <c r="E351">
        <v>2344608</v>
      </c>
      <c r="F351" t="s">
        <v>77</v>
      </c>
      <c r="G351" t="str" cm="1">
        <f t="array" ref="G351">_xlfn.LET(
    _xlpm.r, TRIM(B351),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51" t="str" cm="1">
        <f t="array" ref="H351">_xlfn.LET(
     _xlpm.r, TRIM(C351),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52" spans="1:8" x14ac:dyDescent="0.25">
      <c r="A352">
        <v>2022</v>
      </c>
      <c r="B352" t="s">
        <v>9</v>
      </c>
      <c r="C352" t="s">
        <v>5</v>
      </c>
      <c r="E352">
        <v>789780</v>
      </c>
      <c r="F352" t="s">
        <v>77</v>
      </c>
      <c r="G352" t="str" cm="1">
        <f t="array" ref="G352">_xlfn.LET(
    _xlpm.r, TRIM(B352),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52" t="str" cm="1">
        <f t="array" ref="H352">_xlfn.LET(
     _xlpm.r, TRIM(C352),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53" spans="1:8" x14ac:dyDescent="0.25">
      <c r="A353">
        <v>2022</v>
      </c>
      <c r="B353" t="s">
        <v>9</v>
      </c>
      <c r="C353" t="s">
        <v>5</v>
      </c>
      <c r="E353">
        <v>793920</v>
      </c>
      <c r="F353" t="s">
        <v>77</v>
      </c>
      <c r="G353" t="str" cm="1">
        <f t="array" ref="G353">_xlfn.LET(
    _xlpm.r, TRIM(B353),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53" t="str" cm="1">
        <f t="array" ref="H353">_xlfn.LET(
     _xlpm.r, TRIM(C353),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54" spans="1:8" x14ac:dyDescent="0.25">
      <c r="A354">
        <v>2022</v>
      </c>
      <c r="B354" t="s">
        <v>9</v>
      </c>
      <c r="C354" t="s">
        <v>5</v>
      </c>
      <c r="E354">
        <v>789780</v>
      </c>
      <c r="F354" t="s">
        <v>77</v>
      </c>
      <c r="G354" t="str" cm="1">
        <f t="array" ref="G354">_xlfn.LET(
    _xlpm.r, TRIM(B354),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54" t="str" cm="1">
        <f t="array" ref="H354">_xlfn.LET(
     _xlpm.r, TRIM(C354),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55" spans="1:8" x14ac:dyDescent="0.25">
      <c r="A355">
        <v>2022</v>
      </c>
      <c r="B355" t="s">
        <v>9</v>
      </c>
      <c r="C355" t="s">
        <v>5</v>
      </c>
      <c r="E355">
        <v>789780</v>
      </c>
      <c r="F355" t="s">
        <v>77</v>
      </c>
      <c r="G355" t="str" cm="1">
        <f t="array" ref="G355">_xlfn.LET(
    _xlpm.r, TRIM(B355),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55" t="str" cm="1">
        <f t="array" ref="H355">_xlfn.LET(
     _xlpm.r, TRIM(C355),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56" spans="1:8" x14ac:dyDescent="0.25">
      <c r="A356">
        <v>2022</v>
      </c>
      <c r="B356" t="s">
        <v>9</v>
      </c>
      <c r="C356" t="s">
        <v>5</v>
      </c>
      <c r="E356">
        <v>789780</v>
      </c>
      <c r="F356" t="s">
        <v>77</v>
      </c>
      <c r="G356" t="str" cm="1">
        <f t="array" ref="G356">_xlfn.LET(
    _xlpm.r, TRIM(B356),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56" t="str" cm="1">
        <f t="array" ref="H356">_xlfn.LET(
     _xlpm.r, TRIM(C356),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57" spans="1:8" x14ac:dyDescent="0.25">
      <c r="A357">
        <v>2022</v>
      </c>
      <c r="B357" t="s">
        <v>9</v>
      </c>
      <c r="C357" t="s">
        <v>5</v>
      </c>
      <c r="E357">
        <v>769080</v>
      </c>
      <c r="F357" t="s">
        <v>77</v>
      </c>
      <c r="G357" t="str" cm="1">
        <f t="array" ref="G357">_xlfn.LET(
    _xlpm.r, TRIM(B357),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57" t="str" cm="1">
        <f t="array" ref="H357">_xlfn.LET(
     _xlpm.r, TRIM(C357),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58" spans="1:8" x14ac:dyDescent="0.25">
      <c r="A358">
        <v>2022</v>
      </c>
      <c r="B358" t="s">
        <v>9</v>
      </c>
      <c r="C358" t="s">
        <v>6</v>
      </c>
      <c r="E358">
        <v>111828000</v>
      </c>
      <c r="F358" t="s">
        <v>77</v>
      </c>
      <c r="G358" t="str" cm="1">
        <f t="array" ref="G358">_xlfn.LET(
    _xlpm.r, TRIM(B358),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58" t="str" cm="1">
        <f t="array" ref="H358">_xlfn.LET(
     _xlpm.r, TRIM(C358),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359" spans="1:8" x14ac:dyDescent="0.25">
      <c r="A359">
        <v>2022</v>
      </c>
      <c r="B359" t="s">
        <v>9</v>
      </c>
      <c r="C359" t="s">
        <v>7</v>
      </c>
      <c r="E359">
        <v>4550000</v>
      </c>
      <c r="F359" t="s">
        <v>77</v>
      </c>
      <c r="G359" t="str" cm="1">
        <f t="array" ref="G359">_xlfn.LET(
    _xlpm.r, TRIM(B359),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59" t="str" cm="1">
        <f t="array" ref="H359">_xlfn.LET(
     _xlpm.r, TRIM(C359),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360" spans="1:8" x14ac:dyDescent="0.25">
      <c r="A360">
        <v>2022</v>
      </c>
      <c r="B360" t="s">
        <v>9</v>
      </c>
      <c r="C360" t="s">
        <v>8</v>
      </c>
      <c r="E360">
        <v>5250000</v>
      </c>
      <c r="F360" t="s">
        <v>77</v>
      </c>
      <c r="G360" t="str" cm="1">
        <f t="array" ref="G360">_xlfn.LET(
    _xlpm.r, TRIM(B360),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360" t="str" cm="1">
        <f t="array" ref="H360">_xlfn.LET(
     _xlpm.r, TRIM(C360),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361" spans="1:8" x14ac:dyDescent="0.25">
      <c r="A361">
        <v>2022</v>
      </c>
      <c r="B361" t="s">
        <v>10</v>
      </c>
      <c r="C361" t="s">
        <v>5</v>
      </c>
      <c r="E361">
        <v>5051412</v>
      </c>
      <c r="F361" t="s">
        <v>78</v>
      </c>
      <c r="G361" t="str" cm="1">
        <f t="array" ref="G361">_xlfn.LET(
    _xlpm.r, TRIM(B361),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61" t="str" cm="1">
        <f t="array" ref="H361">_xlfn.LET(
     _xlpm.r, TRIM(C361),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62" spans="1:8" x14ac:dyDescent="0.25">
      <c r="A362">
        <v>2022</v>
      </c>
      <c r="B362" t="s">
        <v>10</v>
      </c>
      <c r="C362" t="s">
        <v>5</v>
      </c>
      <c r="E362">
        <v>1244293408</v>
      </c>
      <c r="F362" t="s">
        <v>78</v>
      </c>
      <c r="G362" t="str" cm="1">
        <f t="array" ref="G362">_xlfn.LET(
    _xlpm.r, TRIM(B362),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62" t="str" cm="1">
        <f t="array" ref="H362">_xlfn.LET(
     _xlpm.r, TRIM(C362),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63" spans="1:8" x14ac:dyDescent="0.25">
      <c r="A363">
        <v>2022</v>
      </c>
      <c r="B363" t="s">
        <v>10</v>
      </c>
      <c r="C363" t="s">
        <v>5</v>
      </c>
      <c r="E363">
        <v>7258740</v>
      </c>
      <c r="F363" t="s">
        <v>78</v>
      </c>
      <c r="G363" t="str" cm="1">
        <f t="array" ref="G363">_xlfn.LET(
    _xlpm.r, TRIM(B363),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63" t="str" cm="1">
        <f t="array" ref="H363">_xlfn.LET(
     _xlpm.r, TRIM(C363),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64" spans="1:8" x14ac:dyDescent="0.25">
      <c r="A364">
        <v>2022</v>
      </c>
      <c r="B364" t="s">
        <v>10</v>
      </c>
      <c r="C364" t="s">
        <v>5</v>
      </c>
      <c r="E364">
        <v>3140800</v>
      </c>
      <c r="F364" t="s">
        <v>78</v>
      </c>
      <c r="G364" t="str" cm="1">
        <f t="array" ref="G364">_xlfn.LET(
    _xlpm.r, TRIM(B364),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64" t="str" cm="1">
        <f t="array" ref="H364">_xlfn.LET(
     _xlpm.r, TRIM(C364),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65" spans="1:8" x14ac:dyDescent="0.25">
      <c r="A365">
        <v>2022</v>
      </c>
      <c r="B365" t="s">
        <v>10</v>
      </c>
      <c r="C365" t="s">
        <v>5</v>
      </c>
      <c r="E365">
        <v>355992</v>
      </c>
      <c r="F365" t="s">
        <v>78</v>
      </c>
      <c r="G365" t="str" cm="1">
        <f t="array" ref="G365">_xlfn.LET(
    _xlpm.r, TRIM(B365),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65" t="str" cm="1">
        <f t="array" ref="H365">_xlfn.LET(
     _xlpm.r, TRIM(C365),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66" spans="1:8" x14ac:dyDescent="0.25">
      <c r="A366">
        <v>2022</v>
      </c>
      <c r="B366" t="s">
        <v>10</v>
      </c>
      <c r="C366" t="s">
        <v>5</v>
      </c>
      <c r="E366">
        <v>688032</v>
      </c>
      <c r="F366" t="s">
        <v>78</v>
      </c>
      <c r="G366" t="str" cm="1">
        <f t="array" ref="G366">_xlfn.LET(
    _xlpm.r, TRIM(B366),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66" t="str" cm="1">
        <f t="array" ref="H366">_xlfn.LET(
     _xlpm.r, TRIM(C366),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67" spans="1:8" x14ac:dyDescent="0.25">
      <c r="A367">
        <v>2022</v>
      </c>
      <c r="B367" t="s">
        <v>10</v>
      </c>
      <c r="C367" t="s">
        <v>5</v>
      </c>
      <c r="E367">
        <v>638616</v>
      </c>
      <c r="F367" t="s">
        <v>78</v>
      </c>
      <c r="G367" t="str" cm="1">
        <f t="array" ref="G367">_xlfn.LET(
    _xlpm.r, TRIM(B367),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67" t="str" cm="1">
        <f t="array" ref="H367">_xlfn.LET(
     _xlpm.r, TRIM(C367),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68" spans="1:8" x14ac:dyDescent="0.25">
      <c r="A368">
        <v>2022</v>
      </c>
      <c r="B368" t="s">
        <v>10</v>
      </c>
      <c r="C368" t="s">
        <v>5</v>
      </c>
      <c r="E368">
        <v>30000</v>
      </c>
      <c r="F368" t="s">
        <v>78</v>
      </c>
      <c r="G368" t="str" cm="1">
        <f t="array" ref="G368">_xlfn.LET(
    _xlpm.r, TRIM(B368),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68" t="str" cm="1">
        <f t="array" ref="H368">_xlfn.LET(
     _xlpm.r, TRIM(C368),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69" spans="1:8" x14ac:dyDescent="0.25">
      <c r="A369">
        <v>2022</v>
      </c>
      <c r="B369" t="s">
        <v>10</v>
      </c>
      <c r="C369" t="s">
        <v>5</v>
      </c>
      <c r="E369">
        <v>3071592</v>
      </c>
      <c r="F369" t="s">
        <v>78</v>
      </c>
      <c r="G369" t="str" cm="1">
        <f t="array" ref="G369">_xlfn.LET(
    _xlpm.r, TRIM(B369),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69" t="str" cm="1">
        <f t="array" ref="H369">_xlfn.LET(
     _xlpm.r, TRIM(C369),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70" spans="1:8" x14ac:dyDescent="0.25">
      <c r="A370">
        <v>2022</v>
      </c>
      <c r="B370" t="s">
        <v>10</v>
      </c>
      <c r="C370" t="s">
        <v>5</v>
      </c>
      <c r="E370">
        <v>4987720</v>
      </c>
      <c r="F370" t="s">
        <v>78</v>
      </c>
      <c r="G370" t="str" cm="1">
        <f t="array" ref="G370">_xlfn.LET(
    _xlpm.r, TRIM(B370),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70" t="str" cm="1">
        <f t="array" ref="H370">_xlfn.LET(
     _xlpm.r, TRIM(C370),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71" spans="1:8" x14ac:dyDescent="0.25">
      <c r="A371">
        <v>2022</v>
      </c>
      <c r="B371" t="s">
        <v>10</v>
      </c>
      <c r="C371" t="s">
        <v>5</v>
      </c>
      <c r="E371">
        <v>280000</v>
      </c>
      <c r="F371" t="s">
        <v>78</v>
      </c>
      <c r="G371" t="str" cm="1">
        <f t="array" ref="G371">_xlfn.LET(
    _xlpm.r, TRIM(B371),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71" t="str" cm="1">
        <f t="array" ref="H371">_xlfn.LET(
     _xlpm.r, TRIM(C371),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72" spans="1:8" x14ac:dyDescent="0.25">
      <c r="A372">
        <v>2022</v>
      </c>
      <c r="B372" t="s">
        <v>10</v>
      </c>
      <c r="C372" t="s">
        <v>5</v>
      </c>
      <c r="E372">
        <v>660000</v>
      </c>
      <c r="F372" t="s">
        <v>78</v>
      </c>
      <c r="G372" t="str" cm="1">
        <f t="array" ref="G372">_xlfn.LET(
    _xlpm.r, TRIM(B372),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72" t="str" cm="1">
        <f t="array" ref="H372">_xlfn.LET(
     _xlpm.r, TRIM(C372),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73" spans="1:8" x14ac:dyDescent="0.25">
      <c r="A373">
        <v>2022</v>
      </c>
      <c r="B373" t="s">
        <v>10</v>
      </c>
      <c r="C373" t="s">
        <v>5</v>
      </c>
      <c r="E373">
        <v>610000</v>
      </c>
      <c r="F373" t="s">
        <v>78</v>
      </c>
      <c r="G373" t="str" cm="1">
        <f t="array" ref="G373">_xlfn.LET(
    _xlpm.r, TRIM(B373),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73" t="str" cm="1">
        <f t="array" ref="H373">_xlfn.LET(
     _xlpm.r, TRIM(C373),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74" spans="1:8" x14ac:dyDescent="0.25">
      <c r="A374">
        <v>2022</v>
      </c>
      <c r="B374" t="s">
        <v>10</v>
      </c>
      <c r="C374" t="s">
        <v>5</v>
      </c>
      <c r="E374">
        <v>1014436</v>
      </c>
      <c r="F374" t="s">
        <v>78</v>
      </c>
      <c r="G374" t="str" cm="1">
        <f t="array" ref="G374">_xlfn.LET(
    _xlpm.r, TRIM(B374),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74" t="str" cm="1">
        <f t="array" ref="H374">_xlfn.LET(
     _xlpm.r, TRIM(C374),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75" spans="1:8" x14ac:dyDescent="0.25">
      <c r="A375">
        <v>2022</v>
      </c>
      <c r="B375" t="s">
        <v>10</v>
      </c>
      <c r="C375" t="s">
        <v>5</v>
      </c>
      <c r="E375">
        <v>3306448</v>
      </c>
      <c r="F375" t="s">
        <v>78</v>
      </c>
      <c r="G375" t="str" cm="1">
        <f t="array" ref="G375">_xlfn.LET(
    _xlpm.r, TRIM(B375),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75" t="str" cm="1">
        <f t="array" ref="H375">_xlfn.LET(
     _xlpm.r, TRIM(C375),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76" spans="1:8" x14ac:dyDescent="0.25">
      <c r="A376">
        <v>2022</v>
      </c>
      <c r="B376" t="s">
        <v>10</v>
      </c>
      <c r="C376" t="s">
        <v>5</v>
      </c>
      <c r="E376">
        <v>1839776</v>
      </c>
      <c r="F376" t="s">
        <v>78</v>
      </c>
      <c r="G376" t="str" cm="1">
        <f t="array" ref="G376">_xlfn.LET(
    _xlpm.r, TRIM(B376),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76" t="str" cm="1">
        <f t="array" ref="H376">_xlfn.LET(
     _xlpm.r, TRIM(C376),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77" spans="1:8" x14ac:dyDescent="0.25">
      <c r="A377">
        <v>2022</v>
      </c>
      <c r="B377" t="s">
        <v>10</v>
      </c>
      <c r="C377" t="s">
        <v>5</v>
      </c>
      <c r="E377">
        <v>810000</v>
      </c>
      <c r="F377" t="s">
        <v>78</v>
      </c>
      <c r="G377" t="str" cm="1">
        <f t="array" ref="G377">_xlfn.LET(
    _xlpm.r, TRIM(B377),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77" t="str" cm="1">
        <f t="array" ref="H377">_xlfn.LET(
     _xlpm.r, TRIM(C377),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78" spans="1:8" x14ac:dyDescent="0.25">
      <c r="A378">
        <v>2022</v>
      </c>
      <c r="B378" t="s">
        <v>10</v>
      </c>
      <c r="C378" t="s">
        <v>5</v>
      </c>
      <c r="E378">
        <v>1332056</v>
      </c>
      <c r="F378" t="s">
        <v>78</v>
      </c>
      <c r="G378" t="str" cm="1">
        <f t="array" ref="G378">_xlfn.LET(
    _xlpm.r, TRIM(B378),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78" t="str" cm="1">
        <f t="array" ref="H378">_xlfn.LET(
     _xlpm.r, TRIM(C378),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79" spans="1:8" x14ac:dyDescent="0.25">
      <c r="A379">
        <v>2022</v>
      </c>
      <c r="B379" t="s">
        <v>10</v>
      </c>
      <c r="C379" t="s">
        <v>5</v>
      </c>
      <c r="E379">
        <v>1021380</v>
      </c>
      <c r="F379" t="s">
        <v>78</v>
      </c>
      <c r="G379" t="str" cm="1">
        <f t="array" ref="G379">_xlfn.LET(
    _xlpm.r, TRIM(B379),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79" t="str" cm="1">
        <f t="array" ref="H379">_xlfn.LET(
     _xlpm.r, TRIM(C379),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80" spans="1:8" x14ac:dyDescent="0.25">
      <c r="A380">
        <v>2022</v>
      </c>
      <c r="B380" t="s">
        <v>10</v>
      </c>
      <c r="C380" t="s">
        <v>5</v>
      </c>
      <c r="E380">
        <v>963492</v>
      </c>
      <c r="F380" t="s">
        <v>78</v>
      </c>
      <c r="G380" t="str" cm="1">
        <f t="array" ref="G380">_xlfn.LET(
    _xlpm.r, TRIM(B380),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80" t="str" cm="1">
        <f t="array" ref="H380">_xlfn.LET(
     _xlpm.r, TRIM(C380),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81" spans="1:8" x14ac:dyDescent="0.25">
      <c r="A381">
        <v>2022</v>
      </c>
      <c r="B381" t="s">
        <v>10</v>
      </c>
      <c r="C381" t="s">
        <v>5</v>
      </c>
      <c r="E381">
        <v>1450684</v>
      </c>
      <c r="F381" t="s">
        <v>78</v>
      </c>
      <c r="G381" t="str" cm="1">
        <f t="array" ref="G381">_xlfn.LET(
    _xlpm.r, TRIM(B381),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81" t="str" cm="1">
        <f t="array" ref="H381">_xlfn.LET(
     _xlpm.r, TRIM(C381),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82" spans="1:8" x14ac:dyDescent="0.25">
      <c r="A382">
        <v>2022</v>
      </c>
      <c r="B382" t="s">
        <v>10</v>
      </c>
      <c r="C382" t="s">
        <v>5</v>
      </c>
      <c r="E382">
        <v>2914212</v>
      </c>
      <c r="F382" t="s">
        <v>78</v>
      </c>
      <c r="G382" t="str" cm="1">
        <f t="array" ref="G382">_xlfn.LET(
    _xlpm.r, TRIM(B382),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82" t="str" cm="1">
        <f t="array" ref="H382">_xlfn.LET(
     _xlpm.r, TRIM(C382),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83" spans="1:8" x14ac:dyDescent="0.25">
      <c r="A383">
        <v>2022</v>
      </c>
      <c r="B383" t="s">
        <v>10</v>
      </c>
      <c r="C383" t="s">
        <v>5</v>
      </c>
      <c r="E383">
        <v>1466244</v>
      </c>
      <c r="F383" t="s">
        <v>78</v>
      </c>
      <c r="G383" t="str" cm="1">
        <f t="array" ref="G383">_xlfn.LET(
    _xlpm.r, TRIM(B383),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83" t="str" cm="1">
        <f t="array" ref="H383">_xlfn.LET(
     _xlpm.r, TRIM(C383),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84" spans="1:8" x14ac:dyDescent="0.25">
      <c r="A384">
        <v>2022</v>
      </c>
      <c r="B384" t="s">
        <v>10</v>
      </c>
      <c r="C384" t="s">
        <v>5</v>
      </c>
      <c r="E384">
        <v>1320000</v>
      </c>
      <c r="F384" t="s">
        <v>78</v>
      </c>
      <c r="G384" t="str" cm="1">
        <f t="array" ref="G384">_xlfn.LET(
    _xlpm.r, TRIM(B384),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84" t="str" cm="1">
        <f t="array" ref="H384">_xlfn.LET(
     _xlpm.r, TRIM(C384),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85" spans="1:8" x14ac:dyDescent="0.25">
      <c r="A385">
        <v>2022</v>
      </c>
      <c r="B385" t="s">
        <v>10</v>
      </c>
      <c r="C385" t="s">
        <v>5</v>
      </c>
      <c r="E385">
        <v>4169504</v>
      </c>
      <c r="F385" t="s">
        <v>78</v>
      </c>
      <c r="G385" t="str" cm="1">
        <f t="array" ref="G385">_xlfn.LET(
    _xlpm.r, TRIM(B385),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85" t="str" cm="1">
        <f t="array" ref="H385">_xlfn.LET(
     _xlpm.r, TRIM(C385),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86" spans="1:8" x14ac:dyDescent="0.25">
      <c r="A386">
        <v>2022</v>
      </c>
      <c r="B386" t="s">
        <v>10</v>
      </c>
      <c r="C386" t="s">
        <v>5</v>
      </c>
      <c r="E386">
        <v>1733772</v>
      </c>
      <c r="F386" t="s">
        <v>78</v>
      </c>
      <c r="G386" t="str" cm="1">
        <f t="array" ref="G386">_xlfn.LET(
    _xlpm.r, TRIM(B386),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86" t="str" cm="1">
        <f t="array" ref="H386">_xlfn.LET(
     _xlpm.r, TRIM(C386),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87" spans="1:8" x14ac:dyDescent="0.25">
      <c r="A387">
        <v>2022</v>
      </c>
      <c r="B387" t="s">
        <v>10</v>
      </c>
      <c r="C387" t="s">
        <v>5</v>
      </c>
      <c r="E387">
        <v>3536104</v>
      </c>
      <c r="F387" t="s">
        <v>78</v>
      </c>
      <c r="G387" t="str" cm="1">
        <f t="array" ref="G387">_xlfn.LET(
    _xlpm.r, TRIM(B387),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87" t="str" cm="1">
        <f t="array" ref="H387">_xlfn.LET(
     _xlpm.r, TRIM(C387),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88" spans="1:8" x14ac:dyDescent="0.25">
      <c r="A388">
        <v>2022</v>
      </c>
      <c r="B388" t="s">
        <v>10</v>
      </c>
      <c r="C388" t="s">
        <v>5</v>
      </c>
      <c r="E388">
        <v>2313316</v>
      </c>
      <c r="F388" t="s">
        <v>78</v>
      </c>
      <c r="G388" t="str" cm="1">
        <f t="array" ref="G388">_xlfn.LET(
    _xlpm.r, TRIM(B388),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88" t="str" cm="1">
        <f t="array" ref="H388">_xlfn.LET(
     _xlpm.r, TRIM(C388),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89" spans="1:8" x14ac:dyDescent="0.25">
      <c r="A389">
        <v>2022</v>
      </c>
      <c r="B389" t="s">
        <v>10</v>
      </c>
      <c r="C389" t="s">
        <v>5</v>
      </c>
      <c r="E389">
        <v>3024920</v>
      </c>
      <c r="F389" t="s">
        <v>78</v>
      </c>
      <c r="G389" t="str" cm="1">
        <f t="array" ref="G389">_xlfn.LET(
    _xlpm.r, TRIM(B389),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89" t="str" cm="1">
        <f t="array" ref="H389">_xlfn.LET(
     _xlpm.r, TRIM(C389),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90" spans="1:8" x14ac:dyDescent="0.25">
      <c r="A390">
        <v>2022</v>
      </c>
      <c r="B390" t="s">
        <v>10</v>
      </c>
      <c r="C390" t="s">
        <v>5</v>
      </c>
      <c r="E390">
        <v>442000</v>
      </c>
      <c r="F390" t="s">
        <v>78</v>
      </c>
      <c r="G390" t="str" cm="1">
        <f t="array" ref="G390">_xlfn.LET(
    _xlpm.r, TRIM(B390),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90" t="str" cm="1">
        <f t="array" ref="H390">_xlfn.LET(
     _xlpm.r, TRIM(C390),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91" spans="1:8" x14ac:dyDescent="0.25">
      <c r="A391">
        <v>2022</v>
      </c>
      <c r="B391" t="s">
        <v>10</v>
      </c>
      <c r="C391" t="s">
        <v>5</v>
      </c>
      <c r="E391">
        <v>3131632</v>
      </c>
      <c r="F391" t="s">
        <v>78</v>
      </c>
      <c r="G391" t="str" cm="1">
        <f t="array" ref="G391">_xlfn.LET(
    _xlpm.r, TRIM(B391),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91" t="str" cm="1">
        <f t="array" ref="H391">_xlfn.LET(
     _xlpm.r, TRIM(C391),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92" spans="1:8" x14ac:dyDescent="0.25">
      <c r="A392">
        <v>2022</v>
      </c>
      <c r="B392" t="s">
        <v>10</v>
      </c>
      <c r="C392" t="s">
        <v>5</v>
      </c>
      <c r="E392">
        <v>1028468</v>
      </c>
      <c r="F392" t="s">
        <v>78</v>
      </c>
      <c r="G392" t="str" cm="1">
        <f t="array" ref="G392">_xlfn.LET(
    _xlpm.r, TRIM(B392),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92" t="str" cm="1">
        <f t="array" ref="H392">_xlfn.LET(
     _xlpm.r, TRIM(C392),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93" spans="1:8" x14ac:dyDescent="0.25">
      <c r="A393">
        <v>2022</v>
      </c>
      <c r="B393" t="s">
        <v>10</v>
      </c>
      <c r="C393" t="s">
        <v>5</v>
      </c>
      <c r="E393">
        <v>710000</v>
      </c>
      <c r="F393" t="s">
        <v>78</v>
      </c>
      <c r="G393" t="str" cm="1">
        <f t="array" ref="G393">_xlfn.LET(
    _xlpm.r, TRIM(B393),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93" t="str" cm="1">
        <f t="array" ref="H393">_xlfn.LET(
     _xlpm.r, TRIM(C393),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94" spans="1:8" x14ac:dyDescent="0.25">
      <c r="A394">
        <v>2022</v>
      </c>
      <c r="B394" t="s">
        <v>10</v>
      </c>
      <c r="C394" t="s">
        <v>5</v>
      </c>
      <c r="E394">
        <v>3296800</v>
      </c>
      <c r="F394" t="s">
        <v>78</v>
      </c>
      <c r="G394" t="str" cm="1">
        <f t="array" ref="G394">_xlfn.LET(
    _xlpm.r, TRIM(B394),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94" t="str" cm="1">
        <f t="array" ref="H394">_xlfn.LET(
     _xlpm.r, TRIM(C394),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95" spans="1:8" x14ac:dyDescent="0.25">
      <c r="A395">
        <v>2022</v>
      </c>
      <c r="B395" t="s">
        <v>10</v>
      </c>
      <c r="C395" t="s">
        <v>5</v>
      </c>
      <c r="E395">
        <v>2362860</v>
      </c>
      <c r="F395" t="s">
        <v>78</v>
      </c>
      <c r="G395" t="str" cm="1">
        <f t="array" ref="G395">_xlfn.LET(
    _xlpm.r, TRIM(B395),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95" t="str" cm="1">
        <f t="array" ref="H395">_xlfn.LET(
     _xlpm.r, TRIM(C395),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96" spans="1:8" x14ac:dyDescent="0.25">
      <c r="A396">
        <v>2022</v>
      </c>
      <c r="B396" t="s">
        <v>10</v>
      </c>
      <c r="C396" t="s">
        <v>5</v>
      </c>
      <c r="E396">
        <v>2943896</v>
      </c>
      <c r="F396" t="s">
        <v>78</v>
      </c>
      <c r="G396" t="str" cm="1">
        <f t="array" ref="G396">_xlfn.LET(
    _xlpm.r, TRIM(B396),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96" t="str" cm="1">
        <f t="array" ref="H396">_xlfn.LET(
     _xlpm.r, TRIM(C396),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97" spans="1:8" x14ac:dyDescent="0.25">
      <c r="A397">
        <v>2022</v>
      </c>
      <c r="B397" t="s">
        <v>10</v>
      </c>
      <c r="C397" t="s">
        <v>5</v>
      </c>
      <c r="E397">
        <v>4329636</v>
      </c>
      <c r="F397" t="s">
        <v>78</v>
      </c>
      <c r="G397" t="str" cm="1">
        <f t="array" ref="G397">_xlfn.LET(
    _xlpm.r, TRIM(B397),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97" t="str" cm="1">
        <f t="array" ref="H397">_xlfn.LET(
     _xlpm.r, TRIM(C397),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98" spans="1:8" x14ac:dyDescent="0.25">
      <c r="A398">
        <v>2022</v>
      </c>
      <c r="B398" t="s">
        <v>10</v>
      </c>
      <c r="C398" t="s">
        <v>5</v>
      </c>
      <c r="E398">
        <v>2378052</v>
      </c>
      <c r="F398" t="s">
        <v>78</v>
      </c>
      <c r="G398" t="str" cm="1">
        <f t="array" ref="G398">_xlfn.LET(
    _xlpm.r, TRIM(B398),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98" t="str" cm="1">
        <f t="array" ref="H398">_xlfn.LET(
     _xlpm.r, TRIM(C398),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399" spans="1:8" x14ac:dyDescent="0.25">
      <c r="A399">
        <v>2022</v>
      </c>
      <c r="B399" t="s">
        <v>10</v>
      </c>
      <c r="C399" t="s">
        <v>5</v>
      </c>
      <c r="E399">
        <v>395000</v>
      </c>
      <c r="F399" t="s">
        <v>78</v>
      </c>
      <c r="G399" t="str" cm="1">
        <f t="array" ref="G399">_xlfn.LET(
    _xlpm.r, TRIM(B399),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399" t="str" cm="1">
        <f t="array" ref="H399">_xlfn.LET(
     _xlpm.r, TRIM(C399),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00" spans="1:8" x14ac:dyDescent="0.25">
      <c r="A400">
        <v>2022</v>
      </c>
      <c r="B400" t="s">
        <v>10</v>
      </c>
      <c r="C400" t="s">
        <v>5</v>
      </c>
      <c r="E400">
        <v>130000</v>
      </c>
      <c r="F400" t="s">
        <v>78</v>
      </c>
      <c r="G400" t="str" cm="1">
        <f t="array" ref="G400">_xlfn.LET(
    _xlpm.r, TRIM(B400),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00" t="str" cm="1">
        <f t="array" ref="H400">_xlfn.LET(
     _xlpm.r, TRIM(C400),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01" spans="1:8" x14ac:dyDescent="0.25">
      <c r="A401">
        <v>2022</v>
      </c>
      <c r="B401" t="s">
        <v>10</v>
      </c>
      <c r="C401" t="s">
        <v>5</v>
      </c>
      <c r="E401">
        <v>2037412</v>
      </c>
      <c r="F401" t="s">
        <v>78</v>
      </c>
      <c r="G401" t="str" cm="1">
        <f t="array" ref="G401">_xlfn.LET(
    _xlpm.r, TRIM(B401),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01" t="str" cm="1">
        <f t="array" ref="H401">_xlfn.LET(
     _xlpm.r, TRIM(C401),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02" spans="1:8" x14ac:dyDescent="0.25">
      <c r="A402">
        <v>2022</v>
      </c>
      <c r="B402" t="s">
        <v>10</v>
      </c>
      <c r="C402" t="s">
        <v>5</v>
      </c>
      <c r="E402">
        <v>1208332</v>
      </c>
      <c r="F402" t="s">
        <v>78</v>
      </c>
      <c r="G402" t="str" cm="1">
        <f t="array" ref="G402">_xlfn.LET(
    _xlpm.r, TRIM(B402),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02" t="str" cm="1">
        <f t="array" ref="H402">_xlfn.LET(
     _xlpm.r, TRIM(C402),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03" spans="1:8" x14ac:dyDescent="0.25">
      <c r="A403">
        <v>2022</v>
      </c>
      <c r="B403" t="s">
        <v>10</v>
      </c>
      <c r="C403" t="s">
        <v>5</v>
      </c>
      <c r="E403">
        <v>1506676</v>
      </c>
      <c r="F403" t="s">
        <v>78</v>
      </c>
      <c r="G403" t="str" cm="1">
        <f t="array" ref="G403">_xlfn.LET(
    _xlpm.r, TRIM(B403),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03" t="str" cm="1">
        <f t="array" ref="H403">_xlfn.LET(
     _xlpm.r, TRIM(C403),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04" spans="1:8" x14ac:dyDescent="0.25">
      <c r="A404">
        <v>2022</v>
      </c>
      <c r="B404" t="s">
        <v>10</v>
      </c>
      <c r="C404" t="s">
        <v>5</v>
      </c>
      <c r="E404">
        <v>1457824</v>
      </c>
      <c r="F404" t="s">
        <v>78</v>
      </c>
      <c r="G404" t="str" cm="1">
        <f t="array" ref="G404">_xlfn.LET(
    _xlpm.r, TRIM(B404),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04" t="str" cm="1">
        <f t="array" ref="H404">_xlfn.LET(
     _xlpm.r, TRIM(C404),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05" spans="1:8" x14ac:dyDescent="0.25">
      <c r="A405">
        <v>2022</v>
      </c>
      <c r="B405" t="s">
        <v>10</v>
      </c>
      <c r="C405" t="s">
        <v>5</v>
      </c>
      <c r="E405">
        <v>485000</v>
      </c>
      <c r="F405" t="s">
        <v>78</v>
      </c>
      <c r="G405" t="str" cm="1">
        <f t="array" ref="G405">_xlfn.LET(
    _xlpm.r, TRIM(B405),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05" t="str" cm="1">
        <f t="array" ref="H405">_xlfn.LET(
     _xlpm.r, TRIM(C405),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06" spans="1:8" x14ac:dyDescent="0.25">
      <c r="A406">
        <v>2022</v>
      </c>
      <c r="B406" t="s">
        <v>10</v>
      </c>
      <c r="C406" t="s">
        <v>5</v>
      </c>
      <c r="E406">
        <v>971300</v>
      </c>
      <c r="F406" t="s">
        <v>78</v>
      </c>
      <c r="G406" t="str" cm="1">
        <f t="array" ref="G406">_xlfn.LET(
    _xlpm.r, TRIM(B406),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06" t="str" cm="1">
        <f t="array" ref="H406">_xlfn.LET(
     _xlpm.r, TRIM(C406),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07" spans="1:8" x14ac:dyDescent="0.25">
      <c r="A407">
        <v>2022</v>
      </c>
      <c r="B407" t="s">
        <v>10</v>
      </c>
      <c r="C407" t="s">
        <v>5</v>
      </c>
      <c r="E407">
        <v>605000</v>
      </c>
      <c r="F407" t="s">
        <v>78</v>
      </c>
      <c r="G407" t="str" cm="1">
        <f t="array" ref="G407">_xlfn.LET(
    _xlpm.r, TRIM(B407),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07" t="str" cm="1">
        <f t="array" ref="H407">_xlfn.LET(
     _xlpm.r, TRIM(C407),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08" spans="1:8" x14ac:dyDescent="0.25">
      <c r="A408">
        <v>2022</v>
      </c>
      <c r="B408" t="s">
        <v>10</v>
      </c>
      <c r="C408" t="s">
        <v>5</v>
      </c>
      <c r="E408">
        <v>250000</v>
      </c>
      <c r="F408" t="s">
        <v>78</v>
      </c>
      <c r="G408" t="str" cm="1">
        <f t="array" ref="G408">_xlfn.LET(
    _xlpm.r, TRIM(B408),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08" t="str" cm="1">
        <f t="array" ref="H408">_xlfn.LET(
     _xlpm.r, TRIM(C408),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09" spans="1:8" x14ac:dyDescent="0.25">
      <c r="A409">
        <v>2022</v>
      </c>
      <c r="B409" t="s">
        <v>10</v>
      </c>
      <c r="C409" t="s">
        <v>5</v>
      </c>
      <c r="E409">
        <v>310000</v>
      </c>
      <c r="F409" t="s">
        <v>78</v>
      </c>
      <c r="G409" t="str" cm="1">
        <f t="array" ref="G409">_xlfn.LET(
    _xlpm.r, TRIM(B409),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09" t="str" cm="1">
        <f t="array" ref="H409">_xlfn.LET(
     _xlpm.r, TRIM(C409),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10" spans="1:8" x14ac:dyDescent="0.25">
      <c r="A410">
        <v>2022</v>
      </c>
      <c r="B410" t="s">
        <v>10</v>
      </c>
      <c r="C410" t="s">
        <v>5</v>
      </c>
      <c r="E410">
        <v>250000</v>
      </c>
      <c r="F410" t="s">
        <v>78</v>
      </c>
      <c r="G410" t="str" cm="1">
        <f t="array" ref="G410">_xlfn.LET(
    _xlpm.r, TRIM(B410),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10" t="str" cm="1">
        <f t="array" ref="H410">_xlfn.LET(
     _xlpm.r, TRIM(C410),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11" spans="1:8" x14ac:dyDescent="0.25">
      <c r="A411">
        <v>2022</v>
      </c>
      <c r="B411" t="s">
        <v>10</v>
      </c>
      <c r="C411" t="s">
        <v>5</v>
      </c>
      <c r="E411">
        <v>310000</v>
      </c>
      <c r="F411" t="s">
        <v>78</v>
      </c>
      <c r="G411" t="str" cm="1">
        <f t="array" ref="G411">_xlfn.LET(
    _xlpm.r, TRIM(B411),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11" t="str" cm="1">
        <f t="array" ref="H411">_xlfn.LET(
     _xlpm.r, TRIM(C411),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12" spans="1:8" x14ac:dyDescent="0.25">
      <c r="A412">
        <v>2022</v>
      </c>
      <c r="B412" t="s">
        <v>10</v>
      </c>
      <c r="C412" t="s">
        <v>5</v>
      </c>
      <c r="E412">
        <v>20000</v>
      </c>
      <c r="F412" t="s">
        <v>78</v>
      </c>
      <c r="G412" t="str" cm="1">
        <f t="array" ref="G412">_xlfn.LET(
    _xlpm.r, TRIM(B412),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12" t="str" cm="1">
        <f t="array" ref="H412">_xlfn.LET(
     _xlpm.r, TRIM(C412),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13" spans="1:8" x14ac:dyDescent="0.25">
      <c r="A413">
        <v>2022</v>
      </c>
      <c r="B413" t="s">
        <v>10</v>
      </c>
      <c r="C413" t="s">
        <v>5</v>
      </c>
      <c r="E413">
        <v>20000</v>
      </c>
      <c r="F413" t="s">
        <v>78</v>
      </c>
      <c r="G413" t="str" cm="1">
        <f t="array" ref="G413">_xlfn.LET(
    _xlpm.r, TRIM(B413),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13" t="str" cm="1">
        <f t="array" ref="H413">_xlfn.LET(
     _xlpm.r, TRIM(C413),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14" spans="1:8" x14ac:dyDescent="0.25">
      <c r="A414">
        <v>2022</v>
      </c>
      <c r="B414" t="s">
        <v>10</v>
      </c>
      <c r="C414" t="s">
        <v>5</v>
      </c>
      <c r="E414">
        <v>3999000</v>
      </c>
      <c r="F414" t="s">
        <v>78</v>
      </c>
      <c r="G414" t="str" cm="1">
        <f t="array" ref="G414">_xlfn.LET(
    _xlpm.r, TRIM(B414),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14" t="str" cm="1">
        <f t="array" ref="H414">_xlfn.LET(
     _xlpm.r, TRIM(C414),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15" spans="1:8" x14ac:dyDescent="0.25">
      <c r="A415">
        <v>2022</v>
      </c>
      <c r="B415" t="s">
        <v>10</v>
      </c>
      <c r="C415" t="s">
        <v>5</v>
      </c>
      <c r="E415">
        <v>2700000</v>
      </c>
      <c r="F415" t="s">
        <v>78</v>
      </c>
      <c r="G415" t="str" cm="1">
        <f t="array" ref="G415">_xlfn.LET(
    _xlpm.r, TRIM(B415),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15" t="str" cm="1">
        <f t="array" ref="H415">_xlfn.LET(
     _xlpm.r, TRIM(C415),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16" spans="1:8" x14ac:dyDescent="0.25">
      <c r="A416">
        <v>2022</v>
      </c>
      <c r="B416" t="s">
        <v>10</v>
      </c>
      <c r="C416" t="s">
        <v>5</v>
      </c>
      <c r="E416">
        <v>1765524</v>
      </c>
      <c r="F416" t="s">
        <v>78</v>
      </c>
      <c r="G416" t="str" cm="1">
        <f t="array" ref="G416">_xlfn.LET(
    _xlpm.r, TRIM(B416),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16" t="str" cm="1">
        <f t="array" ref="H416">_xlfn.LET(
     _xlpm.r, TRIM(C416),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17" spans="1:8" x14ac:dyDescent="0.25">
      <c r="A417">
        <v>2022</v>
      </c>
      <c r="B417" t="s">
        <v>10</v>
      </c>
      <c r="C417" t="s">
        <v>5</v>
      </c>
      <c r="E417">
        <v>625000</v>
      </c>
      <c r="F417" t="s">
        <v>78</v>
      </c>
      <c r="G417" t="str" cm="1">
        <f t="array" ref="G417">_xlfn.LET(
    _xlpm.r, TRIM(B417),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17" t="str" cm="1">
        <f t="array" ref="H417">_xlfn.LET(
     _xlpm.r, TRIM(C417),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18" spans="1:8" x14ac:dyDescent="0.25">
      <c r="A418">
        <v>2022</v>
      </c>
      <c r="B418" t="s">
        <v>10</v>
      </c>
      <c r="C418" t="s">
        <v>5</v>
      </c>
      <c r="E418">
        <v>1407828</v>
      </c>
      <c r="F418" t="s">
        <v>78</v>
      </c>
      <c r="G418" t="str" cm="1">
        <f t="array" ref="G418">_xlfn.LET(
    _xlpm.r, TRIM(B418),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18" t="str" cm="1">
        <f t="array" ref="H418">_xlfn.LET(
     _xlpm.r, TRIM(C418),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19" spans="1:8" x14ac:dyDescent="0.25">
      <c r="A419">
        <v>2022</v>
      </c>
      <c r="B419" t="s">
        <v>10</v>
      </c>
      <c r="C419" t="s">
        <v>5</v>
      </c>
      <c r="E419">
        <v>812100</v>
      </c>
      <c r="F419" t="s">
        <v>78</v>
      </c>
      <c r="G419" t="str" cm="1">
        <f t="array" ref="G419">_xlfn.LET(
    _xlpm.r, TRIM(B419),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19" t="str" cm="1">
        <f t="array" ref="H419">_xlfn.LET(
     _xlpm.r, TRIM(C419),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20" spans="1:8" x14ac:dyDescent="0.25">
      <c r="A420">
        <v>2022</v>
      </c>
      <c r="B420" t="s">
        <v>10</v>
      </c>
      <c r="C420" t="s">
        <v>5</v>
      </c>
      <c r="E420">
        <v>2392012</v>
      </c>
      <c r="F420" t="s">
        <v>78</v>
      </c>
      <c r="G420" t="str" cm="1">
        <f t="array" ref="G420">_xlfn.LET(
    _xlpm.r, TRIM(B420),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20" t="str" cm="1">
        <f t="array" ref="H420">_xlfn.LET(
     _xlpm.r, TRIM(C420),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21" spans="1:8" x14ac:dyDescent="0.25">
      <c r="A421">
        <v>2022</v>
      </c>
      <c r="B421" t="s">
        <v>10</v>
      </c>
      <c r="C421" t="s">
        <v>5</v>
      </c>
      <c r="E421">
        <v>1059020</v>
      </c>
      <c r="F421" t="s">
        <v>78</v>
      </c>
      <c r="G421" t="str" cm="1">
        <f t="array" ref="G421">_xlfn.LET(
    _xlpm.r, TRIM(B421),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21" t="str" cm="1">
        <f t="array" ref="H421">_xlfn.LET(
     _xlpm.r, TRIM(C421),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22" spans="1:8" x14ac:dyDescent="0.25">
      <c r="A422">
        <v>2022</v>
      </c>
      <c r="B422" t="s">
        <v>10</v>
      </c>
      <c r="C422" t="s">
        <v>5</v>
      </c>
      <c r="E422">
        <v>1911668</v>
      </c>
      <c r="F422" t="s">
        <v>78</v>
      </c>
      <c r="G422" t="str" cm="1">
        <f t="array" ref="G422">_xlfn.LET(
    _xlpm.r, TRIM(B422),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22" t="str" cm="1">
        <f t="array" ref="H422">_xlfn.LET(
     _xlpm.r, TRIM(C422),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23" spans="1:8" x14ac:dyDescent="0.25">
      <c r="A423">
        <v>2022</v>
      </c>
      <c r="B423" t="s">
        <v>10</v>
      </c>
      <c r="C423" t="s">
        <v>5</v>
      </c>
      <c r="E423">
        <v>70000</v>
      </c>
      <c r="F423" t="s">
        <v>78</v>
      </c>
      <c r="G423" t="str" cm="1">
        <f t="array" ref="G423">_xlfn.LET(
    _xlpm.r, TRIM(B423),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23" t="str" cm="1">
        <f t="array" ref="H423">_xlfn.LET(
     _xlpm.r, TRIM(C423),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24" spans="1:8" x14ac:dyDescent="0.25">
      <c r="A424">
        <v>2022</v>
      </c>
      <c r="B424" t="s">
        <v>10</v>
      </c>
      <c r="C424" t="s">
        <v>5</v>
      </c>
      <c r="E424">
        <v>185000</v>
      </c>
      <c r="F424" t="s">
        <v>78</v>
      </c>
      <c r="G424" t="str" cm="1">
        <f t="array" ref="G424">_xlfn.LET(
    _xlpm.r, TRIM(B424),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24" t="str" cm="1">
        <f t="array" ref="H424">_xlfn.LET(
     _xlpm.r, TRIM(C424),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25" spans="1:8" x14ac:dyDescent="0.25">
      <c r="A425">
        <v>2022</v>
      </c>
      <c r="B425" t="s">
        <v>10</v>
      </c>
      <c r="C425" t="s">
        <v>5</v>
      </c>
      <c r="E425">
        <v>2391344</v>
      </c>
      <c r="F425" t="s">
        <v>78</v>
      </c>
      <c r="G425" t="str" cm="1">
        <f t="array" ref="G425">_xlfn.LET(
    _xlpm.r, TRIM(B425),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25" t="str" cm="1">
        <f t="array" ref="H425">_xlfn.LET(
     _xlpm.r, TRIM(C425),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26" spans="1:8" x14ac:dyDescent="0.25">
      <c r="A426">
        <v>2022</v>
      </c>
      <c r="B426" t="s">
        <v>10</v>
      </c>
      <c r="C426" t="s">
        <v>5</v>
      </c>
      <c r="E426">
        <v>1234308</v>
      </c>
      <c r="F426" t="s">
        <v>78</v>
      </c>
      <c r="G426" t="str" cm="1">
        <f t="array" ref="G426">_xlfn.LET(
    _xlpm.r, TRIM(B426),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26" t="str" cm="1">
        <f t="array" ref="H426">_xlfn.LET(
     _xlpm.r, TRIM(C426),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27" spans="1:8" x14ac:dyDescent="0.25">
      <c r="A427">
        <v>2022</v>
      </c>
      <c r="B427" t="s">
        <v>10</v>
      </c>
      <c r="C427" t="s">
        <v>5</v>
      </c>
      <c r="E427">
        <v>1227816</v>
      </c>
      <c r="F427" t="s">
        <v>78</v>
      </c>
      <c r="G427" t="str" cm="1">
        <f t="array" ref="G427">_xlfn.LET(
    _xlpm.r, TRIM(B427),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27" t="str" cm="1">
        <f t="array" ref="H427">_xlfn.LET(
     _xlpm.r, TRIM(C427),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28" spans="1:8" x14ac:dyDescent="0.25">
      <c r="A428">
        <v>2022</v>
      </c>
      <c r="B428" t="s">
        <v>10</v>
      </c>
      <c r="C428" t="s">
        <v>5</v>
      </c>
      <c r="E428">
        <v>753900</v>
      </c>
      <c r="F428" t="s">
        <v>78</v>
      </c>
      <c r="G428" t="str" cm="1">
        <f t="array" ref="G428">_xlfn.LET(
    _xlpm.r, TRIM(B428),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28" t="str" cm="1">
        <f t="array" ref="H428">_xlfn.LET(
     _xlpm.r, TRIM(C428),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29" spans="1:8" x14ac:dyDescent="0.25">
      <c r="A429">
        <v>2022</v>
      </c>
      <c r="B429" t="s">
        <v>10</v>
      </c>
      <c r="C429" t="s">
        <v>5</v>
      </c>
      <c r="E429">
        <v>1405948</v>
      </c>
      <c r="F429" t="s">
        <v>78</v>
      </c>
      <c r="G429" t="str" cm="1">
        <f t="array" ref="G429">_xlfn.LET(
    _xlpm.r, TRIM(B429),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29" t="str" cm="1">
        <f t="array" ref="H429">_xlfn.LET(
     _xlpm.r, TRIM(C429),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30" spans="1:8" x14ac:dyDescent="0.25">
      <c r="A430">
        <v>2022</v>
      </c>
      <c r="B430" t="s">
        <v>10</v>
      </c>
      <c r="C430" t="s">
        <v>5</v>
      </c>
      <c r="E430">
        <v>1391872</v>
      </c>
      <c r="F430" t="s">
        <v>78</v>
      </c>
      <c r="G430" t="str" cm="1">
        <f t="array" ref="G430">_xlfn.LET(
    _xlpm.r, TRIM(B430),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30" t="str" cm="1">
        <f t="array" ref="H430">_xlfn.LET(
     _xlpm.r, TRIM(C430),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31" spans="1:8" x14ac:dyDescent="0.25">
      <c r="A431">
        <v>2022</v>
      </c>
      <c r="B431" t="s">
        <v>10</v>
      </c>
      <c r="C431" t="s">
        <v>5</v>
      </c>
      <c r="E431">
        <v>3942208</v>
      </c>
      <c r="F431" t="s">
        <v>78</v>
      </c>
      <c r="G431" t="str" cm="1">
        <f t="array" ref="G431">_xlfn.LET(
    _xlpm.r, TRIM(B431),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31" t="str" cm="1">
        <f t="array" ref="H431">_xlfn.LET(
     _xlpm.r, TRIM(C431),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32" spans="1:8" x14ac:dyDescent="0.25">
      <c r="A432">
        <v>2022</v>
      </c>
      <c r="B432" t="s">
        <v>10</v>
      </c>
      <c r="C432" t="s">
        <v>5</v>
      </c>
      <c r="E432">
        <v>315000</v>
      </c>
      <c r="F432" t="s">
        <v>78</v>
      </c>
      <c r="G432" t="str" cm="1">
        <f t="array" ref="G432">_xlfn.LET(
    _xlpm.r, TRIM(B432),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32" t="str" cm="1">
        <f t="array" ref="H432">_xlfn.LET(
     _xlpm.r, TRIM(C432),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33" spans="1:8" x14ac:dyDescent="0.25">
      <c r="A433">
        <v>2022</v>
      </c>
      <c r="B433" t="s">
        <v>10</v>
      </c>
      <c r="C433" t="s">
        <v>5</v>
      </c>
      <c r="E433">
        <v>507000</v>
      </c>
      <c r="F433" t="s">
        <v>78</v>
      </c>
      <c r="G433" t="str" cm="1">
        <f t="array" ref="G433">_xlfn.LET(
    _xlpm.r, TRIM(B433),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33" t="str" cm="1">
        <f t="array" ref="H433">_xlfn.LET(
     _xlpm.r, TRIM(C433),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34" spans="1:8" x14ac:dyDescent="0.25">
      <c r="A434">
        <v>2022</v>
      </c>
      <c r="B434" t="s">
        <v>10</v>
      </c>
      <c r="C434" t="s">
        <v>5</v>
      </c>
      <c r="E434">
        <v>310000</v>
      </c>
      <c r="F434" t="s">
        <v>78</v>
      </c>
      <c r="G434" t="str" cm="1">
        <f t="array" ref="G434">_xlfn.LET(
    _xlpm.r, TRIM(B434),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34" t="str" cm="1">
        <f t="array" ref="H434">_xlfn.LET(
     _xlpm.r, TRIM(C434),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35" spans="1:8" x14ac:dyDescent="0.25">
      <c r="A435">
        <v>2022</v>
      </c>
      <c r="B435" t="s">
        <v>10</v>
      </c>
      <c r="C435" t="s">
        <v>5</v>
      </c>
      <c r="E435">
        <v>20000</v>
      </c>
      <c r="F435" t="s">
        <v>78</v>
      </c>
      <c r="G435" t="str" cm="1">
        <f t="array" ref="G435">_xlfn.LET(
    _xlpm.r, TRIM(B435),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35" t="str" cm="1">
        <f t="array" ref="H435">_xlfn.LET(
     _xlpm.r, TRIM(C435),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36" spans="1:8" x14ac:dyDescent="0.25">
      <c r="A436">
        <v>2022</v>
      </c>
      <c r="B436" t="s">
        <v>10</v>
      </c>
      <c r="C436" t="s">
        <v>5</v>
      </c>
      <c r="E436">
        <v>310000</v>
      </c>
      <c r="F436" t="s">
        <v>78</v>
      </c>
      <c r="G436" t="str" cm="1">
        <f t="array" ref="G436">_xlfn.LET(
    _xlpm.r, TRIM(B436),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36" t="str" cm="1">
        <f t="array" ref="H436">_xlfn.LET(
     _xlpm.r, TRIM(C436),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37" spans="1:8" x14ac:dyDescent="0.25">
      <c r="A437">
        <v>2022</v>
      </c>
      <c r="B437" t="s">
        <v>10</v>
      </c>
      <c r="C437" t="s">
        <v>5</v>
      </c>
      <c r="E437">
        <v>180000</v>
      </c>
      <c r="F437" t="s">
        <v>78</v>
      </c>
      <c r="G437" t="str" cm="1">
        <f t="array" ref="G437">_xlfn.LET(
    _xlpm.r, TRIM(B437),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37" t="str" cm="1">
        <f t="array" ref="H437">_xlfn.LET(
     _xlpm.r, TRIM(C437),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38" spans="1:8" x14ac:dyDescent="0.25">
      <c r="A438">
        <v>2022</v>
      </c>
      <c r="B438" t="s">
        <v>10</v>
      </c>
      <c r="C438" t="s">
        <v>5</v>
      </c>
      <c r="E438">
        <v>70000</v>
      </c>
      <c r="F438" t="s">
        <v>78</v>
      </c>
      <c r="G438" t="str" cm="1">
        <f t="array" ref="G438">_xlfn.LET(
    _xlpm.r, TRIM(B438),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38" t="str" cm="1">
        <f t="array" ref="H438">_xlfn.LET(
     _xlpm.r, TRIM(C438),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39" spans="1:8" x14ac:dyDescent="0.25">
      <c r="A439">
        <v>2022</v>
      </c>
      <c r="B439" t="s">
        <v>10</v>
      </c>
      <c r="C439" t="s">
        <v>5</v>
      </c>
      <c r="E439">
        <v>20000</v>
      </c>
      <c r="F439" t="s">
        <v>78</v>
      </c>
      <c r="G439" t="str" cm="1">
        <f t="array" ref="G439">_xlfn.LET(
    _xlpm.r, TRIM(B439),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39" t="str" cm="1">
        <f t="array" ref="H439">_xlfn.LET(
     _xlpm.r, TRIM(C439),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40" spans="1:8" x14ac:dyDescent="0.25">
      <c r="A440">
        <v>2022</v>
      </c>
      <c r="B440" t="s">
        <v>10</v>
      </c>
      <c r="C440" t="s">
        <v>5</v>
      </c>
      <c r="E440">
        <v>30000</v>
      </c>
      <c r="F440" t="s">
        <v>78</v>
      </c>
      <c r="G440" t="str" cm="1">
        <f t="array" ref="G440">_xlfn.LET(
    _xlpm.r, TRIM(B440),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40" t="str" cm="1">
        <f t="array" ref="H440">_xlfn.LET(
     _xlpm.r, TRIM(C440),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41" spans="1:8" x14ac:dyDescent="0.25">
      <c r="A441">
        <v>2022</v>
      </c>
      <c r="B441" t="s">
        <v>10</v>
      </c>
      <c r="C441" t="s">
        <v>5</v>
      </c>
      <c r="E441">
        <v>5000</v>
      </c>
      <c r="F441" t="s">
        <v>78</v>
      </c>
      <c r="G441" t="str" cm="1">
        <f t="array" ref="G441">_xlfn.LET(
    _xlpm.r, TRIM(B441),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41" t="str" cm="1">
        <f t="array" ref="H441">_xlfn.LET(
     _xlpm.r, TRIM(C441),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42" spans="1:8" x14ac:dyDescent="0.25">
      <c r="A442">
        <v>2022</v>
      </c>
      <c r="B442" t="s">
        <v>10</v>
      </c>
      <c r="C442" t="s">
        <v>5</v>
      </c>
      <c r="E442">
        <v>1300000</v>
      </c>
      <c r="F442" t="s">
        <v>78</v>
      </c>
      <c r="G442" t="str" cm="1">
        <f t="array" ref="G442">_xlfn.LET(
    _xlpm.r, TRIM(B442),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42" t="str" cm="1">
        <f t="array" ref="H442">_xlfn.LET(
     _xlpm.r, TRIM(C442),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43" spans="1:8" x14ac:dyDescent="0.25">
      <c r="A443">
        <v>2022</v>
      </c>
      <c r="B443" t="s">
        <v>10</v>
      </c>
      <c r="C443" t="s">
        <v>5</v>
      </c>
      <c r="E443">
        <v>50000</v>
      </c>
      <c r="F443" t="s">
        <v>78</v>
      </c>
      <c r="G443" t="str" cm="1">
        <f t="array" ref="G443">_xlfn.LET(
    _xlpm.r, TRIM(B443),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43" t="str" cm="1">
        <f t="array" ref="H443">_xlfn.LET(
     _xlpm.r, TRIM(C443),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44" spans="1:8" x14ac:dyDescent="0.25">
      <c r="A444">
        <v>2022</v>
      </c>
      <c r="B444" t="s">
        <v>10</v>
      </c>
      <c r="C444" t="s">
        <v>5</v>
      </c>
      <c r="E444">
        <v>2250000</v>
      </c>
      <c r="F444" t="s">
        <v>78</v>
      </c>
      <c r="G444" t="str" cm="1">
        <f t="array" ref="G444">_xlfn.LET(
    _xlpm.r, TRIM(B444),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44" t="str" cm="1">
        <f t="array" ref="H444">_xlfn.LET(
     _xlpm.r, TRIM(C444),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45" spans="1:8" x14ac:dyDescent="0.25">
      <c r="A445">
        <v>2022</v>
      </c>
      <c r="B445" t="s">
        <v>10</v>
      </c>
      <c r="C445" t="s">
        <v>5</v>
      </c>
      <c r="E445">
        <v>2890000</v>
      </c>
      <c r="F445" t="s">
        <v>78</v>
      </c>
      <c r="G445" t="str" cm="1">
        <f t="array" ref="G445">_xlfn.LET(
    _xlpm.r, TRIM(B445),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45" t="str" cm="1">
        <f t="array" ref="H445">_xlfn.LET(
     _xlpm.r, TRIM(C445),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46" spans="1:8" x14ac:dyDescent="0.25">
      <c r="A446">
        <v>2022</v>
      </c>
      <c r="B446" t="s">
        <v>10</v>
      </c>
      <c r="C446" t="s">
        <v>5</v>
      </c>
      <c r="E446">
        <v>714024</v>
      </c>
      <c r="F446" t="s">
        <v>78</v>
      </c>
      <c r="G446" t="str" cm="1">
        <f t="array" ref="G446">_xlfn.LET(
    _xlpm.r, TRIM(B446),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46" t="str" cm="1">
        <f t="array" ref="H446">_xlfn.LET(
     _xlpm.r, TRIM(C446),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47" spans="1:8" x14ac:dyDescent="0.25">
      <c r="A447">
        <v>2022</v>
      </c>
      <c r="B447" t="s">
        <v>10</v>
      </c>
      <c r="C447" t="s">
        <v>5</v>
      </c>
      <c r="E447">
        <v>2492252</v>
      </c>
      <c r="F447" t="s">
        <v>78</v>
      </c>
      <c r="G447" t="str" cm="1">
        <f t="array" ref="G447">_xlfn.LET(
    _xlpm.r, TRIM(B447),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47" t="str" cm="1">
        <f t="array" ref="H447">_xlfn.LET(
     _xlpm.r, TRIM(C447),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48" spans="1:8" x14ac:dyDescent="0.25">
      <c r="A448">
        <v>2022</v>
      </c>
      <c r="B448" t="s">
        <v>10</v>
      </c>
      <c r="C448" t="s">
        <v>5</v>
      </c>
      <c r="E448">
        <v>633016</v>
      </c>
      <c r="F448" t="s">
        <v>78</v>
      </c>
      <c r="G448" t="str" cm="1">
        <f t="array" ref="G448">_xlfn.LET(
    _xlpm.r, TRIM(B448),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48" t="str" cm="1">
        <f t="array" ref="H448">_xlfn.LET(
     _xlpm.r, TRIM(C448),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49" spans="1:8" x14ac:dyDescent="0.25">
      <c r="A449">
        <v>2022</v>
      </c>
      <c r="B449" t="s">
        <v>10</v>
      </c>
      <c r="C449" t="s">
        <v>5</v>
      </c>
      <c r="E449">
        <v>445000</v>
      </c>
      <c r="F449" t="s">
        <v>78</v>
      </c>
      <c r="G449" t="str" cm="1">
        <f t="array" ref="G449">_xlfn.LET(
    _xlpm.r, TRIM(B449),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49" t="str" cm="1">
        <f t="array" ref="H449">_xlfn.LET(
     _xlpm.r, TRIM(C449),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50" spans="1:8" x14ac:dyDescent="0.25">
      <c r="A450">
        <v>2022</v>
      </c>
      <c r="B450" t="s">
        <v>10</v>
      </c>
      <c r="C450" t="s">
        <v>5</v>
      </c>
      <c r="E450">
        <v>4593780</v>
      </c>
      <c r="F450" t="s">
        <v>78</v>
      </c>
      <c r="G450" t="str" cm="1">
        <f t="array" ref="G450">_xlfn.LET(
    _xlpm.r, TRIM(B450),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50" t="str" cm="1">
        <f t="array" ref="H450">_xlfn.LET(
     _xlpm.r, TRIM(C450),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51" spans="1:8" x14ac:dyDescent="0.25">
      <c r="A451">
        <v>2022</v>
      </c>
      <c r="B451" t="s">
        <v>10</v>
      </c>
      <c r="C451" t="s">
        <v>5</v>
      </c>
      <c r="E451">
        <v>2148920</v>
      </c>
      <c r="F451" t="s">
        <v>78</v>
      </c>
      <c r="G451" t="str" cm="1">
        <f t="array" ref="G451">_xlfn.LET(
    _xlpm.r, TRIM(B451),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51" t="str" cm="1">
        <f t="array" ref="H451">_xlfn.LET(
     _xlpm.r, TRIM(C451),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52" spans="1:8" x14ac:dyDescent="0.25">
      <c r="A452">
        <v>2022</v>
      </c>
      <c r="B452" t="s">
        <v>10</v>
      </c>
      <c r="C452" t="s">
        <v>5</v>
      </c>
      <c r="E452">
        <v>2336424</v>
      </c>
      <c r="F452" t="s">
        <v>78</v>
      </c>
      <c r="G452" t="str" cm="1">
        <f t="array" ref="G452">_xlfn.LET(
    _xlpm.r, TRIM(B452),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52" t="str" cm="1">
        <f t="array" ref="H452">_xlfn.LET(
     _xlpm.r, TRIM(C452),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53" spans="1:8" x14ac:dyDescent="0.25">
      <c r="A453">
        <v>2022</v>
      </c>
      <c r="B453" t="s">
        <v>10</v>
      </c>
      <c r="C453" t="s">
        <v>5</v>
      </c>
      <c r="E453">
        <v>1856544</v>
      </c>
      <c r="F453" t="s">
        <v>78</v>
      </c>
      <c r="G453" t="str" cm="1">
        <f t="array" ref="G453">_xlfn.LET(
    _xlpm.r, TRIM(B453),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53" t="str" cm="1">
        <f t="array" ref="H453">_xlfn.LET(
     _xlpm.r, TRIM(C453),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54" spans="1:8" x14ac:dyDescent="0.25">
      <c r="A454">
        <v>2022</v>
      </c>
      <c r="B454" t="s">
        <v>10</v>
      </c>
      <c r="C454" t="s">
        <v>5</v>
      </c>
      <c r="E454">
        <v>404000</v>
      </c>
      <c r="F454" t="s">
        <v>78</v>
      </c>
      <c r="G454" t="str" cm="1">
        <f t="array" ref="G454">_xlfn.LET(
    _xlpm.r, TRIM(B454),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54" t="str" cm="1">
        <f t="array" ref="H454">_xlfn.LET(
     _xlpm.r, TRIM(C454),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55" spans="1:8" x14ac:dyDescent="0.25">
      <c r="A455">
        <v>2022</v>
      </c>
      <c r="B455" t="s">
        <v>10</v>
      </c>
      <c r="C455" t="s">
        <v>5</v>
      </c>
      <c r="E455">
        <v>1158004</v>
      </c>
      <c r="F455" t="s">
        <v>78</v>
      </c>
      <c r="G455" t="str" cm="1">
        <f t="array" ref="G455">_xlfn.LET(
    _xlpm.r, TRIM(B455),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55" t="str" cm="1">
        <f t="array" ref="H455">_xlfn.LET(
     _xlpm.r, TRIM(C455),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56" spans="1:8" x14ac:dyDescent="0.25">
      <c r="A456">
        <v>2022</v>
      </c>
      <c r="B456" t="s">
        <v>10</v>
      </c>
      <c r="C456" t="s">
        <v>5</v>
      </c>
      <c r="E456">
        <v>2617444</v>
      </c>
      <c r="F456" t="s">
        <v>78</v>
      </c>
      <c r="G456" t="str" cm="1">
        <f t="array" ref="G456">_xlfn.LET(
    _xlpm.r, TRIM(B456),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56" t="str" cm="1">
        <f t="array" ref="H456">_xlfn.LET(
     _xlpm.r, TRIM(C456),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57" spans="1:8" x14ac:dyDescent="0.25">
      <c r="A457">
        <v>2022</v>
      </c>
      <c r="B457" t="s">
        <v>10</v>
      </c>
      <c r="C457" t="s">
        <v>5</v>
      </c>
      <c r="E457">
        <v>360000</v>
      </c>
      <c r="F457" t="s">
        <v>78</v>
      </c>
      <c r="G457" t="str" cm="1">
        <f t="array" ref="G457">_xlfn.LET(
    _xlpm.r, TRIM(B457),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57" t="str" cm="1">
        <f t="array" ref="H457">_xlfn.LET(
     _xlpm.r, TRIM(C457),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58" spans="1:8" x14ac:dyDescent="0.25">
      <c r="A458">
        <v>2022</v>
      </c>
      <c r="B458" t="s">
        <v>10</v>
      </c>
      <c r="C458" t="s">
        <v>5</v>
      </c>
      <c r="E458">
        <v>20000</v>
      </c>
      <c r="F458" t="s">
        <v>78</v>
      </c>
      <c r="G458" t="str" cm="1">
        <f t="array" ref="G458">_xlfn.LET(
    _xlpm.r, TRIM(B458),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58" t="str" cm="1">
        <f t="array" ref="H458">_xlfn.LET(
     _xlpm.r, TRIM(C458),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59" spans="1:8" x14ac:dyDescent="0.25">
      <c r="A459">
        <v>2022</v>
      </c>
      <c r="B459" t="s">
        <v>10</v>
      </c>
      <c r="C459" t="s">
        <v>5</v>
      </c>
      <c r="E459">
        <v>4428876</v>
      </c>
      <c r="F459" t="s">
        <v>78</v>
      </c>
      <c r="G459" t="str" cm="1">
        <f t="array" ref="G459">_xlfn.LET(
    _xlpm.r, TRIM(B459),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59" t="str" cm="1">
        <f t="array" ref="H459">_xlfn.LET(
     _xlpm.r, TRIM(C459),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60" spans="1:8" x14ac:dyDescent="0.25">
      <c r="A460">
        <v>2022</v>
      </c>
      <c r="B460" t="s">
        <v>10</v>
      </c>
      <c r="C460" t="s">
        <v>5</v>
      </c>
      <c r="E460">
        <v>785000</v>
      </c>
      <c r="F460" t="s">
        <v>78</v>
      </c>
      <c r="G460" t="str" cm="1">
        <f t="array" ref="G460">_xlfn.LET(
    _xlpm.r, TRIM(B460),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60" t="str" cm="1">
        <f t="array" ref="H460">_xlfn.LET(
     _xlpm.r, TRIM(C460),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61" spans="1:8" x14ac:dyDescent="0.25">
      <c r="A461">
        <v>2022</v>
      </c>
      <c r="B461" t="s">
        <v>10</v>
      </c>
      <c r="C461" t="s">
        <v>5</v>
      </c>
      <c r="E461">
        <v>595000</v>
      </c>
      <c r="F461" t="s">
        <v>78</v>
      </c>
      <c r="G461" t="str" cm="1">
        <f t="array" ref="G461">_xlfn.LET(
    _xlpm.r, TRIM(B461),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61" t="str" cm="1">
        <f t="array" ref="H461">_xlfn.LET(
     _xlpm.r, TRIM(C461),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62" spans="1:8" x14ac:dyDescent="0.25">
      <c r="A462">
        <v>2022</v>
      </c>
      <c r="B462" t="s">
        <v>10</v>
      </c>
      <c r="C462" t="s">
        <v>5</v>
      </c>
      <c r="E462">
        <v>1126012</v>
      </c>
      <c r="F462" t="s">
        <v>78</v>
      </c>
      <c r="G462" t="str" cm="1">
        <f t="array" ref="G462">_xlfn.LET(
    _xlpm.r, TRIM(B462),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62" t="str" cm="1">
        <f t="array" ref="H462">_xlfn.LET(
     _xlpm.r, TRIM(C462),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63" spans="1:8" x14ac:dyDescent="0.25">
      <c r="A463">
        <v>2022</v>
      </c>
      <c r="B463" t="s">
        <v>10</v>
      </c>
      <c r="C463" t="s">
        <v>5</v>
      </c>
      <c r="E463">
        <v>1671088</v>
      </c>
      <c r="F463" t="s">
        <v>78</v>
      </c>
      <c r="G463" t="str" cm="1">
        <f t="array" ref="G463">_xlfn.LET(
    _xlpm.r, TRIM(B463),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63" t="str" cm="1">
        <f t="array" ref="H463">_xlfn.LET(
     _xlpm.r, TRIM(C463),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64" spans="1:8" x14ac:dyDescent="0.25">
      <c r="A464">
        <v>2022</v>
      </c>
      <c r="B464" t="s">
        <v>10</v>
      </c>
      <c r="C464" t="s">
        <v>5</v>
      </c>
      <c r="E464">
        <v>140000</v>
      </c>
      <c r="F464" t="s">
        <v>78</v>
      </c>
      <c r="G464" t="str" cm="1">
        <f t="array" ref="G464">_xlfn.LET(
    _xlpm.r, TRIM(B464),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64" t="str" cm="1">
        <f t="array" ref="H464">_xlfn.LET(
     _xlpm.r, TRIM(C464),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65" spans="1:8" x14ac:dyDescent="0.25">
      <c r="A465">
        <v>2022</v>
      </c>
      <c r="B465" t="s">
        <v>10</v>
      </c>
      <c r="C465" t="s">
        <v>5</v>
      </c>
      <c r="E465">
        <v>1710212</v>
      </c>
      <c r="F465" t="s">
        <v>78</v>
      </c>
      <c r="G465" t="str" cm="1">
        <f t="array" ref="G465">_xlfn.LET(
    _xlpm.r, TRIM(B465),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65" t="str" cm="1">
        <f t="array" ref="H465">_xlfn.LET(
     _xlpm.r, TRIM(C465),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66" spans="1:8" x14ac:dyDescent="0.25">
      <c r="A466">
        <v>2022</v>
      </c>
      <c r="B466" t="s">
        <v>10</v>
      </c>
      <c r="C466" t="s">
        <v>5</v>
      </c>
      <c r="E466">
        <v>1332272</v>
      </c>
      <c r="F466" t="s">
        <v>78</v>
      </c>
      <c r="G466" t="str" cm="1">
        <f t="array" ref="G466">_xlfn.LET(
    _xlpm.r, TRIM(B466),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66" t="str" cm="1">
        <f t="array" ref="H466">_xlfn.LET(
     _xlpm.r, TRIM(C466),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67" spans="1:8" x14ac:dyDescent="0.25">
      <c r="A467">
        <v>2022</v>
      </c>
      <c r="B467" t="s">
        <v>10</v>
      </c>
      <c r="C467" t="s">
        <v>5</v>
      </c>
      <c r="E467">
        <v>940000</v>
      </c>
      <c r="F467" t="s">
        <v>78</v>
      </c>
      <c r="G467" t="str" cm="1">
        <f t="array" ref="G467">_xlfn.LET(
    _xlpm.r, TRIM(B467),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67" t="str" cm="1">
        <f t="array" ref="H467">_xlfn.LET(
     _xlpm.r, TRIM(C467),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68" spans="1:8" x14ac:dyDescent="0.25">
      <c r="A468">
        <v>2022</v>
      </c>
      <c r="B468" t="s">
        <v>10</v>
      </c>
      <c r="C468" t="s">
        <v>5</v>
      </c>
      <c r="E468">
        <v>3098440</v>
      </c>
      <c r="F468" t="s">
        <v>78</v>
      </c>
      <c r="G468" t="str" cm="1">
        <f t="array" ref="G468">_xlfn.LET(
    _xlpm.r, TRIM(B468),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68" t="str" cm="1">
        <f t="array" ref="H468">_xlfn.LET(
     _xlpm.r, TRIM(C468),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69" spans="1:8" x14ac:dyDescent="0.25">
      <c r="A469">
        <v>2022</v>
      </c>
      <c r="B469" t="s">
        <v>10</v>
      </c>
      <c r="C469" t="s">
        <v>5</v>
      </c>
      <c r="E469">
        <v>135000</v>
      </c>
      <c r="F469" t="s">
        <v>78</v>
      </c>
      <c r="G469" t="str" cm="1">
        <f t="array" ref="G469">_xlfn.LET(
    _xlpm.r, TRIM(B469),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69" t="str" cm="1">
        <f t="array" ref="H469">_xlfn.LET(
     _xlpm.r, TRIM(C469),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70" spans="1:8" x14ac:dyDescent="0.25">
      <c r="A470">
        <v>2022</v>
      </c>
      <c r="B470" t="s">
        <v>10</v>
      </c>
      <c r="C470" t="s">
        <v>5</v>
      </c>
      <c r="E470">
        <v>2262432</v>
      </c>
      <c r="F470" t="s">
        <v>78</v>
      </c>
      <c r="G470" t="str" cm="1">
        <f t="array" ref="G470">_xlfn.LET(
    _xlpm.r, TRIM(B470),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70" t="str" cm="1">
        <f t="array" ref="H470">_xlfn.LET(
     _xlpm.r, TRIM(C470),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71" spans="1:8" x14ac:dyDescent="0.25">
      <c r="A471">
        <v>2022</v>
      </c>
      <c r="B471" t="s">
        <v>10</v>
      </c>
      <c r="C471" t="s">
        <v>5</v>
      </c>
      <c r="E471">
        <v>240000</v>
      </c>
      <c r="F471" t="s">
        <v>78</v>
      </c>
      <c r="G471" t="str" cm="1">
        <f t="array" ref="G471">_xlfn.LET(
    _xlpm.r, TRIM(B471),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71" t="str" cm="1">
        <f t="array" ref="H471">_xlfn.LET(
     _xlpm.r, TRIM(C471),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72" spans="1:8" x14ac:dyDescent="0.25">
      <c r="A472">
        <v>2022</v>
      </c>
      <c r="B472" t="s">
        <v>10</v>
      </c>
      <c r="C472" t="s">
        <v>5</v>
      </c>
      <c r="E472">
        <v>661136</v>
      </c>
      <c r="F472" t="s">
        <v>78</v>
      </c>
      <c r="G472" t="str" cm="1">
        <f t="array" ref="G472">_xlfn.LET(
    _xlpm.r, TRIM(B472),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72" t="str" cm="1">
        <f t="array" ref="H472">_xlfn.LET(
     _xlpm.r, TRIM(C472),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73" spans="1:8" x14ac:dyDescent="0.25">
      <c r="A473">
        <v>2022</v>
      </c>
      <c r="B473" t="s">
        <v>10</v>
      </c>
      <c r="C473" t="s">
        <v>5</v>
      </c>
      <c r="E473">
        <v>410000</v>
      </c>
      <c r="F473" t="s">
        <v>78</v>
      </c>
      <c r="G473" t="str" cm="1">
        <f t="array" ref="G473">_xlfn.LET(
    _xlpm.r, TRIM(B473),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73" t="str" cm="1">
        <f t="array" ref="H473">_xlfn.LET(
     _xlpm.r, TRIM(C473),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74" spans="1:8" x14ac:dyDescent="0.25">
      <c r="A474">
        <v>2022</v>
      </c>
      <c r="B474" t="s">
        <v>10</v>
      </c>
      <c r="C474" t="s">
        <v>5</v>
      </c>
      <c r="E474">
        <v>190000</v>
      </c>
      <c r="F474" t="s">
        <v>78</v>
      </c>
      <c r="G474" t="str" cm="1">
        <f t="array" ref="G474">_xlfn.LET(
    _xlpm.r, TRIM(B474),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74" t="str" cm="1">
        <f t="array" ref="H474">_xlfn.LET(
     _xlpm.r, TRIM(C474),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75" spans="1:8" x14ac:dyDescent="0.25">
      <c r="A475">
        <v>2022</v>
      </c>
      <c r="B475" t="s">
        <v>10</v>
      </c>
      <c r="C475" t="s">
        <v>5</v>
      </c>
      <c r="E475">
        <v>570000</v>
      </c>
      <c r="F475" t="s">
        <v>78</v>
      </c>
      <c r="G475" t="str" cm="1">
        <f t="array" ref="G475">_xlfn.LET(
    _xlpm.r, TRIM(B475),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75" t="str" cm="1">
        <f t="array" ref="H475">_xlfn.LET(
     _xlpm.r, TRIM(C475),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76" spans="1:8" x14ac:dyDescent="0.25">
      <c r="A476">
        <v>2022</v>
      </c>
      <c r="B476" t="s">
        <v>10</v>
      </c>
      <c r="C476" t="s">
        <v>5</v>
      </c>
      <c r="E476">
        <v>640000</v>
      </c>
      <c r="F476" t="s">
        <v>78</v>
      </c>
      <c r="G476" t="str" cm="1">
        <f t="array" ref="G476">_xlfn.LET(
    _xlpm.r, TRIM(B476),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76" t="str" cm="1">
        <f t="array" ref="H476">_xlfn.LET(
     _xlpm.r, TRIM(C476),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77" spans="1:8" x14ac:dyDescent="0.25">
      <c r="A477">
        <v>2022</v>
      </c>
      <c r="B477" t="s">
        <v>10</v>
      </c>
      <c r="C477" t="s">
        <v>5</v>
      </c>
      <c r="E477">
        <v>550000</v>
      </c>
      <c r="F477" t="s">
        <v>78</v>
      </c>
      <c r="G477" t="str" cm="1">
        <f t="array" ref="G477">_xlfn.LET(
    _xlpm.r, TRIM(B477),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77" t="str" cm="1">
        <f t="array" ref="H477">_xlfn.LET(
     _xlpm.r, TRIM(C477),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78" spans="1:8" x14ac:dyDescent="0.25">
      <c r="A478">
        <v>2022</v>
      </c>
      <c r="B478" t="s">
        <v>10</v>
      </c>
      <c r="C478" t="s">
        <v>5</v>
      </c>
      <c r="E478">
        <v>490000</v>
      </c>
      <c r="F478" t="s">
        <v>78</v>
      </c>
      <c r="G478" t="str" cm="1">
        <f t="array" ref="G478">_xlfn.LET(
    _xlpm.r, TRIM(B478),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78" t="str" cm="1">
        <f t="array" ref="H478">_xlfn.LET(
     _xlpm.r, TRIM(C478),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79" spans="1:8" x14ac:dyDescent="0.25">
      <c r="A479">
        <v>2022</v>
      </c>
      <c r="B479" t="s">
        <v>10</v>
      </c>
      <c r="C479" t="s">
        <v>5</v>
      </c>
      <c r="E479">
        <v>380000</v>
      </c>
      <c r="F479" t="s">
        <v>78</v>
      </c>
      <c r="G479" t="str" cm="1">
        <f t="array" ref="G479">_xlfn.LET(
    _xlpm.r, TRIM(B479),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79" t="str" cm="1">
        <f t="array" ref="H479">_xlfn.LET(
     _xlpm.r, TRIM(C479),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80" spans="1:8" x14ac:dyDescent="0.25">
      <c r="A480">
        <v>2022</v>
      </c>
      <c r="B480" t="s">
        <v>10</v>
      </c>
      <c r="C480" t="s">
        <v>5</v>
      </c>
      <c r="E480">
        <v>420000</v>
      </c>
      <c r="F480" t="s">
        <v>78</v>
      </c>
      <c r="G480" t="str" cm="1">
        <f t="array" ref="G480">_xlfn.LET(
    _xlpm.r, TRIM(B480),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80" t="str" cm="1">
        <f t="array" ref="H480">_xlfn.LET(
     _xlpm.r, TRIM(C480),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81" spans="1:8" x14ac:dyDescent="0.25">
      <c r="A481">
        <v>2022</v>
      </c>
      <c r="B481" t="s">
        <v>10</v>
      </c>
      <c r="C481" t="s">
        <v>5</v>
      </c>
      <c r="E481">
        <v>895916</v>
      </c>
      <c r="F481" t="s">
        <v>78</v>
      </c>
      <c r="G481" t="str" cm="1">
        <f t="array" ref="G481">_xlfn.LET(
    _xlpm.r, TRIM(B481),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81" t="str" cm="1">
        <f t="array" ref="H481">_xlfn.LET(
     _xlpm.r, TRIM(C481),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82" spans="1:8" x14ac:dyDescent="0.25">
      <c r="A482">
        <v>2022</v>
      </c>
      <c r="B482" t="s">
        <v>10</v>
      </c>
      <c r="C482" t="s">
        <v>5</v>
      </c>
      <c r="E482">
        <v>1608524</v>
      </c>
      <c r="F482" t="s">
        <v>78</v>
      </c>
      <c r="G482" t="str" cm="1">
        <f t="array" ref="G482">_xlfn.LET(
    _xlpm.r, TRIM(B482),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82" t="str" cm="1">
        <f t="array" ref="H482">_xlfn.LET(
     _xlpm.r, TRIM(C482),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83" spans="1:8" x14ac:dyDescent="0.25">
      <c r="A483">
        <v>2022</v>
      </c>
      <c r="B483" t="s">
        <v>10</v>
      </c>
      <c r="C483" t="s">
        <v>5</v>
      </c>
      <c r="E483">
        <v>11611640</v>
      </c>
      <c r="F483" t="s">
        <v>78</v>
      </c>
      <c r="G483" t="str" cm="1">
        <f t="array" ref="G483">_xlfn.LET(
    _xlpm.r, TRIM(B483),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83" t="str" cm="1">
        <f t="array" ref="H483">_xlfn.LET(
     _xlpm.r, TRIM(C483),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84" spans="1:8" x14ac:dyDescent="0.25">
      <c r="A484">
        <v>2022</v>
      </c>
      <c r="B484" t="s">
        <v>10</v>
      </c>
      <c r="C484" t="s">
        <v>5</v>
      </c>
      <c r="E484">
        <v>16855632</v>
      </c>
      <c r="F484" t="s">
        <v>78</v>
      </c>
      <c r="G484" t="str" cm="1">
        <f t="array" ref="G484">_xlfn.LET(
    _xlpm.r, TRIM(B484),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84" t="str" cm="1">
        <f t="array" ref="H484">_xlfn.LET(
     _xlpm.r, TRIM(C484),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85" spans="1:8" x14ac:dyDescent="0.25">
      <c r="A485">
        <v>2022</v>
      </c>
      <c r="B485" t="s">
        <v>10</v>
      </c>
      <c r="C485" t="s">
        <v>5</v>
      </c>
      <c r="E485">
        <v>35000</v>
      </c>
      <c r="F485" t="s">
        <v>78</v>
      </c>
      <c r="G485" t="str" cm="1">
        <f t="array" ref="G485">_xlfn.LET(
    _xlpm.r, TRIM(B485),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85" t="str" cm="1">
        <f t="array" ref="H485">_xlfn.LET(
     _xlpm.r, TRIM(C485),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86" spans="1:8" x14ac:dyDescent="0.25">
      <c r="A486">
        <v>2022</v>
      </c>
      <c r="B486" t="s">
        <v>10</v>
      </c>
      <c r="C486" t="s">
        <v>5</v>
      </c>
      <c r="E486">
        <v>325000</v>
      </c>
      <c r="F486" t="s">
        <v>78</v>
      </c>
      <c r="G486" t="str" cm="1">
        <f t="array" ref="G486">_xlfn.LET(
    _xlpm.r, TRIM(B486),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86" t="str" cm="1">
        <f t="array" ref="H486">_xlfn.LET(
     _xlpm.r, TRIM(C486),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87" spans="1:8" x14ac:dyDescent="0.25">
      <c r="A487">
        <v>2022</v>
      </c>
      <c r="B487" t="s">
        <v>10</v>
      </c>
      <c r="C487" t="s">
        <v>5</v>
      </c>
      <c r="E487">
        <v>2350052</v>
      </c>
      <c r="F487" t="s">
        <v>78</v>
      </c>
      <c r="G487" t="str" cm="1">
        <f t="array" ref="G487">_xlfn.LET(
    _xlpm.r, TRIM(B487),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87" t="str" cm="1">
        <f t="array" ref="H487">_xlfn.LET(
     _xlpm.r, TRIM(C487),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88" spans="1:8" x14ac:dyDescent="0.25">
      <c r="A488">
        <v>2022</v>
      </c>
      <c r="B488" t="s">
        <v>10</v>
      </c>
      <c r="C488" t="s">
        <v>5</v>
      </c>
      <c r="E488">
        <v>340000</v>
      </c>
      <c r="F488" t="s">
        <v>78</v>
      </c>
      <c r="G488" t="str" cm="1">
        <f t="array" ref="G488">_xlfn.LET(
    _xlpm.r, TRIM(B488),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88" t="str" cm="1">
        <f t="array" ref="H488">_xlfn.LET(
     _xlpm.r, TRIM(C488),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89" spans="1:8" x14ac:dyDescent="0.25">
      <c r="A489">
        <v>2022</v>
      </c>
      <c r="B489" t="s">
        <v>10</v>
      </c>
      <c r="C489" t="s">
        <v>5</v>
      </c>
      <c r="E489">
        <v>881000</v>
      </c>
      <c r="F489" t="s">
        <v>78</v>
      </c>
      <c r="G489" t="str" cm="1">
        <f t="array" ref="G489">_xlfn.LET(
    _xlpm.r, TRIM(B489),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89" t="str" cm="1">
        <f t="array" ref="H489">_xlfn.LET(
     _xlpm.r, TRIM(C489),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90" spans="1:8" x14ac:dyDescent="0.25">
      <c r="A490">
        <v>2022</v>
      </c>
      <c r="B490" t="s">
        <v>10</v>
      </c>
      <c r="C490" t="s">
        <v>5</v>
      </c>
      <c r="E490">
        <v>1435056</v>
      </c>
      <c r="F490" t="s">
        <v>78</v>
      </c>
      <c r="G490" t="str" cm="1">
        <f t="array" ref="G490">_xlfn.LET(
    _xlpm.r, TRIM(B490),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90" t="str" cm="1">
        <f t="array" ref="H490">_xlfn.LET(
     _xlpm.r, TRIM(C490),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91" spans="1:8" x14ac:dyDescent="0.25">
      <c r="A491">
        <v>2022</v>
      </c>
      <c r="B491" t="s">
        <v>10</v>
      </c>
      <c r="C491" t="s">
        <v>5</v>
      </c>
      <c r="E491">
        <v>4055156</v>
      </c>
      <c r="F491" t="s">
        <v>78</v>
      </c>
      <c r="G491" t="str" cm="1">
        <f t="array" ref="G491">_xlfn.LET(
    _xlpm.r, TRIM(B491),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91" t="str" cm="1">
        <f t="array" ref="H491">_xlfn.LET(
     _xlpm.r, TRIM(C491),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92" spans="1:8" x14ac:dyDescent="0.25">
      <c r="A492">
        <v>2022</v>
      </c>
      <c r="B492" t="s">
        <v>10</v>
      </c>
      <c r="C492" t="s">
        <v>5</v>
      </c>
      <c r="E492">
        <v>353000</v>
      </c>
      <c r="F492" t="s">
        <v>78</v>
      </c>
      <c r="G492" t="str" cm="1">
        <f t="array" ref="G492">_xlfn.LET(
    _xlpm.r, TRIM(B492),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92" t="str" cm="1">
        <f t="array" ref="H492">_xlfn.LET(
     _xlpm.r, TRIM(C492),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93" spans="1:8" x14ac:dyDescent="0.25">
      <c r="A493">
        <v>2022</v>
      </c>
      <c r="B493" t="s">
        <v>10</v>
      </c>
      <c r="C493" t="s">
        <v>5</v>
      </c>
      <c r="E493">
        <v>1210056</v>
      </c>
      <c r="F493" t="s">
        <v>78</v>
      </c>
      <c r="G493" t="str" cm="1">
        <f t="array" ref="G493">_xlfn.LET(
    _xlpm.r, TRIM(B493),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93" t="str" cm="1">
        <f t="array" ref="H493">_xlfn.LET(
     _xlpm.r, TRIM(C493),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94" spans="1:8" x14ac:dyDescent="0.25">
      <c r="A494">
        <v>2022</v>
      </c>
      <c r="B494" t="s">
        <v>10</v>
      </c>
      <c r="C494" t="s">
        <v>5</v>
      </c>
      <c r="E494">
        <v>335000</v>
      </c>
      <c r="F494" t="s">
        <v>78</v>
      </c>
      <c r="G494" t="str" cm="1">
        <f t="array" ref="G494">_xlfn.LET(
    _xlpm.r, TRIM(B494),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94" t="str" cm="1">
        <f t="array" ref="H494">_xlfn.LET(
     _xlpm.r, TRIM(C494),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95" spans="1:8" x14ac:dyDescent="0.25">
      <c r="A495">
        <v>2022</v>
      </c>
      <c r="B495" t="s">
        <v>10</v>
      </c>
      <c r="C495" t="s">
        <v>5</v>
      </c>
      <c r="E495">
        <v>250000</v>
      </c>
      <c r="F495" t="s">
        <v>78</v>
      </c>
      <c r="G495" t="str" cm="1">
        <f t="array" ref="G495">_xlfn.LET(
    _xlpm.r, TRIM(B495),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95" t="str" cm="1">
        <f t="array" ref="H495">_xlfn.LET(
     _xlpm.r, TRIM(C495),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96" spans="1:8" x14ac:dyDescent="0.25">
      <c r="A496">
        <v>2022</v>
      </c>
      <c r="B496" t="s">
        <v>10</v>
      </c>
      <c r="C496" t="s">
        <v>5</v>
      </c>
      <c r="E496">
        <v>360000</v>
      </c>
      <c r="F496" t="s">
        <v>78</v>
      </c>
      <c r="G496" t="str" cm="1">
        <f t="array" ref="G496">_xlfn.LET(
    _xlpm.r, TRIM(B496),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96" t="str" cm="1">
        <f t="array" ref="H496">_xlfn.LET(
     _xlpm.r, TRIM(C496),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97" spans="1:8" x14ac:dyDescent="0.25">
      <c r="A497">
        <v>2022</v>
      </c>
      <c r="B497" t="s">
        <v>10</v>
      </c>
      <c r="C497" t="s">
        <v>5</v>
      </c>
      <c r="E497">
        <v>610000</v>
      </c>
      <c r="F497" t="s">
        <v>78</v>
      </c>
      <c r="G497" t="str" cm="1">
        <f t="array" ref="G497">_xlfn.LET(
    _xlpm.r, TRIM(B497),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97" t="str" cm="1">
        <f t="array" ref="H497">_xlfn.LET(
     _xlpm.r, TRIM(C497),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98" spans="1:8" x14ac:dyDescent="0.25">
      <c r="A498">
        <v>2022</v>
      </c>
      <c r="B498" t="s">
        <v>10</v>
      </c>
      <c r="C498" t="s">
        <v>5</v>
      </c>
      <c r="E498">
        <v>20000</v>
      </c>
      <c r="F498" t="s">
        <v>78</v>
      </c>
      <c r="G498" t="str" cm="1">
        <f t="array" ref="G498">_xlfn.LET(
    _xlpm.r, TRIM(B498),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98" t="str" cm="1">
        <f t="array" ref="H498">_xlfn.LET(
     _xlpm.r, TRIM(C498),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499" spans="1:8" x14ac:dyDescent="0.25">
      <c r="A499">
        <v>2022</v>
      </c>
      <c r="B499" t="s">
        <v>10</v>
      </c>
      <c r="C499" t="s">
        <v>5</v>
      </c>
      <c r="E499">
        <v>250000</v>
      </c>
      <c r="F499" t="s">
        <v>78</v>
      </c>
      <c r="G499" t="str" cm="1">
        <f t="array" ref="G499">_xlfn.LET(
    _xlpm.r, TRIM(B499),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499" t="str" cm="1">
        <f t="array" ref="H499">_xlfn.LET(
     _xlpm.r, TRIM(C499),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500" spans="1:8" x14ac:dyDescent="0.25">
      <c r="A500">
        <v>2022</v>
      </c>
      <c r="B500" t="s">
        <v>10</v>
      </c>
      <c r="C500" t="s">
        <v>5</v>
      </c>
      <c r="E500">
        <v>227000</v>
      </c>
      <c r="F500" t="s">
        <v>78</v>
      </c>
      <c r="G500" t="str" cm="1">
        <f t="array" ref="G500">_xlfn.LET(
    _xlpm.r, TRIM(B500),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00" t="str" cm="1">
        <f t="array" ref="H500">_xlfn.LET(
     _xlpm.r, TRIM(C500),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501" spans="1:8" x14ac:dyDescent="0.25">
      <c r="A501">
        <v>2022</v>
      </c>
      <c r="B501" t="s">
        <v>10</v>
      </c>
      <c r="C501" t="s">
        <v>5</v>
      </c>
      <c r="E501">
        <v>270000</v>
      </c>
      <c r="F501" t="s">
        <v>78</v>
      </c>
      <c r="G501" t="str" cm="1">
        <f t="array" ref="G501">_xlfn.LET(
    _xlpm.r, TRIM(B501),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01" t="str" cm="1">
        <f t="array" ref="H501">_xlfn.LET(
     _xlpm.r, TRIM(C501),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502" spans="1:8" x14ac:dyDescent="0.25">
      <c r="A502">
        <v>2022</v>
      </c>
      <c r="B502" t="s">
        <v>10</v>
      </c>
      <c r="C502" t="s">
        <v>5</v>
      </c>
      <c r="E502">
        <v>215000</v>
      </c>
      <c r="F502" t="s">
        <v>78</v>
      </c>
      <c r="G502" t="str" cm="1">
        <f t="array" ref="G502">_xlfn.LET(
    _xlpm.r, TRIM(B502),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02" t="str" cm="1">
        <f t="array" ref="H502">_xlfn.LET(
     _xlpm.r, TRIM(C502),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503" spans="1:8" x14ac:dyDescent="0.25">
      <c r="A503">
        <v>2022</v>
      </c>
      <c r="B503" t="s">
        <v>10</v>
      </c>
      <c r="C503" t="s">
        <v>5</v>
      </c>
      <c r="E503">
        <v>185000</v>
      </c>
      <c r="F503" t="s">
        <v>78</v>
      </c>
      <c r="G503" t="str" cm="1">
        <f t="array" ref="G503">_xlfn.LET(
    _xlpm.r, TRIM(B503),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03" t="str" cm="1">
        <f t="array" ref="H503">_xlfn.LET(
     _xlpm.r, TRIM(C503),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504" spans="1:8" x14ac:dyDescent="0.25">
      <c r="A504">
        <v>2022</v>
      </c>
      <c r="B504" t="s">
        <v>10</v>
      </c>
      <c r="C504" t="s">
        <v>5</v>
      </c>
      <c r="E504">
        <v>190000</v>
      </c>
      <c r="F504" t="s">
        <v>78</v>
      </c>
      <c r="G504" t="str" cm="1">
        <f t="array" ref="G504">_xlfn.LET(
    _xlpm.r, TRIM(B504),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04" t="str" cm="1">
        <f t="array" ref="H504">_xlfn.LET(
     _xlpm.r, TRIM(C504),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505" spans="1:8" x14ac:dyDescent="0.25">
      <c r="A505">
        <v>2022</v>
      </c>
      <c r="B505" t="s">
        <v>10</v>
      </c>
      <c r="C505" t="s">
        <v>5</v>
      </c>
      <c r="E505">
        <v>220000</v>
      </c>
      <c r="F505" t="s">
        <v>78</v>
      </c>
      <c r="G505" t="str" cm="1">
        <f t="array" ref="G505">_xlfn.LET(
    _xlpm.r, TRIM(B505),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05" t="str" cm="1">
        <f t="array" ref="H505">_xlfn.LET(
     _xlpm.r, TRIM(C505),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506" spans="1:8" x14ac:dyDescent="0.25">
      <c r="A506">
        <v>2022</v>
      </c>
      <c r="B506" t="s">
        <v>10</v>
      </c>
      <c r="C506" t="s">
        <v>5</v>
      </c>
      <c r="E506">
        <v>257000</v>
      </c>
      <c r="F506" t="s">
        <v>78</v>
      </c>
      <c r="G506" t="str" cm="1">
        <f t="array" ref="G506">_xlfn.LET(
    _xlpm.r, TRIM(B506),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06" t="str" cm="1">
        <f t="array" ref="H506">_xlfn.LET(
     _xlpm.r, TRIM(C506),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507" spans="1:8" x14ac:dyDescent="0.25">
      <c r="A507">
        <v>2022</v>
      </c>
      <c r="B507" t="s">
        <v>10</v>
      </c>
      <c r="C507" t="s">
        <v>5</v>
      </c>
      <c r="E507">
        <v>185000</v>
      </c>
      <c r="F507" t="s">
        <v>78</v>
      </c>
      <c r="G507" t="str" cm="1">
        <f t="array" ref="G507">_xlfn.LET(
    _xlpm.r, TRIM(B507),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07" t="str" cm="1">
        <f t="array" ref="H507">_xlfn.LET(
     _xlpm.r, TRIM(C507),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508" spans="1:8" x14ac:dyDescent="0.25">
      <c r="A508">
        <v>2022</v>
      </c>
      <c r="B508" t="s">
        <v>10</v>
      </c>
      <c r="C508" t="s">
        <v>5</v>
      </c>
      <c r="E508">
        <v>237000</v>
      </c>
      <c r="F508" t="s">
        <v>78</v>
      </c>
      <c r="G508" t="str" cm="1">
        <f t="array" ref="G508">_xlfn.LET(
    _xlpm.r, TRIM(B508),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08" t="str" cm="1">
        <f t="array" ref="H508">_xlfn.LET(
     _xlpm.r, TRIM(C508),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509" spans="1:8" x14ac:dyDescent="0.25">
      <c r="A509">
        <v>2022</v>
      </c>
      <c r="B509" t="s">
        <v>10</v>
      </c>
      <c r="C509" t="s">
        <v>5</v>
      </c>
      <c r="E509">
        <v>2485000</v>
      </c>
      <c r="F509" t="s">
        <v>78</v>
      </c>
      <c r="G509" t="str" cm="1">
        <f t="array" ref="G509">_xlfn.LET(
    _xlpm.r, TRIM(B509),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09" t="str" cm="1">
        <f t="array" ref="H509">_xlfn.LET(
     _xlpm.r, TRIM(C509),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510" spans="1:8" x14ac:dyDescent="0.25">
      <c r="A510">
        <v>2022</v>
      </c>
      <c r="B510" t="s">
        <v>10</v>
      </c>
      <c r="C510" t="s">
        <v>5</v>
      </c>
      <c r="E510">
        <v>2590000</v>
      </c>
      <c r="F510" t="s">
        <v>78</v>
      </c>
      <c r="G510" t="str" cm="1">
        <f t="array" ref="G510">_xlfn.LET(
    _xlpm.r, TRIM(B510),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10" t="str" cm="1">
        <f t="array" ref="H510">_xlfn.LET(
     _xlpm.r, TRIM(C510),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511" spans="1:8" x14ac:dyDescent="0.25">
      <c r="A511">
        <v>2022</v>
      </c>
      <c r="B511" t="s">
        <v>10</v>
      </c>
      <c r="C511" t="s">
        <v>6</v>
      </c>
      <c r="E511">
        <v>652875800</v>
      </c>
      <c r="F511" t="s">
        <v>78</v>
      </c>
      <c r="G511" t="str" cm="1">
        <f t="array" ref="G511">_xlfn.LET(
    _xlpm.r, TRIM(B511),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11" t="str" cm="1">
        <f t="array" ref="H511">_xlfn.LET(
     _xlpm.r, TRIM(C511),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12" spans="1:8" x14ac:dyDescent="0.25">
      <c r="A512">
        <v>2022</v>
      </c>
      <c r="B512" t="s">
        <v>10</v>
      </c>
      <c r="C512" t="s">
        <v>6</v>
      </c>
      <c r="E512">
        <v>871000</v>
      </c>
      <c r="F512" t="s">
        <v>78</v>
      </c>
      <c r="G512" t="str" cm="1">
        <f t="array" ref="G512">_xlfn.LET(
    _xlpm.r, TRIM(B512),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12" t="str" cm="1">
        <f t="array" ref="H512">_xlfn.LET(
     _xlpm.r, TRIM(C512),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13" spans="1:8" x14ac:dyDescent="0.25">
      <c r="A513">
        <v>2022</v>
      </c>
      <c r="B513" t="s">
        <v>10</v>
      </c>
      <c r="C513" t="s">
        <v>6</v>
      </c>
      <c r="E513">
        <v>1010000</v>
      </c>
      <c r="F513" t="s">
        <v>78</v>
      </c>
      <c r="G513" t="str" cm="1">
        <f t="array" ref="G513">_xlfn.LET(
    _xlpm.r, TRIM(B513),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13" t="str" cm="1">
        <f t="array" ref="H513">_xlfn.LET(
     _xlpm.r, TRIM(C513),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14" spans="1:8" x14ac:dyDescent="0.25">
      <c r="A514">
        <v>2022</v>
      </c>
      <c r="B514" t="s">
        <v>10</v>
      </c>
      <c r="C514" t="s">
        <v>6</v>
      </c>
      <c r="E514">
        <v>1198000</v>
      </c>
      <c r="F514" t="s">
        <v>78</v>
      </c>
      <c r="G514" t="str" cm="1">
        <f t="array" ref="G514">_xlfn.LET(
    _xlpm.r, TRIM(B514),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14" t="str" cm="1">
        <f t="array" ref="H514">_xlfn.LET(
     _xlpm.r, TRIM(C514),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15" spans="1:8" x14ac:dyDescent="0.25">
      <c r="A515">
        <v>2022</v>
      </c>
      <c r="B515" t="s">
        <v>10</v>
      </c>
      <c r="C515" t="s">
        <v>6</v>
      </c>
      <c r="E515">
        <v>1099000</v>
      </c>
      <c r="F515" t="s">
        <v>78</v>
      </c>
      <c r="G515" t="str" cm="1">
        <f t="array" ref="G515">_xlfn.LET(
    _xlpm.r, TRIM(B515),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15" t="str" cm="1">
        <f t="array" ref="H515">_xlfn.LET(
     _xlpm.r, TRIM(C515),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16" spans="1:8" x14ac:dyDescent="0.25">
      <c r="A516">
        <v>2022</v>
      </c>
      <c r="B516" t="s">
        <v>10</v>
      </c>
      <c r="C516" t="s">
        <v>6</v>
      </c>
      <c r="E516">
        <v>1374600</v>
      </c>
      <c r="F516" t="s">
        <v>78</v>
      </c>
      <c r="G516" t="str" cm="1">
        <f t="array" ref="G516">_xlfn.LET(
    _xlpm.r, TRIM(B516),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16" t="str" cm="1">
        <f t="array" ref="H516">_xlfn.LET(
     _xlpm.r, TRIM(C516),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17" spans="1:8" x14ac:dyDescent="0.25">
      <c r="A517">
        <v>2022</v>
      </c>
      <c r="B517" t="s">
        <v>10</v>
      </c>
      <c r="C517" t="s">
        <v>6</v>
      </c>
      <c r="E517">
        <v>928600</v>
      </c>
      <c r="F517" t="s">
        <v>78</v>
      </c>
      <c r="G517" t="str" cm="1">
        <f t="array" ref="G517">_xlfn.LET(
    _xlpm.r, TRIM(B517),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17" t="str" cm="1">
        <f t="array" ref="H517">_xlfn.LET(
     _xlpm.r, TRIM(C517),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18" spans="1:8" x14ac:dyDescent="0.25">
      <c r="A518">
        <v>2022</v>
      </c>
      <c r="B518" t="s">
        <v>10</v>
      </c>
      <c r="C518" t="s">
        <v>6</v>
      </c>
      <c r="E518">
        <v>424000</v>
      </c>
      <c r="F518" t="s">
        <v>78</v>
      </c>
      <c r="G518" t="str" cm="1">
        <f t="array" ref="G518">_xlfn.LET(
    _xlpm.r, TRIM(B518),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18" t="str" cm="1">
        <f t="array" ref="H518">_xlfn.LET(
     _xlpm.r, TRIM(C518),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19" spans="1:8" x14ac:dyDescent="0.25">
      <c r="A519">
        <v>2022</v>
      </c>
      <c r="B519" t="s">
        <v>10</v>
      </c>
      <c r="C519" t="s">
        <v>6</v>
      </c>
      <c r="E519">
        <v>1381000</v>
      </c>
      <c r="F519" t="s">
        <v>78</v>
      </c>
      <c r="G519" t="str" cm="1">
        <f t="array" ref="G519">_xlfn.LET(
    _xlpm.r, TRIM(B519),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19" t="str" cm="1">
        <f t="array" ref="H519">_xlfn.LET(
     _xlpm.r, TRIM(C519),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20" spans="1:8" x14ac:dyDescent="0.25">
      <c r="A520">
        <v>2022</v>
      </c>
      <c r="B520" t="s">
        <v>10</v>
      </c>
      <c r="C520" t="s">
        <v>6</v>
      </c>
      <c r="E520">
        <v>888500</v>
      </c>
      <c r="F520" t="s">
        <v>78</v>
      </c>
      <c r="G520" t="str" cm="1">
        <f t="array" ref="G520">_xlfn.LET(
    _xlpm.r, TRIM(B520),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20" t="str" cm="1">
        <f t="array" ref="H520">_xlfn.LET(
     _xlpm.r, TRIM(C520),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21" spans="1:8" x14ac:dyDescent="0.25">
      <c r="A521">
        <v>2022</v>
      </c>
      <c r="B521" t="s">
        <v>10</v>
      </c>
      <c r="C521" t="s">
        <v>6</v>
      </c>
      <c r="E521">
        <v>663100</v>
      </c>
      <c r="F521" t="s">
        <v>78</v>
      </c>
      <c r="G521" t="str" cm="1">
        <f t="array" ref="G521">_xlfn.LET(
    _xlpm.r, TRIM(B521),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21" t="str" cm="1">
        <f t="array" ref="H521">_xlfn.LET(
     _xlpm.r, TRIM(C521),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22" spans="1:8" x14ac:dyDescent="0.25">
      <c r="A522">
        <v>2022</v>
      </c>
      <c r="B522" t="s">
        <v>10</v>
      </c>
      <c r="C522" t="s">
        <v>6</v>
      </c>
      <c r="E522">
        <v>696000</v>
      </c>
      <c r="F522" t="s">
        <v>78</v>
      </c>
      <c r="G522" t="str" cm="1">
        <f t="array" ref="G522">_xlfn.LET(
    _xlpm.r, TRIM(B522),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22" t="str" cm="1">
        <f t="array" ref="H522">_xlfn.LET(
     _xlpm.r, TRIM(C522),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23" spans="1:8" x14ac:dyDescent="0.25">
      <c r="A523">
        <v>2022</v>
      </c>
      <c r="B523" t="s">
        <v>10</v>
      </c>
      <c r="C523" t="s">
        <v>6</v>
      </c>
      <c r="E523">
        <v>1786000</v>
      </c>
      <c r="F523" t="s">
        <v>78</v>
      </c>
      <c r="G523" t="str" cm="1">
        <f t="array" ref="G523">_xlfn.LET(
    _xlpm.r, TRIM(B523),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23" t="str" cm="1">
        <f t="array" ref="H523">_xlfn.LET(
     _xlpm.r, TRIM(C523),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24" spans="1:8" x14ac:dyDescent="0.25">
      <c r="A524">
        <v>2022</v>
      </c>
      <c r="B524" t="s">
        <v>10</v>
      </c>
      <c r="C524" t="s">
        <v>6</v>
      </c>
      <c r="E524">
        <v>590000</v>
      </c>
      <c r="F524" t="s">
        <v>78</v>
      </c>
      <c r="G524" t="str" cm="1">
        <f t="array" ref="G524">_xlfn.LET(
    _xlpm.r, TRIM(B524),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24" t="str" cm="1">
        <f t="array" ref="H524">_xlfn.LET(
     _xlpm.r, TRIM(C524),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25" spans="1:8" x14ac:dyDescent="0.25">
      <c r="A525">
        <v>2022</v>
      </c>
      <c r="B525" t="s">
        <v>10</v>
      </c>
      <c r="C525" t="s">
        <v>6</v>
      </c>
      <c r="E525">
        <v>1313700</v>
      </c>
      <c r="F525" t="s">
        <v>78</v>
      </c>
      <c r="G525" t="str" cm="1">
        <f t="array" ref="G525">_xlfn.LET(
    _xlpm.r, TRIM(B525),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25" t="str" cm="1">
        <f t="array" ref="H525">_xlfn.LET(
     _xlpm.r, TRIM(C525),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26" spans="1:8" x14ac:dyDescent="0.25">
      <c r="A526">
        <v>2022</v>
      </c>
      <c r="B526" t="s">
        <v>10</v>
      </c>
      <c r="C526" t="s">
        <v>6</v>
      </c>
      <c r="E526">
        <v>1401000</v>
      </c>
      <c r="F526" t="s">
        <v>78</v>
      </c>
      <c r="G526" t="str" cm="1">
        <f t="array" ref="G526">_xlfn.LET(
    _xlpm.r, TRIM(B526),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26" t="str" cm="1">
        <f t="array" ref="H526">_xlfn.LET(
     _xlpm.r, TRIM(C526),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27" spans="1:8" x14ac:dyDescent="0.25">
      <c r="A527">
        <v>2022</v>
      </c>
      <c r="B527" t="s">
        <v>10</v>
      </c>
      <c r="C527" t="s">
        <v>6</v>
      </c>
      <c r="E527">
        <v>675000</v>
      </c>
      <c r="F527" t="s">
        <v>78</v>
      </c>
      <c r="G527" t="str" cm="1">
        <f t="array" ref="G527">_xlfn.LET(
    _xlpm.r, TRIM(B527),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27" t="str" cm="1">
        <f t="array" ref="H527">_xlfn.LET(
     _xlpm.r, TRIM(C527),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28" spans="1:8" x14ac:dyDescent="0.25">
      <c r="A528">
        <v>2022</v>
      </c>
      <c r="B528" t="s">
        <v>10</v>
      </c>
      <c r="C528" t="s">
        <v>6</v>
      </c>
      <c r="E528">
        <v>1165700</v>
      </c>
      <c r="F528" t="s">
        <v>78</v>
      </c>
      <c r="G528" t="str" cm="1">
        <f t="array" ref="G528">_xlfn.LET(
    _xlpm.r, TRIM(B528),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28" t="str" cm="1">
        <f t="array" ref="H528">_xlfn.LET(
     _xlpm.r, TRIM(C528),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29" spans="1:8" x14ac:dyDescent="0.25">
      <c r="A529">
        <v>2022</v>
      </c>
      <c r="B529" t="s">
        <v>10</v>
      </c>
      <c r="C529" t="s">
        <v>6</v>
      </c>
      <c r="E529">
        <v>820000</v>
      </c>
      <c r="F529" t="s">
        <v>78</v>
      </c>
      <c r="G529" t="str" cm="1">
        <f t="array" ref="G529">_xlfn.LET(
    _xlpm.r, TRIM(B529),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29" t="str" cm="1">
        <f t="array" ref="H529">_xlfn.LET(
     _xlpm.r, TRIM(C529),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30" spans="1:8" x14ac:dyDescent="0.25">
      <c r="A530">
        <v>2022</v>
      </c>
      <c r="B530" t="s">
        <v>10</v>
      </c>
      <c r="C530" t="s">
        <v>6</v>
      </c>
      <c r="E530">
        <v>1953000</v>
      </c>
      <c r="F530" t="s">
        <v>78</v>
      </c>
      <c r="G530" t="str" cm="1">
        <f t="array" ref="G530">_xlfn.LET(
    _xlpm.r, TRIM(B530),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30" t="str" cm="1">
        <f t="array" ref="H530">_xlfn.LET(
     _xlpm.r, TRIM(C530),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31" spans="1:8" x14ac:dyDescent="0.25">
      <c r="A531">
        <v>2022</v>
      </c>
      <c r="B531" t="s">
        <v>10</v>
      </c>
      <c r="C531" t="s">
        <v>6</v>
      </c>
      <c r="E531">
        <v>721000</v>
      </c>
      <c r="F531" t="s">
        <v>78</v>
      </c>
      <c r="G531" t="str" cm="1">
        <f t="array" ref="G531">_xlfn.LET(
    _xlpm.r, TRIM(B531),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31" t="str" cm="1">
        <f t="array" ref="H531">_xlfn.LET(
     _xlpm.r, TRIM(C531),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32" spans="1:8" x14ac:dyDescent="0.25">
      <c r="A532">
        <v>2022</v>
      </c>
      <c r="B532" t="s">
        <v>10</v>
      </c>
      <c r="C532" t="s">
        <v>6</v>
      </c>
      <c r="E532">
        <v>716500</v>
      </c>
      <c r="F532" t="s">
        <v>78</v>
      </c>
      <c r="G532" t="str" cm="1">
        <f t="array" ref="G532">_xlfn.LET(
    _xlpm.r, TRIM(B532),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32" t="str" cm="1">
        <f t="array" ref="H532">_xlfn.LET(
     _xlpm.r, TRIM(C532),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33" spans="1:8" x14ac:dyDescent="0.25">
      <c r="A533">
        <v>2022</v>
      </c>
      <c r="B533" t="s">
        <v>10</v>
      </c>
      <c r="C533" t="s">
        <v>6</v>
      </c>
      <c r="E533">
        <v>1026000</v>
      </c>
      <c r="F533" t="s">
        <v>78</v>
      </c>
      <c r="G533" t="str" cm="1">
        <f t="array" ref="G533">_xlfn.LET(
    _xlpm.r, TRIM(B533),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33" t="str" cm="1">
        <f t="array" ref="H533">_xlfn.LET(
     _xlpm.r, TRIM(C533),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34" spans="1:8" x14ac:dyDescent="0.25">
      <c r="A534">
        <v>2022</v>
      </c>
      <c r="B534" t="s">
        <v>10</v>
      </c>
      <c r="C534" t="s">
        <v>6</v>
      </c>
      <c r="E534">
        <v>1366000</v>
      </c>
      <c r="F534" t="s">
        <v>78</v>
      </c>
      <c r="G534" t="str" cm="1">
        <f t="array" ref="G534">_xlfn.LET(
    _xlpm.r, TRIM(B534),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34" t="str" cm="1">
        <f t="array" ref="H534">_xlfn.LET(
     _xlpm.r, TRIM(C534),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35" spans="1:8" x14ac:dyDescent="0.25">
      <c r="A535">
        <v>2022</v>
      </c>
      <c r="B535" t="s">
        <v>10</v>
      </c>
      <c r="C535" t="s">
        <v>6</v>
      </c>
      <c r="E535">
        <v>843000</v>
      </c>
      <c r="F535" t="s">
        <v>78</v>
      </c>
      <c r="G535" t="str" cm="1">
        <f t="array" ref="G535">_xlfn.LET(
    _xlpm.r, TRIM(B535),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35" t="str" cm="1">
        <f t="array" ref="H535">_xlfn.LET(
     _xlpm.r, TRIM(C535),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36" spans="1:8" x14ac:dyDescent="0.25">
      <c r="A536">
        <v>2022</v>
      </c>
      <c r="B536" t="s">
        <v>10</v>
      </c>
      <c r="C536" t="s">
        <v>6</v>
      </c>
      <c r="E536">
        <v>147000</v>
      </c>
      <c r="F536" t="s">
        <v>78</v>
      </c>
      <c r="G536" t="str" cm="1">
        <f t="array" ref="G536">_xlfn.LET(
    _xlpm.r, TRIM(B536),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36" t="str" cm="1">
        <f t="array" ref="H536">_xlfn.LET(
     _xlpm.r, TRIM(C536),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37" spans="1:8" x14ac:dyDescent="0.25">
      <c r="A537">
        <v>2022</v>
      </c>
      <c r="B537" t="s">
        <v>10</v>
      </c>
      <c r="C537" t="s">
        <v>6</v>
      </c>
      <c r="E537">
        <v>1638000</v>
      </c>
      <c r="F537" t="s">
        <v>78</v>
      </c>
      <c r="G537" t="str" cm="1">
        <f t="array" ref="G537">_xlfn.LET(
    _xlpm.r, TRIM(B537),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37" t="str" cm="1">
        <f t="array" ref="H537">_xlfn.LET(
     _xlpm.r, TRIM(C537),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38" spans="1:8" x14ac:dyDescent="0.25">
      <c r="A538">
        <v>2022</v>
      </c>
      <c r="B538" t="s">
        <v>10</v>
      </c>
      <c r="C538" t="s">
        <v>6</v>
      </c>
      <c r="E538">
        <v>3558000</v>
      </c>
      <c r="F538" t="s">
        <v>78</v>
      </c>
      <c r="G538" t="str" cm="1">
        <f t="array" ref="G538">_xlfn.LET(
    _xlpm.r, TRIM(B538),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38" t="str" cm="1">
        <f t="array" ref="H538">_xlfn.LET(
     _xlpm.r, TRIM(C538),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39" spans="1:8" x14ac:dyDescent="0.25">
      <c r="A539">
        <v>2022</v>
      </c>
      <c r="B539" t="s">
        <v>10</v>
      </c>
      <c r="C539" t="s">
        <v>6</v>
      </c>
      <c r="E539">
        <v>1137000</v>
      </c>
      <c r="F539" t="s">
        <v>78</v>
      </c>
      <c r="G539" t="str" cm="1">
        <f t="array" ref="G539">_xlfn.LET(
    _xlpm.r, TRIM(B539),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39" t="str" cm="1">
        <f t="array" ref="H539">_xlfn.LET(
     _xlpm.r, TRIM(C539),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40" spans="1:8" x14ac:dyDescent="0.25">
      <c r="A540">
        <v>2022</v>
      </c>
      <c r="B540" t="s">
        <v>10</v>
      </c>
      <c r="C540" t="s">
        <v>6</v>
      </c>
      <c r="E540">
        <v>791000</v>
      </c>
      <c r="F540" t="s">
        <v>78</v>
      </c>
      <c r="G540" t="str" cm="1">
        <f t="array" ref="G540">_xlfn.LET(
    _xlpm.r, TRIM(B540),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40" t="str" cm="1">
        <f t="array" ref="H540">_xlfn.LET(
     _xlpm.r, TRIM(C540),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41" spans="1:8" x14ac:dyDescent="0.25">
      <c r="A541">
        <v>2022</v>
      </c>
      <c r="B541" t="s">
        <v>10</v>
      </c>
      <c r="C541" t="s">
        <v>6</v>
      </c>
      <c r="E541">
        <v>720000</v>
      </c>
      <c r="F541" t="s">
        <v>78</v>
      </c>
      <c r="G541" t="str" cm="1">
        <f t="array" ref="G541">_xlfn.LET(
    _xlpm.r, TRIM(B541),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41" t="str" cm="1">
        <f t="array" ref="H541">_xlfn.LET(
     _xlpm.r, TRIM(C541),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42" spans="1:8" x14ac:dyDescent="0.25">
      <c r="A542">
        <v>2022</v>
      </c>
      <c r="B542" t="s">
        <v>10</v>
      </c>
      <c r="C542" t="s">
        <v>6</v>
      </c>
      <c r="E542">
        <v>995000</v>
      </c>
      <c r="F542" t="s">
        <v>78</v>
      </c>
      <c r="G542" t="str" cm="1">
        <f t="array" ref="G542">_xlfn.LET(
    _xlpm.r, TRIM(B542),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42" t="str" cm="1">
        <f t="array" ref="H542">_xlfn.LET(
     _xlpm.r, TRIM(C542),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43" spans="1:8" x14ac:dyDescent="0.25">
      <c r="A543">
        <v>2022</v>
      </c>
      <c r="B543" t="s">
        <v>10</v>
      </c>
      <c r="C543" t="s">
        <v>6</v>
      </c>
      <c r="E543">
        <v>838000</v>
      </c>
      <c r="F543" t="s">
        <v>78</v>
      </c>
      <c r="G543" t="str" cm="1">
        <f t="array" ref="G543">_xlfn.LET(
    _xlpm.r, TRIM(B543),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43" t="str" cm="1">
        <f t="array" ref="H543">_xlfn.LET(
     _xlpm.r, TRIM(C543),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44" spans="1:8" x14ac:dyDescent="0.25">
      <c r="A544">
        <v>2022</v>
      </c>
      <c r="B544" t="s">
        <v>10</v>
      </c>
      <c r="C544" t="s">
        <v>6</v>
      </c>
      <c r="E544">
        <v>720000</v>
      </c>
      <c r="F544" t="s">
        <v>78</v>
      </c>
      <c r="G544" t="str" cm="1">
        <f t="array" ref="G544">_xlfn.LET(
    _xlpm.r, TRIM(B544),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44" t="str" cm="1">
        <f t="array" ref="H544">_xlfn.LET(
     _xlpm.r, TRIM(C544),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45" spans="1:8" x14ac:dyDescent="0.25">
      <c r="A545">
        <v>2022</v>
      </c>
      <c r="B545" t="s">
        <v>10</v>
      </c>
      <c r="C545" t="s">
        <v>6</v>
      </c>
      <c r="E545">
        <v>698000</v>
      </c>
      <c r="F545" t="s">
        <v>78</v>
      </c>
      <c r="G545" t="str" cm="1">
        <f t="array" ref="G545">_xlfn.LET(
    _xlpm.r, TRIM(B545),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45" t="str" cm="1">
        <f t="array" ref="H545">_xlfn.LET(
     _xlpm.r, TRIM(C545),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46" spans="1:8" x14ac:dyDescent="0.25">
      <c r="A546">
        <v>2022</v>
      </c>
      <c r="B546" t="s">
        <v>10</v>
      </c>
      <c r="C546" t="s">
        <v>6</v>
      </c>
      <c r="E546">
        <v>925000</v>
      </c>
      <c r="F546" t="s">
        <v>78</v>
      </c>
      <c r="G546" t="str" cm="1">
        <f t="array" ref="G546">_xlfn.LET(
    _xlpm.r, TRIM(B546),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46" t="str" cm="1">
        <f t="array" ref="H546">_xlfn.LET(
     _xlpm.r, TRIM(C546),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47" spans="1:8" x14ac:dyDescent="0.25">
      <c r="A547">
        <v>2022</v>
      </c>
      <c r="B547" t="s">
        <v>10</v>
      </c>
      <c r="C547" t="s">
        <v>6</v>
      </c>
      <c r="E547">
        <v>801000</v>
      </c>
      <c r="F547" t="s">
        <v>78</v>
      </c>
      <c r="G547" t="str" cm="1">
        <f t="array" ref="G547">_xlfn.LET(
    _xlpm.r, TRIM(B547),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47" t="str" cm="1">
        <f t="array" ref="H547">_xlfn.LET(
     _xlpm.r, TRIM(C547),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48" spans="1:8" x14ac:dyDescent="0.25">
      <c r="A548">
        <v>2022</v>
      </c>
      <c r="B548" t="s">
        <v>10</v>
      </c>
      <c r="C548" t="s">
        <v>6</v>
      </c>
      <c r="E548">
        <v>624000</v>
      </c>
      <c r="F548" t="s">
        <v>78</v>
      </c>
      <c r="G548" t="str" cm="1">
        <f t="array" ref="G548">_xlfn.LET(
    _xlpm.r, TRIM(B548),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48" t="str" cm="1">
        <f t="array" ref="H548">_xlfn.LET(
     _xlpm.r, TRIM(C548),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49" spans="1:8" x14ac:dyDescent="0.25">
      <c r="A549">
        <v>2022</v>
      </c>
      <c r="B549" t="s">
        <v>10</v>
      </c>
      <c r="C549" t="s">
        <v>6</v>
      </c>
      <c r="E549">
        <v>311000</v>
      </c>
      <c r="F549" t="s">
        <v>78</v>
      </c>
      <c r="G549" t="str" cm="1">
        <f t="array" ref="G549">_xlfn.LET(
    _xlpm.r, TRIM(B549),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49" t="str" cm="1">
        <f t="array" ref="H549">_xlfn.LET(
     _xlpm.r, TRIM(C549),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50" spans="1:8" x14ac:dyDescent="0.25">
      <c r="A550">
        <v>2022</v>
      </c>
      <c r="B550" t="s">
        <v>10</v>
      </c>
      <c r="C550" t="s">
        <v>6</v>
      </c>
      <c r="E550">
        <v>683000</v>
      </c>
      <c r="F550" t="s">
        <v>78</v>
      </c>
      <c r="G550" t="str" cm="1">
        <f t="array" ref="G550">_xlfn.LET(
    _xlpm.r, TRIM(B550),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50" t="str" cm="1">
        <f t="array" ref="H550">_xlfn.LET(
     _xlpm.r, TRIM(C550),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51" spans="1:8" x14ac:dyDescent="0.25">
      <c r="A551">
        <v>2022</v>
      </c>
      <c r="B551" t="s">
        <v>10</v>
      </c>
      <c r="C551" t="s">
        <v>6</v>
      </c>
      <c r="E551">
        <v>570500</v>
      </c>
      <c r="F551" t="s">
        <v>78</v>
      </c>
      <c r="G551" t="str" cm="1">
        <f t="array" ref="G551">_xlfn.LET(
    _xlpm.r, TRIM(B551),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51" t="str" cm="1">
        <f t="array" ref="H551">_xlfn.LET(
     _xlpm.r, TRIM(C551),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52" spans="1:8" x14ac:dyDescent="0.25">
      <c r="A552">
        <v>2022</v>
      </c>
      <c r="B552" t="s">
        <v>10</v>
      </c>
      <c r="C552" t="s">
        <v>6</v>
      </c>
      <c r="E552">
        <v>656000</v>
      </c>
      <c r="F552" t="s">
        <v>78</v>
      </c>
      <c r="G552" t="str" cm="1">
        <f t="array" ref="G552">_xlfn.LET(
    _xlpm.r, TRIM(B552),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52" t="str" cm="1">
        <f t="array" ref="H552">_xlfn.LET(
     _xlpm.r, TRIM(C552),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53" spans="1:8" x14ac:dyDescent="0.25">
      <c r="A553">
        <v>2022</v>
      </c>
      <c r="B553" t="s">
        <v>10</v>
      </c>
      <c r="C553" t="s">
        <v>6</v>
      </c>
      <c r="E553">
        <v>780000</v>
      </c>
      <c r="F553" t="s">
        <v>78</v>
      </c>
      <c r="G553" t="str" cm="1">
        <f t="array" ref="G553">_xlfn.LET(
    _xlpm.r, TRIM(B553),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53" t="str" cm="1">
        <f t="array" ref="H553">_xlfn.LET(
     _xlpm.r, TRIM(C553),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54" spans="1:8" x14ac:dyDescent="0.25">
      <c r="A554">
        <v>2022</v>
      </c>
      <c r="B554" t="s">
        <v>10</v>
      </c>
      <c r="C554" t="s">
        <v>6</v>
      </c>
      <c r="E554">
        <v>392000</v>
      </c>
      <c r="F554" t="s">
        <v>78</v>
      </c>
      <c r="G554" t="str" cm="1">
        <f t="array" ref="G554">_xlfn.LET(
    _xlpm.r, TRIM(B554),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54" t="str" cm="1">
        <f t="array" ref="H554">_xlfn.LET(
     _xlpm.r, TRIM(C554),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55" spans="1:8" x14ac:dyDescent="0.25">
      <c r="A555">
        <v>2022</v>
      </c>
      <c r="B555" t="s">
        <v>10</v>
      </c>
      <c r="C555" t="s">
        <v>6</v>
      </c>
      <c r="E555">
        <v>482000</v>
      </c>
      <c r="F555" t="s">
        <v>78</v>
      </c>
      <c r="G555" t="str" cm="1">
        <f t="array" ref="G555">_xlfn.LET(
    _xlpm.r, TRIM(B555),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55" t="str" cm="1">
        <f t="array" ref="H555">_xlfn.LET(
     _xlpm.r, TRIM(C555),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56" spans="1:8" x14ac:dyDescent="0.25">
      <c r="A556">
        <v>2022</v>
      </c>
      <c r="B556" t="s">
        <v>10</v>
      </c>
      <c r="C556" t="s">
        <v>6</v>
      </c>
      <c r="E556">
        <v>477500</v>
      </c>
      <c r="F556" t="s">
        <v>78</v>
      </c>
      <c r="G556" t="str" cm="1">
        <f t="array" ref="G556">_xlfn.LET(
    _xlpm.r, TRIM(B556),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56" t="str" cm="1">
        <f t="array" ref="H556">_xlfn.LET(
     _xlpm.r, TRIM(C556),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57" spans="1:8" x14ac:dyDescent="0.25">
      <c r="A557">
        <v>2022</v>
      </c>
      <c r="B557" t="s">
        <v>10</v>
      </c>
      <c r="C557" t="s">
        <v>6</v>
      </c>
      <c r="E557">
        <v>670000</v>
      </c>
      <c r="F557" t="s">
        <v>78</v>
      </c>
      <c r="G557" t="str" cm="1">
        <f t="array" ref="G557">_xlfn.LET(
    _xlpm.r, TRIM(B557),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57" t="str" cm="1">
        <f t="array" ref="H557">_xlfn.LET(
     _xlpm.r, TRIM(C557),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58" spans="1:8" x14ac:dyDescent="0.25">
      <c r="A558">
        <v>2022</v>
      </c>
      <c r="B558" t="s">
        <v>10</v>
      </c>
      <c r="C558" t="s">
        <v>6</v>
      </c>
      <c r="E558">
        <v>668000</v>
      </c>
      <c r="F558" t="s">
        <v>78</v>
      </c>
      <c r="G558" t="str" cm="1">
        <f t="array" ref="G558">_xlfn.LET(
    _xlpm.r, TRIM(B558),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58" t="str" cm="1">
        <f t="array" ref="H558">_xlfn.LET(
     _xlpm.r, TRIM(C558),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59" spans="1:8" x14ac:dyDescent="0.25">
      <c r="A559">
        <v>2022</v>
      </c>
      <c r="B559" t="s">
        <v>10</v>
      </c>
      <c r="C559" t="s">
        <v>6</v>
      </c>
      <c r="E559">
        <v>5882000</v>
      </c>
      <c r="F559" t="s">
        <v>78</v>
      </c>
      <c r="G559" t="str" cm="1">
        <f t="array" ref="G559">_xlfn.LET(
    _xlpm.r, TRIM(B559),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59" t="str" cm="1">
        <f t="array" ref="H559">_xlfn.LET(
     _xlpm.r, TRIM(C559),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60" spans="1:8" x14ac:dyDescent="0.25">
      <c r="A560">
        <v>2022</v>
      </c>
      <c r="B560" t="s">
        <v>10</v>
      </c>
      <c r="C560" t="s">
        <v>6</v>
      </c>
      <c r="E560">
        <v>2160000</v>
      </c>
      <c r="F560" t="s">
        <v>78</v>
      </c>
      <c r="G560" t="str" cm="1">
        <f t="array" ref="G560">_xlfn.LET(
    _xlpm.r, TRIM(B560),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60" t="str" cm="1">
        <f t="array" ref="H560">_xlfn.LET(
     _xlpm.r, TRIM(C560),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61" spans="1:8" x14ac:dyDescent="0.25">
      <c r="A561">
        <v>2022</v>
      </c>
      <c r="B561" t="s">
        <v>10</v>
      </c>
      <c r="C561" t="s">
        <v>6</v>
      </c>
      <c r="E561">
        <v>506000</v>
      </c>
      <c r="F561" t="s">
        <v>78</v>
      </c>
      <c r="G561" t="str" cm="1">
        <f t="array" ref="G561">_xlfn.LET(
    _xlpm.r, TRIM(B561),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61" t="str" cm="1">
        <f t="array" ref="H561">_xlfn.LET(
     _xlpm.r, TRIM(C561),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62" spans="1:8" x14ac:dyDescent="0.25">
      <c r="A562">
        <v>2022</v>
      </c>
      <c r="B562" t="s">
        <v>10</v>
      </c>
      <c r="C562" t="s">
        <v>6</v>
      </c>
      <c r="E562">
        <v>989500</v>
      </c>
      <c r="F562" t="s">
        <v>78</v>
      </c>
      <c r="G562" t="str" cm="1">
        <f t="array" ref="G562">_xlfn.LET(
    _xlpm.r, TRIM(B562),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62" t="str" cm="1">
        <f t="array" ref="H562">_xlfn.LET(
     _xlpm.r, TRIM(C562),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63" spans="1:8" x14ac:dyDescent="0.25">
      <c r="A563">
        <v>2022</v>
      </c>
      <c r="B563" t="s">
        <v>10</v>
      </c>
      <c r="C563" t="s">
        <v>6</v>
      </c>
      <c r="E563">
        <v>631000</v>
      </c>
      <c r="F563" t="s">
        <v>78</v>
      </c>
      <c r="G563" t="str" cm="1">
        <f t="array" ref="G563">_xlfn.LET(
    _xlpm.r, TRIM(B563),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63" t="str" cm="1">
        <f t="array" ref="H563">_xlfn.LET(
     _xlpm.r, TRIM(C563),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64" spans="1:8" x14ac:dyDescent="0.25">
      <c r="A564">
        <v>2022</v>
      </c>
      <c r="B564" t="s">
        <v>10</v>
      </c>
      <c r="C564" t="s">
        <v>6</v>
      </c>
      <c r="E564">
        <v>909000</v>
      </c>
      <c r="F564" t="s">
        <v>78</v>
      </c>
      <c r="G564" t="str" cm="1">
        <f t="array" ref="G564">_xlfn.LET(
    _xlpm.r, TRIM(B564),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64" t="str" cm="1">
        <f t="array" ref="H564">_xlfn.LET(
     _xlpm.r, TRIM(C564),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65" spans="1:8" x14ac:dyDescent="0.25">
      <c r="A565">
        <v>2022</v>
      </c>
      <c r="B565" t="s">
        <v>10</v>
      </c>
      <c r="C565" t="s">
        <v>6</v>
      </c>
      <c r="E565">
        <v>1983000</v>
      </c>
      <c r="F565" t="s">
        <v>78</v>
      </c>
      <c r="G565" t="str" cm="1">
        <f t="array" ref="G565">_xlfn.LET(
    _xlpm.r, TRIM(B565),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65" t="str" cm="1">
        <f t="array" ref="H565">_xlfn.LET(
     _xlpm.r, TRIM(C565),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66" spans="1:8" x14ac:dyDescent="0.25">
      <c r="A566">
        <v>2022</v>
      </c>
      <c r="B566" t="s">
        <v>10</v>
      </c>
      <c r="C566" t="s">
        <v>6</v>
      </c>
      <c r="E566">
        <v>668000</v>
      </c>
      <c r="F566" t="s">
        <v>78</v>
      </c>
      <c r="G566" t="str" cm="1">
        <f t="array" ref="G566">_xlfn.LET(
    _xlpm.r, TRIM(B566),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66" t="str" cm="1">
        <f t="array" ref="H566">_xlfn.LET(
     _xlpm.r, TRIM(C566),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67" spans="1:8" x14ac:dyDescent="0.25">
      <c r="A567">
        <v>2022</v>
      </c>
      <c r="B567" t="s">
        <v>10</v>
      </c>
      <c r="C567" t="s">
        <v>6</v>
      </c>
      <c r="E567">
        <v>861500</v>
      </c>
      <c r="F567" t="s">
        <v>78</v>
      </c>
      <c r="G567" t="str" cm="1">
        <f t="array" ref="G567">_xlfn.LET(
    _xlpm.r, TRIM(B567),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67" t="str" cm="1">
        <f t="array" ref="H567">_xlfn.LET(
     _xlpm.r, TRIM(C567),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68" spans="1:8" x14ac:dyDescent="0.25">
      <c r="A568">
        <v>2022</v>
      </c>
      <c r="B568" t="s">
        <v>10</v>
      </c>
      <c r="C568" t="s">
        <v>6</v>
      </c>
      <c r="E568">
        <v>331000</v>
      </c>
      <c r="F568" t="s">
        <v>78</v>
      </c>
      <c r="G568" t="str" cm="1">
        <f t="array" ref="G568">_xlfn.LET(
    _xlpm.r, TRIM(B568),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68" t="str" cm="1">
        <f t="array" ref="H568">_xlfn.LET(
     _xlpm.r, TRIM(C568),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69" spans="1:8" x14ac:dyDescent="0.25">
      <c r="A569">
        <v>2022</v>
      </c>
      <c r="B569" t="s">
        <v>10</v>
      </c>
      <c r="C569" t="s">
        <v>6</v>
      </c>
      <c r="E569">
        <v>1070500</v>
      </c>
      <c r="F569" t="s">
        <v>78</v>
      </c>
      <c r="G569" t="str" cm="1">
        <f t="array" ref="G569">_xlfn.LET(
    _xlpm.r, TRIM(B569),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69" t="str" cm="1">
        <f t="array" ref="H569">_xlfn.LET(
     _xlpm.r, TRIM(C569),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70" spans="1:8" x14ac:dyDescent="0.25">
      <c r="A570">
        <v>2022</v>
      </c>
      <c r="B570" t="s">
        <v>10</v>
      </c>
      <c r="C570" t="s">
        <v>6</v>
      </c>
      <c r="E570">
        <v>653000</v>
      </c>
      <c r="F570" t="s">
        <v>78</v>
      </c>
      <c r="G570" t="str" cm="1">
        <f t="array" ref="G570">_xlfn.LET(
    _xlpm.r, TRIM(B570),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70" t="str" cm="1">
        <f t="array" ref="H570">_xlfn.LET(
     _xlpm.r, TRIM(C570),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71" spans="1:8" x14ac:dyDescent="0.25">
      <c r="A571">
        <v>2022</v>
      </c>
      <c r="B571" t="s">
        <v>10</v>
      </c>
      <c r="C571" t="s">
        <v>6</v>
      </c>
      <c r="E571">
        <v>1241000</v>
      </c>
      <c r="F571" t="s">
        <v>78</v>
      </c>
      <c r="G571" t="str" cm="1">
        <f t="array" ref="G571">_xlfn.LET(
    _xlpm.r, TRIM(B571),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71" t="str" cm="1">
        <f t="array" ref="H571">_xlfn.LET(
     _xlpm.r, TRIM(C571),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72" spans="1:8" x14ac:dyDescent="0.25">
      <c r="A572">
        <v>2022</v>
      </c>
      <c r="B572" t="s">
        <v>10</v>
      </c>
      <c r="C572" t="s">
        <v>6</v>
      </c>
      <c r="E572">
        <v>589000</v>
      </c>
      <c r="F572" t="s">
        <v>78</v>
      </c>
      <c r="G572" t="str" cm="1">
        <f t="array" ref="G572">_xlfn.LET(
    _xlpm.r, TRIM(B572),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72" t="str" cm="1">
        <f t="array" ref="H572">_xlfn.LET(
     _xlpm.r, TRIM(C572),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73" spans="1:8" x14ac:dyDescent="0.25">
      <c r="A573">
        <v>2022</v>
      </c>
      <c r="B573" t="s">
        <v>10</v>
      </c>
      <c r="C573" t="s">
        <v>6</v>
      </c>
      <c r="E573">
        <v>647500</v>
      </c>
      <c r="F573" t="s">
        <v>78</v>
      </c>
      <c r="G573" t="str" cm="1">
        <f t="array" ref="G573">_xlfn.LET(
    _xlpm.r, TRIM(B573),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73" t="str" cm="1">
        <f t="array" ref="H573">_xlfn.LET(
     _xlpm.r, TRIM(C573),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74" spans="1:8" x14ac:dyDescent="0.25">
      <c r="A574">
        <v>2022</v>
      </c>
      <c r="B574" t="s">
        <v>10</v>
      </c>
      <c r="C574" t="s">
        <v>6</v>
      </c>
      <c r="E574">
        <v>715000</v>
      </c>
      <c r="F574" t="s">
        <v>78</v>
      </c>
      <c r="G574" t="str" cm="1">
        <f t="array" ref="G574">_xlfn.LET(
    _xlpm.r, TRIM(B574),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74" t="str" cm="1">
        <f t="array" ref="H574">_xlfn.LET(
     _xlpm.r, TRIM(C574),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75" spans="1:8" x14ac:dyDescent="0.25">
      <c r="A575">
        <v>2022</v>
      </c>
      <c r="B575" t="s">
        <v>10</v>
      </c>
      <c r="C575" t="s">
        <v>6</v>
      </c>
      <c r="E575">
        <v>694000</v>
      </c>
      <c r="F575" t="s">
        <v>78</v>
      </c>
      <c r="G575" t="str" cm="1">
        <f t="array" ref="G575">_xlfn.LET(
    _xlpm.r, TRIM(B575),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75" t="str" cm="1">
        <f t="array" ref="H575">_xlfn.LET(
     _xlpm.r, TRIM(C575),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76" spans="1:8" x14ac:dyDescent="0.25">
      <c r="A576">
        <v>2022</v>
      </c>
      <c r="B576" t="s">
        <v>10</v>
      </c>
      <c r="C576" t="s">
        <v>6</v>
      </c>
      <c r="E576">
        <v>1765000</v>
      </c>
      <c r="F576" t="s">
        <v>78</v>
      </c>
      <c r="G576" t="str" cm="1">
        <f t="array" ref="G576">_xlfn.LET(
    _xlpm.r, TRIM(B576),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76" t="str" cm="1">
        <f t="array" ref="H576">_xlfn.LET(
     _xlpm.r, TRIM(C576),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77" spans="1:8" x14ac:dyDescent="0.25">
      <c r="A577">
        <v>2022</v>
      </c>
      <c r="B577" t="s">
        <v>10</v>
      </c>
      <c r="C577" t="s">
        <v>6</v>
      </c>
      <c r="E577">
        <v>881500</v>
      </c>
      <c r="F577" t="s">
        <v>78</v>
      </c>
      <c r="G577" t="str" cm="1">
        <f t="array" ref="G577">_xlfn.LET(
    _xlpm.r, TRIM(B577),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77" t="str" cm="1">
        <f t="array" ref="H577">_xlfn.LET(
     _xlpm.r, TRIM(C577),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78" spans="1:8" x14ac:dyDescent="0.25">
      <c r="A578">
        <v>2022</v>
      </c>
      <c r="B578" t="s">
        <v>10</v>
      </c>
      <c r="C578" t="s">
        <v>6</v>
      </c>
      <c r="E578">
        <v>469500</v>
      </c>
      <c r="F578" t="s">
        <v>78</v>
      </c>
      <c r="G578" t="str" cm="1">
        <f t="array" ref="G578">_xlfn.LET(
    _xlpm.r, TRIM(B578),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78" t="str" cm="1">
        <f t="array" ref="H578">_xlfn.LET(
     _xlpm.r, TRIM(C578),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79" spans="1:8" x14ac:dyDescent="0.25">
      <c r="A579">
        <v>2022</v>
      </c>
      <c r="B579" t="s">
        <v>10</v>
      </c>
      <c r="C579" t="s">
        <v>6</v>
      </c>
      <c r="E579">
        <v>525000</v>
      </c>
      <c r="F579" t="s">
        <v>78</v>
      </c>
      <c r="G579" t="str" cm="1">
        <f t="array" ref="G579">_xlfn.LET(
    _xlpm.r, TRIM(B579),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79" t="str" cm="1">
        <f t="array" ref="H579">_xlfn.LET(
     _xlpm.r, TRIM(C579),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80" spans="1:8" x14ac:dyDescent="0.25">
      <c r="A580">
        <v>2022</v>
      </c>
      <c r="B580" t="s">
        <v>10</v>
      </c>
      <c r="C580" t="s">
        <v>6</v>
      </c>
      <c r="E580">
        <v>956000</v>
      </c>
      <c r="F580" t="s">
        <v>78</v>
      </c>
      <c r="G580" t="str" cm="1">
        <f t="array" ref="G580">_xlfn.LET(
    _xlpm.r, TRIM(B580),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80" t="str" cm="1">
        <f t="array" ref="H580">_xlfn.LET(
     _xlpm.r, TRIM(C580),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81" spans="1:8" x14ac:dyDescent="0.25">
      <c r="A581">
        <v>2022</v>
      </c>
      <c r="B581" t="s">
        <v>10</v>
      </c>
      <c r="C581" t="s">
        <v>6</v>
      </c>
      <c r="E581">
        <v>535500</v>
      </c>
      <c r="F581" t="s">
        <v>78</v>
      </c>
      <c r="G581" t="str" cm="1">
        <f t="array" ref="G581">_xlfn.LET(
    _xlpm.r, TRIM(B581),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81" t="str" cm="1">
        <f t="array" ref="H581">_xlfn.LET(
     _xlpm.r, TRIM(C581),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82" spans="1:8" x14ac:dyDescent="0.25">
      <c r="A582">
        <v>2022</v>
      </c>
      <c r="B582" t="s">
        <v>10</v>
      </c>
      <c r="C582" t="s">
        <v>6</v>
      </c>
      <c r="E582">
        <v>487000</v>
      </c>
      <c r="F582" t="s">
        <v>78</v>
      </c>
      <c r="G582" t="str" cm="1">
        <f t="array" ref="G582">_xlfn.LET(
    _xlpm.r, TRIM(B582),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82" t="str" cm="1">
        <f t="array" ref="H582">_xlfn.LET(
     _xlpm.r, TRIM(C582),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83" spans="1:8" x14ac:dyDescent="0.25">
      <c r="A583">
        <v>2022</v>
      </c>
      <c r="B583" t="s">
        <v>10</v>
      </c>
      <c r="C583" t="s">
        <v>6</v>
      </c>
      <c r="E583">
        <v>875500</v>
      </c>
      <c r="F583" t="s">
        <v>78</v>
      </c>
      <c r="G583" t="str" cm="1">
        <f t="array" ref="G583">_xlfn.LET(
    _xlpm.r, TRIM(B583),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83" t="str" cm="1">
        <f t="array" ref="H583">_xlfn.LET(
     _xlpm.r, TRIM(C583),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84" spans="1:8" x14ac:dyDescent="0.25">
      <c r="A584">
        <v>2022</v>
      </c>
      <c r="B584" t="s">
        <v>10</v>
      </c>
      <c r="C584" t="s">
        <v>6</v>
      </c>
      <c r="E584">
        <v>1016000</v>
      </c>
      <c r="F584" t="s">
        <v>78</v>
      </c>
      <c r="G584" t="str" cm="1">
        <f t="array" ref="G584">_xlfn.LET(
    _xlpm.r, TRIM(B584),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84" t="str" cm="1">
        <f t="array" ref="H584">_xlfn.LET(
     _xlpm.r, TRIM(C584),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85" spans="1:8" x14ac:dyDescent="0.25">
      <c r="A585">
        <v>2022</v>
      </c>
      <c r="B585" t="s">
        <v>10</v>
      </c>
      <c r="C585" t="s">
        <v>6</v>
      </c>
      <c r="E585">
        <v>828000</v>
      </c>
      <c r="F585" t="s">
        <v>78</v>
      </c>
      <c r="G585" t="str" cm="1">
        <f t="array" ref="G585">_xlfn.LET(
    _xlpm.r, TRIM(B585),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85" t="str" cm="1">
        <f t="array" ref="H585">_xlfn.LET(
     _xlpm.r, TRIM(C585),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86" spans="1:8" x14ac:dyDescent="0.25">
      <c r="A586">
        <v>2022</v>
      </c>
      <c r="B586" t="s">
        <v>10</v>
      </c>
      <c r="C586" t="s">
        <v>6</v>
      </c>
      <c r="E586">
        <v>670000</v>
      </c>
      <c r="F586" t="s">
        <v>78</v>
      </c>
      <c r="G586" t="str" cm="1">
        <f t="array" ref="G586">_xlfn.LET(
    _xlpm.r, TRIM(B586),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86" t="str" cm="1">
        <f t="array" ref="H586">_xlfn.LET(
     _xlpm.r, TRIM(C586),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87" spans="1:8" x14ac:dyDescent="0.25">
      <c r="A587">
        <v>2022</v>
      </c>
      <c r="B587" t="s">
        <v>10</v>
      </c>
      <c r="C587" t="s">
        <v>6</v>
      </c>
      <c r="E587">
        <v>959000</v>
      </c>
      <c r="F587" t="s">
        <v>78</v>
      </c>
      <c r="G587" t="str" cm="1">
        <f t="array" ref="G587">_xlfn.LET(
    _xlpm.r, TRIM(B587),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87" t="str" cm="1">
        <f t="array" ref="H587">_xlfn.LET(
     _xlpm.r, TRIM(C587),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88" spans="1:8" x14ac:dyDescent="0.25">
      <c r="A588">
        <v>2022</v>
      </c>
      <c r="B588" t="s">
        <v>10</v>
      </c>
      <c r="C588" t="s">
        <v>6</v>
      </c>
      <c r="E588">
        <v>789000</v>
      </c>
      <c r="F588" t="s">
        <v>78</v>
      </c>
      <c r="G588" t="str" cm="1">
        <f t="array" ref="G588">_xlfn.LET(
    _xlpm.r, TRIM(B588),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88" t="str" cm="1">
        <f t="array" ref="H588">_xlfn.LET(
     _xlpm.r, TRIM(C588),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89" spans="1:8" x14ac:dyDescent="0.25">
      <c r="A589">
        <v>2022</v>
      </c>
      <c r="B589" t="s">
        <v>10</v>
      </c>
      <c r="C589" t="s">
        <v>6</v>
      </c>
      <c r="E589">
        <v>4770000</v>
      </c>
      <c r="F589" t="s">
        <v>78</v>
      </c>
      <c r="G589" t="str" cm="1">
        <f t="array" ref="G589">_xlfn.LET(
    _xlpm.r, TRIM(B589),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89" t="str" cm="1">
        <f t="array" ref="H589">_xlfn.LET(
     _xlpm.r, TRIM(C589),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90" spans="1:8" x14ac:dyDescent="0.25">
      <c r="A590">
        <v>2022</v>
      </c>
      <c r="B590" t="s">
        <v>10</v>
      </c>
      <c r="C590" t="s">
        <v>6</v>
      </c>
      <c r="E590">
        <v>2820000</v>
      </c>
      <c r="F590" t="s">
        <v>78</v>
      </c>
      <c r="G590" t="str" cm="1">
        <f t="array" ref="G590">_xlfn.LET(
    _xlpm.r, TRIM(B590),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90" t="str" cm="1">
        <f t="array" ref="H590">_xlfn.LET(
     _xlpm.r, TRIM(C590),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91" spans="1:8" x14ac:dyDescent="0.25">
      <c r="A591">
        <v>2022</v>
      </c>
      <c r="B591" t="s">
        <v>10</v>
      </c>
      <c r="C591" t="s">
        <v>6</v>
      </c>
      <c r="E591">
        <v>1079000</v>
      </c>
      <c r="F591" t="s">
        <v>78</v>
      </c>
      <c r="G591" t="str" cm="1">
        <f t="array" ref="G591">_xlfn.LET(
    _xlpm.r, TRIM(B591),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91" t="str" cm="1">
        <f t="array" ref="H591">_xlfn.LET(
     _xlpm.r, TRIM(C591),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92" spans="1:8" x14ac:dyDescent="0.25">
      <c r="A592">
        <v>2022</v>
      </c>
      <c r="B592" t="s">
        <v>10</v>
      </c>
      <c r="C592" t="s">
        <v>6</v>
      </c>
      <c r="E592">
        <v>595000</v>
      </c>
      <c r="F592" t="s">
        <v>78</v>
      </c>
      <c r="G592" t="str" cm="1">
        <f t="array" ref="G592">_xlfn.LET(
    _xlpm.r, TRIM(B592),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92" t="str" cm="1">
        <f t="array" ref="H592">_xlfn.LET(
     _xlpm.r, TRIM(C592),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93" spans="1:8" x14ac:dyDescent="0.25">
      <c r="A593">
        <v>2022</v>
      </c>
      <c r="B593" t="s">
        <v>10</v>
      </c>
      <c r="C593" t="s">
        <v>6</v>
      </c>
      <c r="E593">
        <v>707000</v>
      </c>
      <c r="F593" t="s">
        <v>78</v>
      </c>
      <c r="G593" t="str" cm="1">
        <f t="array" ref="G593">_xlfn.LET(
    _xlpm.r, TRIM(B593),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93" t="str" cm="1">
        <f t="array" ref="H593">_xlfn.LET(
     _xlpm.r, TRIM(C593),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94" spans="1:8" x14ac:dyDescent="0.25">
      <c r="A594">
        <v>2022</v>
      </c>
      <c r="B594" t="s">
        <v>10</v>
      </c>
      <c r="C594" t="s">
        <v>6</v>
      </c>
      <c r="E594">
        <v>1703000</v>
      </c>
      <c r="F594" t="s">
        <v>78</v>
      </c>
      <c r="G594" t="str" cm="1">
        <f t="array" ref="G594">_xlfn.LET(
    _xlpm.r, TRIM(B594),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94" t="str" cm="1">
        <f t="array" ref="H594">_xlfn.LET(
     _xlpm.r, TRIM(C594),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95" spans="1:8" x14ac:dyDescent="0.25">
      <c r="A595">
        <v>2022</v>
      </c>
      <c r="B595" t="s">
        <v>10</v>
      </c>
      <c r="C595" t="s">
        <v>6</v>
      </c>
      <c r="E595">
        <v>2183000</v>
      </c>
      <c r="F595" t="s">
        <v>78</v>
      </c>
      <c r="G595" t="str" cm="1">
        <f t="array" ref="G595">_xlfn.LET(
    _xlpm.r, TRIM(B595),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95" t="str" cm="1">
        <f t="array" ref="H595">_xlfn.LET(
     _xlpm.r, TRIM(C595),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96" spans="1:8" x14ac:dyDescent="0.25">
      <c r="A596">
        <v>2022</v>
      </c>
      <c r="B596" t="s">
        <v>10</v>
      </c>
      <c r="C596" t="s">
        <v>6</v>
      </c>
      <c r="E596">
        <v>3314000</v>
      </c>
      <c r="F596" t="s">
        <v>78</v>
      </c>
      <c r="G596" t="str" cm="1">
        <f t="array" ref="G596">_xlfn.LET(
    _xlpm.r, TRIM(B596),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96" t="str" cm="1">
        <f t="array" ref="H596">_xlfn.LET(
     _xlpm.r, TRIM(C596),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97" spans="1:8" x14ac:dyDescent="0.25">
      <c r="A597">
        <v>2022</v>
      </c>
      <c r="B597" t="s">
        <v>10</v>
      </c>
      <c r="C597" t="s">
        <v>6</v>
      </c>
      <c r="E597">
        <v>915000</v>
      </c>
      <c r="F597" t="s">
        <v>78</v>
      </c>
      <c r="G597" t="str" cm="1">
        <f t="array" ref="G597">_xlfn.LET(
    _xlpm.r, TRIM(B597),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97" t="str" cm="1">
        <f t="array" ref="H597">_xlfn.LET(
     _xlpm.r, TRIM(C597),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98" spans="1:8" x14ac:dyDescent="0.25">
      <c r="A598">
        <v>2022</v>
      </c>
      <c r="B598" t="s">
        <v>10</v>
      </c>
      <c r="C598" t="s">
        <v>6</v>
      </c>
      <c r="E598">
        <v>1089000</v>
      </c>
      <c r="F598" t="s">
        <v>78</v>
      </c>
      <c r="G598" t="str" cm="1">
        <f t="array" ref="G598">_xlfn.LET(
    _xlpm.r, TRIM(B598),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98" t="str" cm="1">
        <f t="array" ref="H598">_xlfn.LET(
     _xlpm.r, TRIM(C598),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599" spans="1:8" x14ac:dyDescent="0.25">
      <c r="A599">
        <v>2022</v>
      </c>
      <c r="B599" t="s">
        <v>10</v>
      </c>
      <c r="C599" t="s">
        <v>6</v>
      </c>
      <c r="E599">
        <v>802000</v>
      </c>
      <c r="F599" t="s">
        <v>78</v>
      </c>
      <c r="G599" t="str" cm="1">
        <f t="array" ref="G599">_xlfn.LET(
    _xlpm.r, TRIM(B599),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599" t="str" cm="1">
        <f t="array" ref="H599">_xlfn.LET(
     _xlpm.r, TRIM(C599),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00" spans="1:8" x14ac:dyDescent="0.25">
      <c r="A600">
        <v>2022</v>
      </c>
      <c r="B600" t="s">
        <v>10</v>
      </c>
      <c r="C600" t="s">
        <v>6</v>
      </c>
      <c r="E600">
        <v>2034000</v>
      </c>
      <c r="F600" t="s">
        <v>78</v>
      </c>
      <c r="G600" t="str" cm="1">
        <f t="array" ref="G600">_xlfn.LET(
    _xlpm.r, TRIM(B600),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00" t="str" cm="1">
        <f t="array" ref="H600">_xlfn.LET(
     _xlpm.r, TRIM(C600),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01" spans="1:8" x14ac:dyDescent="0.25">
      <c r="A601">
        <v>2022</v>
      </c>
      <c r="B601" t="s">
        <v>10</v>
      </c>
      <c r="C601" t="s">
        <v>6</v>
      </c>
      <c r="E601">
        <v>665000</v>
      </c>
      <c r="F601" t="s">
        <v>78</v>
      </c>
      <c r="G601" t="str" cm="1">
        <f t="array" ref="G601">_xlfn.LET(
    _xlpm.r, TRIM(B601),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01" t="str" cm="1">
        <f t="array" ref="H601">_xlfn.LET(
     _xlpm.r, TRIM(C601),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02" spans="1:8" x14ac:dyDescent="0.25">
      <c r="A602">
        <v>2022</v>
      </c>
      <c r="B602" t="s">
        <v>10</v>
      </c>
      <c r="C602" t="s">
        <v>6</v>
      </c>
      <c r="E602">
        <v>531000</v>
      </c>
      <c r="F602" t="s">
        <v>78</v>
      </c>
      <c r="G602" t="str" cm="1">
        <f t="array" ref="G602">_xlfn.LET(
    _xlpm.r, TRIM(B602),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02" t="str" cm="1">
        <f t="array" ref="H602">_xlfn.LET(
     _xlpm.r, TRIM(C602),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03" spans="1:8" x14ac:dyDescent="0.25">
      <c r="A603">
        <v>2022</v>
      </c>
      <c r="B603" t="s">
        <v>10</v>
      </c>
      <c r="C603" t="s">
        <v>6</v>
      </c>
      <c r="E603">
        <v>1159000</v>
      </c>
      <c r="F603" t="s">
        <v>78</v>
      </c>
      <c r="G603" t="str" cm="1">
        <f t="array" ref="G603">_xlfn.LET(
    _xlpm.r, TRIM(B603),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03" t="str" cm="1">
        <f t="array" ref="H603">_xlfn.LET(
     _xlpm.r, TRIM(C603),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04" spans="1:8" x14ac:dyDescent="0.25">
      <c r="A604">
        <v>2022</v>
      </c>
      <c r="B604" t="s">
        <v>10</v>
      </c>
      <c r="C604" t="s">
        <v>6</v>
      </c>
      <c r="E604">
        <v>792000</v>
      </c>
      <c r="F604" t="s">
        <v>78</v>
      </c>
      <c r="G604" t="str" cm="1">
        <f t="array" ref="G604">_xlfn.LET(
    _xlpm.r, TRIM(B604),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04" t="str" cm="1">
        <f t="array" ref="H604">_xlfn.LET(
     _xlpm.r, TRIM(C604),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05" spans="1:8" x14ac:dyDescent="0.25">
      <c r="A605">
        <v>2022</v>
      </c>
      <c r="B605" t="s">
        <v>10</v>
      </c>
      <c r="C605" t="s">
        <v>6</v>
      </c>
      <c r="E605">
        <v>760000</v>
      </c>
      <c r="F605" t="s">
        <v>78</v>
      </c>
      <c r="G605" t="str" cm="1">
        <f t="array" ref="G605">_xlfn.LET(
    _xlpm.r, TRIM(B605),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05" t="str" cm="1">
        <f t="array" ref="H605">_xlfn.LET(
     _xlpm.r, TRIM(C605),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06" spans="1:8" x14ac:dyDescent="0.25">
      <c r="A606">
        <v>2022</v>
      </c>
      <c r="B606" t="s">
        <v>10</v>
      </c>
      <c r="C606" t="s">
        <v>6</v>
      </c>
      <c r="E606">
        <v>1171000</v>
      </c>
      <c r="F606" t="s">
        <v>78</v>
      </c>
      <c r="G606" t="str" cm="1">
        <f t="array" ref="G606">_xlfn.LET(
    _xlpm.r, TRIM(B606),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06" t="str" cm="1">
        <f t="array" ref="H606">_xlfn.LET(
     _xlpm.r, TRIM(C606),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07" spans="1:8" x14ac:dyDescent="0.25">
      <c r="A607">
        <v>2022</v>
      </c>
      <c r="B607" t="s">
        <v>10</v>
      </c>
      <c r="C607" t="s">
        <v>6</v>
      </c>
      <c r="E607">
        <v>593000</v>
      </c>
      <c r="F607" t="s">
        <v>78</v>
      </c>
      <c r="G607" t="str" cm="1">
        <f t="array" ref="G607">_xlfn.LET(
    _xlpm.r, TRIM(B607),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07" t="str" cm="1">
        <f t="array" ref="H607">_xlfn.LET(
     _xlpm.r, TRIM(C607),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08" spans="1:8" x14ac:dyDescent="0.25">
      <c r="A608">
        <v>2022</v>
      </c>
      <c r="B608" t="s">
        <v>10</v>
      </c>
      <c r="C608" t="s">
        <v>6</v>
      </c>
      <c r="E608">
        <v>717000</v>
      </c>
      <c r="F608" t="s">
        <v>78</v>
      </c>
      <c r="G608" t="str" cm="1">
        <f t="array" ref="G608">_xlfn.LET(
    _xlpm.r, TRIM(B608),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08" t="str" cm="1">
        <f t="array" ref="H608">_xlfn.LET(
     _xlpm.r, TRIM(C608),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09" spans="1:8" x14ac:dyDescent="0.25">
      <c r="A609">
        <v>2022</v>
      </c>
      <c r="B609" t="s">
        <v>10</v>
      </c>
      <c r="C609" t="s">
        <v>6</v>
      </c>
      <c r="E609">
        <v>1457000</v>
      </c>
      <c r="F609" t="s">
        <v>78</v>
      </c>
      <c r="G609" t="str" cm="1">
        <f t="array" ref="G609">_xlfn.LET(
    _xlpm.r, TRIM(B609),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09" t="str" cm="1">
        <f t="array" ref="H609">_xlfn.LET(
     _xlpm.r, TRIM(C609),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10" spans="1:8" x14ac:dyDescent="0.25">
      <c r="A610">
        <v>2022</v>
      </c>
      <c r="B610" t="s">
        <v>10</v>
      </c>
      <c r="C610" t="s">
        <v>6</v>
      </c>
      <c r="E610">
        <v>750000</v>
      </c>
      <c r="F610" t="s">
        <v>78</v>
      </c>
      <c r="G610" t="str" cm="1">
        <f t="array" ref="G610">_xlfn.LET(
    _xlpm.r, TRIM(B610),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10" t="str" cm="1">
        <f t="array" ref="H610">_xlfn.LET(
     _xlpm.r, TRIM(C610),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11" spans="1:8" x14ac:dyDescent="0.25">
      <c r="A611">
        <v>2022</v>
      </c>
      <c r="B611" t="s">
        <v>10</v>
      </c>
      <c r="C611" t="s">
        <v>6</v>
      </c>
      <c r="E611">
        <v>689000</v>
      </c>
      <c r="F611" t="s">
        <v>78</v>
      </c>
      <c r="G611" t="str" cm="1">
        <f t="array" ref="G611">_xlfn.LET(
    _xlpm.r, TRIM(B611),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11" t="str" cm="1">
        <f t="array" ref="H611">_xlfn.LET(
     _xlpm.r, TRIM(C611),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12" spans="1:8" x14ac:dyDescent="0.25">
      <c r="A612">
        <v>2022</v>
      </c>
      <c r="B612" t="s">
        <v>10</v>
      </c>
      <c r="C612" t="s">
        <v>6</v>
      </c>
      <c r="E612">
        <v>1489000</v>
      </c>
      <c r="F612" t="s">
        <v>78</v>
      </c>
      <c r="G612" t="str" cm="1">
        <f t="array" ref="G612">_xlfn.LET(
    _xlpm.r, TRIM(B612),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12" t="str" cm="1">
        <f t="array" ref="H612">_xlfn.LET(
     _xlpm.r, TRIM(C612),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13" spans="1:8" x14ac:dyDescent="0.25">
      <c r="A613">
        <v>2022</v>
      </c>
      <c r="B613" t="s">
        <v>10</v>
      </c>
      <c r="C613" t="s">
        <v>6</v>
      </c>
      <c r="E613">
        <v>1185000</v>
      </c>
      <c r="F613" t="s">
        <v>78</v>
      </c>
      <c r="G613" t="str" cm="1">
        <f t="array" ref="G613">_xlfn.LET(
    _xlpm.r, TRIM(B613),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13" t="str" cm="1">
        <f t="array" ref="H613">_xlfn.LET(
     _xlpm.r, TRIM(C613),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14" spans="1:8" x14ac:dyDescent="0.25">
      <c r="A614">
        <v>2022</v>
      </c>
      <c r="B614" t="s">
        <v>10</v>
      </c>
      <c r="C614" t="s">
        <v>6</v>
      </c>
      <c r="E614">
        <v>3610000</v>
      </c>
      <c r="F614" t="s">
        <v>78</v>
      </c>
      <c r="G614" t="str" cm="1">
        <f t="array" ref="G614">_xlfn.LET(
    _xlpm.r, TRIM(B614),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14" t="str" cm="1">
        <f t="array" ref="H614">_xlfn.LET(
     _xlpm.r, TRIM(C614),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15" spans="1:8" x14ac:dyDescent="0.25">
      <c r="A615">
        <v>2022</v>
      </c>
      <c r="B615" t="s">
        <v>10</v>
      </c>
      <c r="C615" t="s">
        <v>6</v>
      </c>
      <c r="E615">
        <v>700000</v>
      </c>
      <c r="F615" t="s">
        <v>78</v>
      </c>
      <c r="G615" t="str" cm="1">
        <f t="array" ref="G615">_xlfn.LET(
    _xlpm.r, TRIM(B615),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15" t="str" cm="1">
        <f t="array" ref="H615">_xlfn.LET(
     _xlpm.r, TRIM(C615),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16" spans="1:8" x14ac:dyDescent="0.25">
      <c r="A616">
        <v>2022</v>
      </c>
      <c r="B616" t="s">
        <v>10</v>
      </c>
      <c r="C616" t="s">
        <v>6</v>
      </c>
      <c r="E616">
        <v>405000</v>
      </c>
      <c r="F616" t="s">
        <v>78</v>
      </c>
      <c r="G616" t="str" cm="1">
        <f t="array" ref="G616">_xlfn.LET(
    _xlpm.r, TRIM(B616),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16" t="str" cm="1">
        <f t="array" ref="H616">_xlfn.LET(
     _xlpm.r, TRIM(C616),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17" spans="1:8" x14ac:dyDescent="0.25">
      <c r="A617">
        <v>2022</v>
      </c>
      <c r="B617" t="s">
        <v>10</v>
      </c>
      <c r="C617" t="s">
        <v>6</v>
      </c>
      <c r="E617">
        <v>610000</v>
      </c>
      <c r="F617" t="s">
        <v>78</v>
      </c>
      <c r="G617" t="str" cm="1">
        <f t="array" ref="G617">_xlfn.LET(
    _xlpm.r, TRIM(B617),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17" t="str" cm="1">
        <f t="array" ref="H617">_xlfn.LET(
     _xlpm.r, TRIM(C617),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18" spans="1:8" x14ac:dyDescent="0.25">
      <c r="A618">
        <v>2022</v>
      </c>
      <c r="B618" t="s">
        <v>10</v>
      </c>
      <c r="C618" t="s">
        <v>6</v>
      </c>
      <c r="E618">
        <v>706000</v>
      </c>
      <c r="F618" t="s">
        <v>78</v>
      </c>
      <c r="G618" t="str" cm="1">
        <f t="array" ref="G618">_xlfn.LET(
    _xlpm.r, TRIM(B618),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18" t="str" cm="1">
        <f t="array" ref="H618">_xlfn.LET(
     _xlpm.r, TRIM(C618),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19" spans="1:8" x14ac:dyDescent="0.25">
      <c r="A619">
        <v>2022</v>
      </c>
      <c r="B619" t="s">
        <v>10</v>
      </c>
      <c r="C619" t="s">
        <v>6</v>
      </c>
      <c r="E619">
        <v>752000</v>
      </c>
      <c r="F619" t="s">
        <v>78</v>
      </c>
      <c r="G619" t="str" cm="1">
        <f t="array" ref="G619">_xlfn.LET(
    _xlpm.r, TRIM(B619),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19" t="str" cm="1">
        <f t="array" ref="H619">_xlfn.LET(
     _xlpm.r, TRIM(C619),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20" spans="1:8" x14ac:dyDescent="0.25">
      <c r="A620">
        <v>2022</v>
      </c>
      <c r="B620" t="s">
        <v>10</v>
      </c>
      <c r="C620" t="s">
        <v>6</v>
      </c>
      <c r="E620">
        <v>1043000</v>
      </c>
      <c r="F620" t="s">
        <v>78</v>
      </c>
      <c r="G620" t="str" cm="1">
        <f t="array" ref="G620">_xlfn.LET(
    _xlpm.r, TRIM(B620),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20" t="str" cm="1">
        <f t="array" ref="H620">_xlfn.LET(
     _xlpm.r, TRIM(C620),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21" spans="1:8" x14ac:dyDescent="0.25">
      <c r="A621">
        <v>2022</v>
      </c>
      <c r="B621" t="s">
        <v>10</v>
      </c>
      <c r="C621" t="s">
        <v>6</v>
      </c>
      <c r="E621">
        <v>823000</v>
      </c>
      <c r="F621" t="s">
        <v>78</v>
      </c>
      <c r="G621" t="str" cm="1">
        <f t="array" ref="G621">_xlfn.LET(
    _xlpm.r, TRIM(B621),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21" t="str" cm="1">
        <f t="array" ref="H621">_xlfn.LET(
     _xlpm.r, TRIM(C621),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22" spans="1:8" x14ac:dyDescent="0.25">
      <c r="A622">
        <v>2022</v>
      </c>
      <c r="B622" t="s">
        <v>10</v>
      </c>
      <c r="C622" t="s">
        <v>6</v>
      </c>
      <c r="E622">
        <v>612000</v>
      </c>
      <c r="F622" t="s">
        <v>78</v>
      </c>
      <c r="G622" t="str" cm="1">
        <f t="array" ref="G622">_xlfn.LET(
    _xlpm.r, TRIM(B622),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22" t="str" cm="1">
        <f t="array" ref="H622">_xlfn.LET(
     _xlpm.r, TRIM(C622),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23" spans="1:8" x14ac:dyDescent="0.25">
      <c r="A623">
        <v>2022</v>
      </c>
      <c r="B623" t="s">
        <v>10</v>
      </c>
      <c r="C623" t="s">
        <v>6</v>
      </c>
      <c r="E623">
        <v>772000</v>
      </c>
      <c r="F623" t="s">
        <v>78</v>
      </c>
      <c r="G623" t="str" cm="1">
        <f t="array" ref="G623">_xlfn.LET(
    _xlpm.r, TRIM(B623),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23" t="str" cm="1">
        <f t="array" ref="H623">_xlfn.LET(
     _xlpm.r, TRIM(C623),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24" spans="1:8" x14ac:dyDescent="0.25">
      <c r="A624">
        <v>2022</v>
      </c>
      <c r="B624" t="s">
        <v>10</v>
      </c>
      <c r="C624" t="s">
        <v>6</v>
      </c>
      <c r="E624">
        <v>1235000</v>
      </c>
      <c r="F624" t="s">
        <v>78</v>
      </c>
      <c r="G624" t="str" cm="1">
        <f t="array" ref="G624">_xlfn.LET(
    _xlpm.r, TRIM(B624),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24" t="str" cm="1">
        <f t="array" ref="H624">_xlfn.LET(
     _xlpm.r, TRIM(C624),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25" spans="1:8" x14ac:dyDescent="0.25">
      <c r="A625">
        <v>2022</v>
      </c>
      <c r="B625" t="s">
        <v>10</v>
      </c>
      <c r="C625" t="s">
        <v>6</v>
      </c>
      <c r="E625">
        <v>1191500</v>
      </c>
      <c r="F625" t="s">
        <v>78</v>
      </c>
      <c r="G625" t="str" cm="1">
        <f t="array" ref="G625">_xlfn.LET(
    _xlpm.r, TRIM(B625),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25" t="str" cm="1">
        <f t="array" ref="H625">_xlfn.LET(
     _xlpm.r, TRIM(C625),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26" spans="1:8" x14ac:dyDescent="0.25">
      <c r="A626">
        <v>2022</v>
      </c>
      <c r="B626" t="s">
        <v>10</v>
      </c>
      <c r="C626" t="s">
        <v>6</v>
      </c>
      <c r="E626">
        <v>997000</v>
      </c>
      <c r="F626" t="s">
        <v>78</v>
      </c>
      <c r="G626" t="str" cm="1">
        <f t="array" ref="G626">_xlfn.LET(
    _xlpm.r, TRIM(B626),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26" t="str" cm="1">
        <f t="array" ref="H626">_xlfn.LET(
     _xlpm.r, TRIM(C626),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27" spans="1:8" x14ac:dyDescent="0.25">
      <c r="A627">
        <v>2022</v>
      </c>
      <c r="B627" t="s">
        <v>10</v>
      </c>
      <c r="C627" t="s">
        <v>6</v>
      </c>
      <c r="E627">
        <v>5181000</v>
      </c>
      <c r="F627" t="s">
        <v>78</v>
      </c>
      <c r="G627" t="str" cm="1">
        <f t="array" ref="G627">_xlfn.LET(
    _xlpm.r, TRIM(B627),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27" t="str" cm="1">
        <f t="array" ref="H627">_xlfn.LET(
     _xlpm.r, TRIM(C627),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28" spans="1:8" x14ac:dyDescent="0.25">
      <c r="A628">
        <v>2022</v>
      </c>
      <c r="B628" t="s">
        <v>10</v>
      </c>
      <c r="C628" t="s">
        <v>6</v>
      </c>
      <c r="E628">
        <v>4592000</v>
      </c>
      <c r="F628" t="s">
        <v>78</v>
      </c>
      <c r="G628" t="str" cm="1">
        <f t="array" ref="G628">_xlfn.LET(
    _xlpm.r, TRIM(B628),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28" t="str" cm="1">
        <f t="array" ref="H628">_xlfn.LET(
     _xlpm.r, TRIM(C628),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29" spans="1:8" x14ac:dyDescent="0.25">
      <c r="A629">
        <v>2022</v>
      </c>
      <c r="B629" t="s">
        <v>10</v>
      </c>
      <c r="C629" t="s">
        <v>6</v>
      </c>
      <c r="E629">
        <v>865000</v>
      </c>
      <c r="F629" t="s">
        <v>78</v>
      </c>
      <c r="G629" t="str" cm="1">
        <f t="array" ref="G629">_xlfn.LET(
    _xlpm.r, TRIM(B629),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29" t="str" cm="1">
        <f t="array" ref="H629">_xlfn.LET(
     _xlpm.r, TRIM(C629),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30" spans="1:8" x14ac:dyDescent="0.25">
      <c r="A630">
        <v>2022</v>
      </c>
      <c r="B630" t="s">
        <v>10</v>
      </c>
      <c r="C630" t="s">
        <v>6</v>
      </c>
      <c r="E630">
        <v>557000</v>
      </c>
      <c r="F630" t="s">
        <v>78</v>
      </c>
      <c r="G630" t="str" cm="1">
        <f t="array" ref="G630">_xlfn.LET(
    _xlpm.r, TRIM(B630),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30" t="str" cm="1">
        <f t="array" ref="H630">_xlfn.LET(
     _xlpm.r, TRIM(C630),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31" spans="1:8" x14ac:dyDescent="0.25">
      <c r="A631">
        <v>2022</v>
      </c>
      <c r="B631" t="s">
        <v>10</v>
      </c>
      <c r="C631" t="s">
        <v>6</v>
      </c>
      <c r="E631">
        <v>931000</v>
      </c>
      <c r="F631" t="s">
        <v>78</v>
      </c>
      <c r="G631" t="str" cm="1">
        <f t="array" ref="G631">_xlfn.LET(
    _xlpm.r, TRIM(B631),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31" t="str" cm="1">
        <f t="array" ref="H631">_xlfn.LET(
     _xlpm.r, TRIM(C631),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32" spans="1:8" x14ac:dyDescent="0.25">
      <c r="A632">
        <v>2022</v>
      </c>
      <c r="B632" t="s">
        <v>10</v>
      </c>
      <c r="C632" t="s">
        <v>6</v>
      </c>
      <c r="E632">
        <v>728000</v>
      </c>
      <c r="F632" t="s">
        <v>78</v>
      </c>
      <c r="G632" t="str" cm="1">
        <f t="array" ref="G632">_xlfn.LET(
    _xlpm.r, TRIM(B632),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32" t="str" cm="1">
        <f t="array" ref="H632">_xlfn.LET(
     _xlpm.r, TRIM(C632),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33" spans="1:8" x14ac:dyDescent="0.25">
      <c r="A633">
        <v>2022</v>
      </c>
      <c r="B633" t="s">
        <v>10</v>
      </c>
      <c r="C633" t="s">
        <v>6</v>
      </c>
      <c r="E633">
        <v>847000</v>
      </c>
      <c r="F633" t="s">
        <v>78</v>
      </c>
      <c r="G633" t="str" cm="1">
        <f t="array" ref="G633">_xlfn.LET(
    _xlpm.r, TRIM(B633),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33" t="str" cm="1">
        <f t="array" ref="H633">_xlfn.LET(
     _xlpm.r, TRIM(C633),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34" spans="1:8" x14ac:dyDescent="0.25">
      <c r="A634">
        <v>2022</v>
      </c>
      <c r="B634" t="s">
        <v>10</v>
      </c>
      <c r="C634" t="s">
        <v>6</v>
      </c>
      <c r="E634">
        <v>658000</v>
      </c>
      <c r="F634" t="s">
        <v>78</v>
      </c>
      <c r="G634" t="str" cm="1">
        <f t="array" ref="G634">_xlfn.LET(
    _xlpm.r, TRIM(B634),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34" t="str" cm="1">
        <f t="array" ref="H634">_xlfn.LET(
     _xlpm.r, TRIM(C634),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35" spans="1:8" x14ac:dyDescent="0.25">
      <c r="A635">
        <v>2022</v>
      </c>
      <c r="B635" t="s">
        <v>10</v>
      </c>
      <c r="C635" t="s">
        <v>6</v>
      </c>
      <c r="E635">
        <v>958000</v>
      </c>
      <c r="F635" t="s">
        <v>78</v>
      </c>
      <c r="G635" t="str" cm="1">
        <f t="array" ref="G635">_xlfn.LET(
    _xlpm.r, TRIM(B635),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35" t="str" cm="1">
        <f t="array" ref="H635">_xlfn.LET(
     _xlpm.r, TRIM(C635),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36" spans="1:8" x14ac:dyDescent="0.25">
      <c r="A636">
        <v>2022</v>
      </c>
      <c r="B636" t="s">
        <v>10</v>
      </c>
      <c r="C636" t="s">
        <v>6</v>
      </c>
      <c r="E636">
        <v>844000</v>
      </c>
      <c r="F636" t="s">
        <v>78</v>
      </c>
      <c r="G636" t="str" cm="1">
        <f t="array" ref="G636">_xlfn.LET(
    _xlpm.r, TRIM(B636),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36" t="str" cm="1">
        <f t="array" ref="H636">_xlfn.LET(
     _xlpm.r, TRIM(C636),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37" spans="1:8" x14ac:dyDescent="0.25">
      <c r="A637">
        <v>2022</v>
      </c>
      <c r="B637" t="s">
        <v>10</v>
      </c>
      <c r="C637" t="s">
        <v>6</v>
      </c>
      <c r="E637">
        <v>836000</v>
      </c>
      <c r="F637" t="s">
        <v>78</v>
      </c>
      <c r="G637" t="str" cm="1">
        <f t="array" ref="G637">_xlfn.LET(
    _xlpm.r, TRIM(B637),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37" t="str" cm="1">
        <f t="array" ref="H637">_xlfn.LET(
     _xlpm.r, TRIM(C637),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38" spans="1:8" x14ac:dyDescent="0.25">
      <c r="A638">
        <v>2022</v>
      </c>
      <c r="B638" t="s">
        <v>10</v>
      </c>
      <c r="C638" t="s">
        <v>6</v>
      </c>
      <c r="E638">
        <v>842500</v>
      </c>
      <c r="F638" t="s">
        <v>78</v>
      </c>
      <c r="G638" t="str" cm="1">
        <f t="array" ref="G638">_xlfn.LET(
    _xlpm.r, TRIM(B638),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38" t="str" cm="1">
        <f t="array" ref="H638">_xlfn.LET(
     _xlpm.r, TRIM(C638),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39" spans="1:8" x14ac:dyDescent="0.25">
      <c r="A639">
        <v>2022</v>
      </c>
      <c r="B639" t="s">
        <v>10</v>
      </c>
      <c r="C639" t="s">
        <v>6</v>
      </c>
      <c r="E639">
        <v>1268000</v>
      </c>
      <c r="F639" t="s">
        <v>78</v>
      </c>
      <c r="G639" t="str" cm="1">
        <f t="array" ref="G639">_xlfn.LET(
    _xlpm.r, TRIM(B639),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39" t="str" cm="1">
        <f t="array" ref="H639">_xlfn.LET(
     _xlpm.r, TRIM(C639),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40" spans="1:8" x14ac:dyDescent="0.25">
      <c r="A640">
        <v>2022</v>
      </c>
      <c r="B640" t="s">
        <v>10</v>
      </c>
      <c r="C640" t="s">
        <v>6</v>
      </c>
      <c r="E640">
        <v>560000</v>
      </c>
      <c r="F640" t="s">
        <v>78</v>
      </c>
      <c r="G640" t="str" cm="1">
        <f t="array" ref="G640">_xlfn.LET(
    _xlpm.r, TRIM(B640),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40" t="str" cm="1">
        <f t="array" ref="H640">_xlfn.LET(
     _xlpm.r, TRIM(C640),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41" spans="1:8" x14ac:dyDescent="0.25">
      <c r="A641">
        <v>2022</v>
      </c>
      <c r="B641" t="s">
        <v>10</v>
      </c>
      <c r="C641" t="s">
        <v>6</v>
      </c>
      <c r="E641">
        <v>534000</v>
      </c>
      <c r="F641" t="s">
        <v>78</v>
      </c>
      <c r="G641" t="str" cm="1">
        <f t="array" ref="G641">_xlfn.LET(
    _xlpm.r, TRIM(B641),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41" t="str" cm="1">
        <f t="array" ref="H641">_xlfn.LET(
     _xlpm.r, TRIM(C641),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42" spans="1:8" x14ac:dyDescent="0.25">
      <c r="A642">
        <v>2022</v>
      </c>
      <c r="B642" t="s">
        <v>10</v>
      </c>
      <c r="C642" t="s">
        <v>6</v>
      </c>
      <c r="E642">
        <v>704000</v>
      </c>
      <c r="F642" t="s">
        <v>78</v>
      </c>
      <c r="G642" t="str" cm="1">
        <f t="array" ref="G642">_xlfn.LET(
    _xlpm.r, TRIM(B642),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42" t="str" cm="1">
        <f t="array" ref="H642">_xlfn.LET(
     _xlpm.r, TRIM(C642),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43" spans="1:8" x14ac:dyDescent="0.25">
      <c r="A643">
        <v>2022</v>
      </c>
      <c r="B643" t="s">
        <v>10</v>
      </c>
      <c r="C643" t="s">
        <v>6</v>
      </c>
      <c r="E643">
        <v>571000</v>
      </c>
      <c r="F643" t="s">
        <v>78</v>
      </c>
      <c r="G643" t="str" cm="1">
        <f t="array" ref="G643">_xlfn.LET(
    _xlpm.r, TRIM(B643),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43" t="str" cm="1">
        <f t="array" ref="H643">_xlfn.LET(
     _xlpm.r, TRIM(C643),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44" spans="1:8" x14ac:dyDescent="0.25">
      <c r="A644">
        <v>2022</v>
      </c>
      <c r="B644" t="s">
        <v>10</v>
      </c>
      <c r="C644" t="s">
        <v>6</v>
      </c>
      <c r="E644">
        <v>562000</v>
      </c>
      <c r="F644" t="s">
        <v>78</v>
      </c>
      <c r="G644" t="str" cm="1">
        <f t="array" ref="G644">_xlfn.LET(
    _xlpm.r, TRIM(B644),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44" t="str" cm="1">
        <f t="array" ref="H644">_xlfn.LET(
     _xlpm.r, TRIM(C644),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45" spans="1:8" x14ac:dyDescent="0.25">
      <c r="A645">
        <v>2022</v>
      </c>
      <c r="B645" t="s">
        <v>10</v>
      </c>
      <c r="C645" t="s">
        <v>6</v>
      </c>
      <c r="E645">
        <v>488000</v>
      </c>
      <c r="F645" t="s">
        <v>78</v>
      </c>
      <c r="G645" t="str" cm="1">
        <f t="array" ref="G645">_xlfn.LET(
    _xlpm.r, TRIM(B645),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45" t="str" cm="1">
        <f t="array" ref="H645">_xlfn.LET(
     _xlpm.r, TRIM(C645),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46" spans="1:8" x14ac:dyDescent="0.25">
      <c r="A646">
        <v>2022</v>
      </c>
      <c r="B646" t="s">
        <v>10</v>
      </c>
      <c r="C646" t="s">
        <v>6</v>
      </c>
      <c r="E646">
        <v>616000</v>
      </c>
      <c r="F646" t="s">
        <v>78</v>
      </c>
      <c r="G646" t="str" cm="1">
        <f t="array" ref="G646">_xlfn.LET(
    _xlpm.r, TRIM(B646),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46" t="str" cm="1">
        <f t="array" ref="H646">_xlfn.LET(
     _xlpm.r, TRIM(C646),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47" spans="1:8" x14ac:dyDescent="0.25">
      <c r="A647">
        <v>2022</v>
      </c>
      <c r="B647" t="s">
        <v>10</v>
      </c>
      <c r="C647" t="s">
        <v>6</v>
      </c>
      <c r="E647">
        <v>947000</v>
      </c>
      <c r="F647" t="s">
        <v>78</v>
      </c>
      <c r="G647" t="str" cm="1">
        <f t="array" ref="G647">_xlfn.LET(
    _xlpm.r, TRIM(B647),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47" t="str" cm="1">
        <f t="array" ref="H647">_xlfn.LET(
     _xlpm.r, TRIM(C647),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48" spans="1:8" x14ac:dyDescent="0.25">
      <c r="A648">
        <v>2022</v>
      </c>
      <c r="B648" t="s">
        <v>10</v>
      </c>
      <c r="C648" t="s">
        <v>6</v>
      </c>
      <c r="E648">
        <v>458500</v>
      </c>
      <c r="F648" t="s">
        <v>78</v>
      </c>
      <c r="G648" t="str" cm="1">
        <f t="array" ref="G648">_xlfn.LET(
    _xlpm.r, TRIM(B648),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48" t="str" cm="1">
        <f t="array" ref="H648">_xlfn.LET(
     _xlpm.r, TRIM(C648),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49" spans="1:8" x14ac:dyDescent="0.25">
      <c r="A649">
        <v>2022</v>
      </c>
      <c r="B649" t="s">
        <v>10</v>
      </c>
      <c r="C649" t="s">
        <v>6</v>
      </c>
      <c r="E649">
        <v>969000</v>
      </c>
      <c r="F649" t="s">
        <v>78</v>
      </c>
      <c r="G649" t="str" cm="1">
        <f t="array" ref="G649">_xlfn.LET(
    _xlpm.r, TRIM(B649),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49" t="str" cm="1">
        <f t="array" ref="H649">_xlfn.LET(
     _xlpm.r, TRIM(C649),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50" spans="1:8" x14ac:dyDescent="0.25">
      <c r="A650">
        <v>2022</v>
      </c>
      <c r="B650" t="s">
        <v>10</v>
      </c>
      <c r="C650" t="s">
        <v>6</v>
      </c>
      <c r="E650">
        <v>1254000</v>
      </c>
      <c r="F650" t="s">
        <v>78</v>
      </c>
      <c r="G650" t="str" cm="1">
        <f t="array" ref="G650">_xlfn.LET(
    _xlpm.r, TRIM(B650),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50" t="str" cm="1">
        <f t="array" ref="H650">_xlfn.LET(
     _xlpm.r, TRIM(C650),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51" spans="1:8" x14ac:dyDescent="0.25">
      <c r="A651">
        <v>2022</v>
      </c>
      <c r="B651" t="s">
        <v>10</v>
      </c>
      <c r="C651" t="s">
        <v>6</v>
      </c>
      <c r="E651">
        <v>1147000</v>
      </c>
      <c r="F651" t="s">
        <v>78</v>
      </c>
      <c r="G651" t="str" cm="1">
        <f t="array" ref="G651">_xlfn.LET(
    _xlpm.r, TRIM(B651),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51" t="str" cm="1">
        <f t="array" ref="H651">_xlfn.LET(
     _xlpm.r, TRIM(C651),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52" spans="1:8" x14ac:dyDescent="0.25">
      <c r="A652">
        <v>2022</v>
      </c>
      <c r="B652" t="s">
        <v>10</v>
      </c>
      <c r="C652" t="s">
        <v>6</v>
      </c>
      <c r="E652">
        <v>1034000</v>
      </c>
      <c r="F652" t="s">
        <v>78</v>
      </c>
      <c r="G652" t="str" cm="1">
        <f t="array" ref="G652">_xlfn.LET(
    _xlpm.r, TRIM(B652),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52" t="str" cm="1">
        <f t="array" ref="H652">_xlfn.LET(
     _xlpm.r, TRIM(C652),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53" spans="1:8" x14ac:dyDescent="0.25">
      <c r="A653">
        <v>2022</v>
      </c>
      <c r="B653" t="s">
        <v>10</v>
      </c>
      <c r="C653" t="s">
        <v>6</v>
      </c>
      <c r="E653">
        <v>2675000</v>
      </c>
      <c r="F653" t="s">
        <v>78</v>
      </c>
      <c r="G653" t="str" cm="1">
        <f t="array" ref="G653">_xlfn.LET(
    _xlpm.r, TRIM(B653),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53" t="str" cm="1">
        <f t="array" ref="H653">_xlfn.LET(
     _xlpm.r, TRIM(C653),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54" spans="1:8" x14ac:dyDescent="0.25">
      <c r="A654">
        <v>2022</v>
      </c>
      <c r="B654" t="s">
        <v>10</v>
      </c>
      <c r="C654" t="s">
        <v>6</v>
      </c>
      <c r="E654">
        <v>2860000</v>
      </c>
      <c r="F654" t="s">
        <v>78</v>
      </c>
      <c r="G654" t="str" cm="1">
        <f t="array" ref="G654">_xlfn.LET(
    _xlpm.r, TRIM(B654),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54" t="str" cm="1">
        <f t="array" ref="H654">_xlfn.LET(
     _xlpm.r, TRIM(C654),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55" spans="1:8" x14ac:dyDescent="0.25">
      <c r="A655">
        <v>2022</v>
      </c>
      <c r="B655" t="s">
        <v>10</v>
      </c>
      <c r="C655" t="s">
        <v>8</v>
      </c>
      <c r="E655">
        <v>146812000</v>
      </c>
      <c r="F655" t="s">
        <v>78</v>
      </c>
      <c r="G655" t="str" cm="1">
        <f t="array" ref="G655">_xlfn.LET(
    _xlpm.r, TRIM(B655),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55" t="str" cm="1">
        <f t="array" ref="H655">_xlfn.LET(
     _xlpm.r, TRIM(C655),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656" spans="1:8" x14ac:dyDescent="0.25">
      <c r="A656">
        <v>2022</v>
      </c>
      <c r="B656" t="s">
        <v>10</v>
      </c>
      <c r="C656" t="s">
        <v>8</v>
      </c>
      <c r="E656">
        <v>1950000</v>
      </c>
      <c r="F656" t="s">
        <v>78</v>
      </c>
      <c r="G656" t="str" cm="1">
        <f t="array" ref="G656">_xlfn.LET(
    _xlpm.r, TRIM(B656),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56" t="str" cm="1">
        <f t="array" ref="H656">_xlfn.LET(
     _xlpm.r, TRIM(C656),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657" spans="1:8" x14ac:dyDescent="0.25">
      <c r="A657">
        <v>2022</v>
      </c>
      <c r="B657" t="s">
        <v>10</v>
      </c>
      <c r="C657" t="s">
        <v>8</v>
      </c>
      <c r="E657">
        <v>500000</v>
      </c>
      <c r="F657" t="s">
        <v>78</v>
      </c>
      <c r="G657" t="str" cm="1">
        <f t="array" ref="G657">_xlfn.LET(
    _xlpm.r, TRIM(B657),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657" t="str" cm="1">
        <f t="array" ref="H657">_xlfn.LET(
     _xlpm.r, TRIM(C657),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658" spans="1:8" x14ac:dyDescent="0.25">
      <c r="A658">
        <v>2022</v>
      </c>
      <c r="B658" t="s">
        <v>11</v>
      </c>
      <c r="C658" t="s">
        <v>5</v>
      </c>
      <c r="E658">
        <v>2628406348</v>
      </c>
      <c r="F658" t="s">
        <v>79</v>
      </c>
      <c r="G658" t="str" cm="1">
        <f t="array" ref="G658">_xlfn.LET(
    _xlpm.r, TRIM(B658),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58" t="str" cm="1">
        <f t="array" ref="H658">_xlfn.LET(
     _xlpm.r, TRIM(C658),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59" spans="1:8" x14ac:dyDescent="0.25">
      <c r="A659">
        <v>2022</v>
      </c>
      <c r="B659" t="s">
        <v>11</v>
      </c>
      <c r="C659" t="s">
        <v>5</v>
      </c>
      <c r="E659">
        <v>37137096</v>
      </c>
      <c r="F659" t="s">
        <v>79</v>
      </c>
      <c r="G659" t="str" cm="1">
        <f t="array" ref="G659">_xlfn.LET(
    _xlpm.r, TRIM(B659),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59" t="str" cm="1">
        <f t="array" ref="H659">_xlfn.LET(
     _xlpm.r, TRIM(C659),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60" spans="1:8" x14ac:dyDescent="0.25">
      <c r="A660">
        <v>2022</v>
      </c>
      <c r="B660" t="s">
        <v>11</v>
      </c>
      <c r="C660" t="s">
        <v>5</v>
      </c>
      <c r="E660">
        <v>1217977152</v>
      </c>
      <c r="F660" t="s">
        <v>79</v>
      </c>
      <c r="G660" t="str" cm="1">
        <f t="array" ref="G660">_xlfn.LET(
    _xlpm.r, TRIM(B660),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60" t="str" cm="1">
        <f t="array" ref="H660">_xlfn.LET(
     _xlpm.r, TRIM(C660),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61" spans="1:8" x14ac:dyDescent="0.25">
      <c r="A661">
        <v>2022</v>
      </c>
      <c r="B661" t="s">
        <v>11</v>
      </c>
      <c r="C661" t="s">
        <v>5</v>
      </c>
      <c r="E661">
        <v>403692312</v>
      </c>
      <c r="F661" t="s">
        <v>79</v>
      </c>
      <c r="G661" t="str" cm="1">
        <f t="array" ref="G661">_xlfn.LET(
    _xlpm.r, TRIM(B661),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61" t="str" cm="1">
        <f t="array" ref="H661">_xlfn.LET(
     _xlpm.r, TRIM(C661),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62" spans="1:8" x14ac:dyDescent="0.25">
      <c r="A662">
        <v>2022</v>
      </c>
      <c r="B662" t="s">
        <v>11</v>
      </c>
      <c r="C662" t="s">
        <v>5</v>
      </c>
      <c r="E662">
        <v>757744728</v>
      </c>
      <c r="F662" t="s">
        <v>79</v>
      </c>
      <c r="G662" t="str" cm="1">
        <f t="array" ref="G662">_xlfn.LET(
    _xlpm.r, TRIM(B662),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62" t="str" cm="1">
        <f t="array" ref="H662">_xlfn.LET(
     _xlpm.r, TRIM(C662),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63" spans="1:8" x14ac:dyDescent="0.25">
      <c r="A663">
        <v>2022</v>
      </c>
      <c r="B663" t="s">
        <v>11</v>
      </c>
      <c r="C663" t="s">
        <v>5</v>
      </c>
      <c r="E663">
        <v>673138104</v>
      </c>
      <c r="F663" t="s">
        <v>79</v>
      </c>
      <c r="G663" t="str" cm="1">
        <f t="array" ref="G663">_xlfn.LET(
    _xlpm.r, TRIM(B663),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63" t="str" cm="1">
        <f t="array" ref="H663">_xlfn.LET(
     _xlpm.r, TRIM(C663),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64" spans="1:8" x14ac:dyDescent="0.25">
      <c r="A664">
        <v>2022</v>
      </c>
      <c r="B664" t="s">
        <v>11</v>
      </c>
      <c r="C664" t="s">
        <v>5</v>
      </c>
      <c r="E664">
        <v>342913860</v>
      </c>
      <c r="F664" t="s">
        <v>79</v>
      </c>
      <c r="G664" t="str" cm="1">
        <f t="array" ref="G664">_xlfn.LET(
    _xlpm.r, TRIM(B664),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64" t="str" cm="1">
        <f t="array" ref="H664">_xlfn.LET(
     _xlpm.r, TRIM(C664),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65" spans="1:8" x14ac:dyDescent="0.25">
      <c r="A665">
        <v>2022</v>
      </c>
      <c r="B665" t="s">
        <v>11</v>
      </c>
      <c r="C665" t="s">
        <v>5</v>
      </c>
      <c r="E665">
        <v>2282400</v>
      </c>
      <c r="F665" t="s">
        <v>79</v>
      </c>
      <c r="G665" t="str" cm="1">
        <f t="array" ref="G665">_xlfn.LET(
    _xlpm.r, TRIM(B665),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65" t="str" cm="1">
        <f t="array" ref="H665">_xlfn.LET(
     _xlpm.r, TRIM(C665),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66" spans="1:8" x14ac:dyDescent="0.25">
      <c r="A666">
        <v>2022</v>
      </c>
      <c r="B666" t="s">
        <v>11</v>
      </c>
      <c r="C666" t="s">
        <v>6</v>
      </c>
      <c r="E666">
        <v>605135800</v>
      </c>
      <c r="F666" t="s">
        <v>79</v>
      </c>
      <c r="G666" t="str" cm="1">
        <f t="array" ref="G666">_xlfn.LET(
    _xlpm.r, TRIM(B666),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66" t="str" cm="1">
        <f t="array" ref="H666">_xlfn.LET(
     _xlpm.r, TRIM(C666),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67" spans="1:8" x14ac:dyDescent="0.25">
      <c r="A667">
        <v>2022</v>
      </c>
      <c r="B667" t="s">
        <v>11</v>
      </c>
      <c r="C667" t="s">
        <v>6</v>
      </c>
      <c r="E667">
        <v>37757000</v>
      </c>
      <c r="F667" t="s">
        <v>79</v>
      </c>
      <c r="G667" t="str" cm="1">
        <f t="array" ref="G667">_xlfn.LET(
    _xlpm.r, TRIM(B667),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67" t="str" cm="1">
        <f t="array" ref="H667">_xlfn.LET(
     _xlpm.r, TRIM(C667),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68" spans="1:8" x14ac:dyDescent="0.25">
      <c r="A668">
        <v>2022</v>
      </c>
      <c r="B668" t="s">
        <v>11</v>
      </c>
      <c r="C668" t="s">
        <v>6</v>
      </c>
      <c r="E668">
        <v>356400</v>
      </c>
      <c r="F668" t="s">
        <v>79</v>
      </c>
      <c r="G668" t="str" cm="1">
        <f t="array" ref="G668">_xlfn.LET(
    _xlpm.r, TRIM(B668),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68" t="str" cm="1">
        <f t="array" ref="H668">_xlfn.LET(
     _xlpm.r, TRIM(C668),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69" spans="1:8" x14ac:dyDescent="0.25">
      <c r="A669">
        <v>2022</v>
      </c>
      <c r="B669" t="s">
        <v>11</v>
      </c>
      <c r="C669" t="s">
        <v>6</v>
      </c>
      <c r="E669">
        <v>800000</v>
      </c>
      <c r="F669" t="s">
        <v>79</v>
      </c>
      <c r="G669" t="str" cm="1">
        <f t="array" ref="G669">_xlfn.LET(
    _xlpm.r, TRIM(B669),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69" t="str" cm="1">
        <f t="array" ref="H669">_xlfn.LET(
     _xlpm.r, TRIM(C669),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70" spans="1:8" x14ac:dyDescent="0.25">
      <c r="A670">
        <v>2022</v>
      </c>
      <c r="B670" t="s">
        <v>11</v>
      </c>
      <c r="C670" t="s">
        <v>6</v>
      </c>
      <c r="E670">
        <v>888900</v>
      </c>
      <c r="F670" t="s">
        <v>79</v>
      </c>
      <c r="G670" t="str" cm="1">
        <f t="array" ref="G670">_xlfn.LET(
    _xlpm.r, TRIM(B670),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70" t="str" cm="1">
        <f t="array" ref="H670">_xlfn.LET(
     _xlpm.r, TRIM(C670),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71" spans="1:8" x14ac:dyDescent="0.25">
      <c r="A671">
        <v>2022</v>
      </c>
      <c r="B671" t="s">
        <v>11</v>
      </c>
      <c r="C671" t="s">
        <v>6</v>
      </c>
      <c r="E671">
        <v>2115000</v>
      </c>
      <c r="F671" t="s">
        <v>79</v>
      </c>
      <c r="G671" t="str" cm="1">
        <f t="array" ref="G671">_xlfn.LET(
    _xlpm.r, TRIM(B671),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71" t="str" cm="1">
        <f t="array" ref="H671">_xlfn.LET(
     _xlpm.r, TRIM(C671),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72" spans="1:8" x14ac:dyDescent="0.25">
      <c r="A672">
        <v>2022</v>
      </c>
      <c r="B672" t="s">
        <v>11</v>
      </c>
      <c r="C672" t="s">
        <v>6</v>
      </c>
      <c r="E672">
        <v>2293900</v>
      </c>
      <c r="F672" t="s">
        <v>79</v>
      </c>
      <c r="G672" t="str" cm="1">
        <f t="array" ref="G672">_xlfn.LET(
    _xlpm.r, TRIM(B672),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72" t="str" cm="1">
        <f t="array" ref="H672">_xlfn.LET(
     _xlpm.r, TRIM(C672),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73" spans="1:8" x14ac:dyDescent="0.25">
      <c r="A673">
        <v>2022</v>
      </c>
      <c r="B673" t="s">
        <v>11</v>
      </c>
      <c r="C673" t="s">
        <v>8</v>
      </c>
      <c r="E673">
        <v>119904800</v>
      </c>
      <c r="F673" t="s">
        <v>79</v>
      </c>
      <c r="G673" t="str" cm="1">
        <f t="array" ref="G673">_xlfn.LET(
    _xlpm.r, TRIM(B673),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73" t="str" cm="1">
        <f t="array" ref="H673">_xlfn.LET(
     _xlpm.r, TRIM(C673),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674" spans="1:8" x14ac:dyDescent="0.25">
      <c r="A674">
        <v>2022</v>
      </c>
      <c r="B674" t="s">
        <v>11</v>
      </c>
      <c r="C674" t="s">
        <v>8</v>
      </c>
      <c r="E674">
        <v>1265500</v>
      </c>
      <c r="F674" t="s">
        <v>79</v>
      </c>
      <c r="G674" t="str" cm="1">
        <f t="array" ref="G674">_xlfn.LET(
    _xlpm.r, TRIM(B674),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74" t="str" cm="1">
        <f t="array" ref="H674">_xlfn.LET(
     _xlpm.r, TRIM(C674),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675" spans="1:8" x14ac:dyDescent="0.25">
      <c r="A675">
        <v>2022</v>
      </c>
      <c r="B675" t="s">
        <v>11</v>
      </c>
      <c r="C675" t="s">
        <v>8</v>
      </c>
      <c r="E675">
        <v>5503500</v>
      </c>
      <c r="F675" t="s">
        <v>79</v>
      </c>
      <c r="G675" t="str" cm="1">
        <f t="array" ref="G675">_xlfn.LET(
    _xlpm.r, TRIM(B675),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75" t="str" cm="1">
        <f t="array" ref="H675">_xlfn.LET(
     _xlpm.r, TRIM(C675),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676" spans="1:8" x14ac:dyDescent="0.25">
      <c r="A676">
        <v>2022</v>
      </c>
      <c r="B676" t="s">
        <v>11</v>
      </c>
      <c r="C676" t="s">
        <v>8</v>
      </c>
      <c r="E676">
        <v>4001000</v>
      </c>
      <c r="F676" t="s">
        <v>79</v>
      </c>
      <c r="G676" t="str" cm="1">
        <f t="array" ref="G676">_xlfn.LET(
    _xlpm.r, TRIM(B676),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76" t="str" cm="1">
        <f t="array" ref="H676">_xlfn.LET(
     _xlpm.r, TRIM(C676),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677" spans="1:8" x14ac:dyDescent="0.25">
      <c r="A677">
        <v>2022</v>
      </c>
      <c r="B677" t="s">
        <v>11</v>
      </c>
      <c r="C677" t="s">
        <v>8</v>
      </c>
      <c r="E677">
        <v>12002000</v>
      </c>
      <c r="F677" t="s">
        <v>79</v>
      </c>
      <c r="G677" t="str" cm="1">
        <f t="array" ref="G677">_xlfn.LET(
    _xlpm.r, TRIM(B677),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77" t="str" cm="1">
        <f t="array" ref="H677">_xlfn.LET(
     _xlpm.r, TRIM(C677),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678" spans="1:8" x14ac:dyDescent="0.25">
      <c r="A678">
        <v>2022</v>
      </c>
      <c r="B678" t="s">
        <v>11</v>
      </c>
      <c r="C678" t="s">
        <v>8</v>
      </c>
      <c r="E678">
        <v>24226000</v>
      </c>
      <c r="F678" t="s">
        <v>79</v>
      </c>
      <c r="G678" t="str" cm="1">
        <f t="array" ref="G678">_xlfn.LET(
    _xlpm.r, TRIM(B678),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78" t="str" cm="1">
        <f t="array" ref="H678">_xlfn.LET(
     _xlpm.r, TRIM(C678),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679" spans="1:8" x14ac:dyDescent="0.25">
      <c r="A679">
        <v>2022</v>
      </c>
      <c r="B679" t="s">
        <v>11</v>
      </c>
      <c r="C679" t="s">
        <v>8</v>
      </c>
      <c r="E679">
        <v>32501000</v>
      </c>
      <c r="F679" t="s">
        <v>79</v>
      </c>
      <c r="G679" t="str" cm="1">
        <f t="array" ref="G679">_xlfn.LET(
    _xlpm.r, TRIM(B679),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79" t="str" cm="1">
        <f t="array" ref="H679">_xlfn.LET(
     _xlpm.r, TRIM(C679),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680" spans="1:8" x14ac:dyDescent="0.25">
      <c r="A680">
        <v>2022</v>
      </c>
      <c r="B680" t="s">
        <v>11</v>
      </c>
      <c r="C680" t="s">
        <v>8</v>
      </c>
      <c r="E680">
        <v>30000</v>
      </c>
      <c r="F680" t="s">
        <v>79</v>
      </c>
      <c r="G680" t="str" cm="1">
        <f t="array" ref="G680">_xlfn.LET(
    _xlpm.r, TRIM(B680),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80" t="str" cm="1">
        <f t="array" ref="H680">_xlfn.LET(
     _xlpm.r, TRIM(C680),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681" spans="1:8" x14ac:dyDescent="0.25">
      <c r="A681">
        <v>2022</v>
      </c>
      <c r="B681" t="s">
        <v>11</v>
      </c>
      <c r="C681" t="s">
        <v>8</v>
      </c>
      <c r="E681">
        <v>43200</v>
      </c>
      <c r="F681" t="s">
        <v>79</v>
      </c>
      <c r="G681" t="str" cm="1">
        <f t="array" ref="G681">_xlfn.LET(
    _xlpm.r, TRIM(B681),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81" t="str" cm="1">
        <f t="array" ref="H681">_xlfn.LET(
     _xlpm.r, TRIM(C681),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682" spans="1:8" x14ac:dyDescent="0.25">
      <c r="A682">
        <v>2022</v>
      </c>
      <c r="B682" t="s">
        <v>11</v>
      </c>
      <c r="C682" t="s">
        <v>8</v>
      </c>
      <c r="E682">
        <v>22000</v>
      </c>
      <c r="F682" t="s">
        <v>79</v>
      </c>
      <c r="G682" t="str" cm="1">
        <f t="array" ref="G682">_xlfn.LET(
    _xlpm.r, TRIM(B682),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682" t="str" cm="1">
        <f t="array" ref="H682">_xlfn.LET(
     _xlpm.r, TRIM(C682),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683" spans="1:8" x14ac:dyDescent="0.25">
      <c r="A683">
        <v>2022</v>
      </c>
      <c r="B683" t="s">
        <v>12</v>
      </c>
      <c r="C683" t="s">
        <v>6</v>
      </c>
      <c r="E683">
        <v>6495704000</v>
      </c>
      <c r="F683" t="s">
        <v>80</v>
      </c>
      <c r="G683" t="str" cm="1">
        <f t="array" ref="G683">_xlfn.LET(
    _xlpm.r, TRIM(B683),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الدفاع</v>
      </c>
      <c r="H683" t="str" cm="1">
        <f t="array" ref="H683">_xlfn.LET(
     _xlpm.r, TRIM(C683),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84" spans="1:8" x14ac:dyDescent="0.25">
      <c r="A684">
        <v>2022</v>
      </c>
      <c r="B684" t="s">
        <v>13</v>
      </c>
      <c r="C684" t="s">
        <v>6</v>
      </c>
      <c r="E684">
        <v>1329816000</v>
      </c>
      <c r="F684" t="s">
        <v>81</v>
      </c>
      <c r="G684" t="str" cm="1">
        <f t="array" ref="G684">_xlfn.LET(
    _xlpm.r, TRIM(B684),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جهاز الأمن</v>
      </c>
      <c r="H684" t="str" cm="1">
        <f t="array" ref="H684">_xlfn.LET(
     _xlpm.r, TRIM(C684),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685" spans="1:8" x14ac:dyDescent="0.25">
      <c r="A685">
        <v>2022</v>
      </c>
      <c r="B685" t="s">
        <v>14</v>
      </c>
      <c r="C685" t="s">
        <v>5</v>
      </c>
      <c r="E685">
        <v>11396180</v>
      </c>
      <c r="F685" t="s">
        <v>82</v>
      </c>
      <c r="G685" t="str" cm="1">
        <f t="array" ref="G685">_xlfn.LET(
    _xlpm.r, TRIM(B685),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85" t="str" cm="1">
        <f t="array" ref="H685">_xlfn.LET(
     _xlpm.r, TRIM(C685),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86" spans="1:8" x14ac:dyDescent="0.25">
      <c r="A686">
        <v>2022</v>
      </c>
      <c r="B686" t="s">
        <v>14</v>
      </c>
      <c r="C686" t="s">
        <v>5</v>
      </c>
      <c r="E686">
        <v>44619072</v>
      </c>
      <c r="F686" t="s">
        <v>82</v>
      </c>
      <c r="G686" t="str" cm="1">
        <f t="array" ref="G686">_xlfn.LET(
    _xlpm.r, TRIM(B686),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86" t="str" cm="1">
        <f t="array" ref="H686">_xlfn.LET(
     _xlpm.r, TRIM(C686),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87" spans="1:8" x14ac:dyDescent="0.25">
      <c r="A687">
        <v>2022</v>
      </c>
      <c r="B687" t="s">
        <v>14</v>
      </c>
      <c r="C687" t="s">
        <v>5</v>
      </c>
      <c r="E687">
        <v>249618552</v>
      </c>
      <c r="F687" t="s">
        <v>82</v>
      </c>
      <c r="G687" t="str" cm="1">
        <f t="array" ref="G687">_xlfn.LET(
    _xlpm.r, TRIM(B687),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87" t="str" cm="1">
        <f t="array" ref="H687">_xlfn.LET(
     _xlpm.r, TRIM(C687),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88" spans="1:8" x14ac:dyDescent="0.25">
      <c r="A688">
        <v>2022</v>
      </c>
      <c r="B688" t="s">
        <v>14</v>
      </c>
      <c r="C688" t="s">
        <v>5</v>
      </c>
      <c r="E688">
        <v>41318100</v>
      </c>
      <c r="F688" t="s">
        <v>82</v>
      </c>
      <c r="G688" t="str" cm="1">
        <f t="array" ref="G688">_xlfn.LET(
    _xlpm.r, TRIM(B688),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88" t="str" cm="1">
        <f t="array" ref="H688">_xlfn.LET(
     _xlpm.r, TRIM(C688),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89" spans="1:8" x14ac:dyDescent="0.25">
      <c r="A689">
        <v>2022</v>
      </c>
      <c r="B689" t="s">
        <v>14</v>
      </c>
      <c r="C689" t="s">
        <v>5</v>
      </c>
      <c r="E689">
        <v>19957036</v>
      </c>
      <c r="F689" t="s">
        <v>82</v>
      </c>
      <c r="G689" t="str" cm="1">
        <f t="array" ref="G689">_xlfn.LET(
    _xlpm.r, TRIM(B689),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89" t="str" cm="1">
        <f t="array" ref="H689">_xlfn.LET(
     _xlpm.r, TRIM(C689),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90" spans="1:8" x14ac:dyDescent="0.25">
      <c r="A690">
        <v>2022</v>
      </c>
      <c r="B690" t="s">
        <v>14</v>
      </c>
      <c r="C690" t="s">
        <v>5</v>
      </c>
      <c r="E690">
        <v>19873144</v>
      </c>
      <c r="F690" t="s">
        <v>82</v>
      </c>
      <c r="G690" t="str" cm="1">
        <f t="array" ref="G690">_xlfn.LET(
    _xlpm.r, TRIM(B690),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90" t="str" cm="1">
        <f t="array" ref="H690">_xlfn.LET(
     _xlpm.r, TRIM(C690),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91" spans="1:8" x14ac:dyDescent="0.25">
      <c r="A691">
        <v>2022</v>
      </c>
      <c r="B691" t="s">
        <v>14</v>
      </c>
      <c r="C691" t="s">
        <v>5</v>
      </c>
      <c r="E691">
        <v>32453984</v>
      </c>
      <c r="F691" t="s">
        <v>82</v>
      </c>
      <c r="G691" t="str" cm="1">
        <f t="array" ref="G691">_xlfn.LET(
    _xlpm.r, TRIM(B691),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91" t="str" cm="1">
        <f t="array" ref="H691">_xlfn.LET(
     _xlpm.r, TRIM(C691),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92" spans="1:8" x14ac:dyDescent="0.25">
      <c r="A692">
        <v>2022</v>
      </c>
      <c r="B692" t="s">
        <v>14</v>
      </c>
      <c r="C692" t="s">
        <v>5</v>
      </c>
      <c r="E692">
        <v>9675096</v>
      </c>
      <c r="F692" t="s">
        <v>82</v>
      </c>
      <c r="G692" t="str" cm="1">
        <f t="array" ref="G692">_xlfn.LET(
    _xlpm.r, TRIM(B692),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92" t="str" cm="1">
        <f t="array" ref="H692">_xlfn.LET(
     _xlpm.r, TRIM(C692),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93" spans="1:8" x14ac:dyDescent="0.25">
      <c r="A693">
        <v>2022</v>
      </c>
      <c r="B693" t="s">
        <v>14</v>
      </c>
      <c r="C693" t="s">
        <v>5</v>
      </c>
      <c r="E693">
        <v>5463436</v>
      </c>
      <c r="F693" t="s">
        <v>82</v>
      </c>
      <c r="G693" t="str" cm="1">
        <f t="array" ref="G693">_xlfn.LET(
    _xlpm.r, TRIM(B693),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93" t="str" cm="1">
        <f t="array" ref="H693">_xlfn.LET(
     _xlpm.r, TRIM(C693),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94" spans="1:8" x14ac:dyDescent="0.25">
      <c r="A694">
        <v>2022</v>
      </c>
      <c r="B694" t="s">
        <v>14</v>
      </c>
      <c r="C694" t="s">
        <v>5</v>
      </c>
      <c r="E694">
        <v>578600</v>
      </c>
      <c r="F694" t="s">
        <v>82</v>
      </c>
      <c r="G694" t="str" cm="1">
        <f t="array" ref="G694">_xlfn.LET(
    _xlpm.r, TRIM(B694),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94" t="str" cm="1">
        <f t="array" ref="H694">_xlfn.LET(
     _xlpm.r, TRIM(C694),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95" spans="1:8" x14ac:dyDescent="0.25">
      <c r="A695">
        <v>2022</v>
      </c>
      <c r="B695" t="s">
        <v>14</v>
      </c>
      <c r="C695" t="s">
        <v>5</v>
      </c>
      <c r="E695">
        <v>1585200</v>
      </c>
      <c r="F695" t="s">
        <v>82</v>
      </c>
      <c r="G695" t="str" cm="1">
        <f t="array" ref="G695">_xlfn.LET(
    _xlpm.r, TRIM(B695),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95" t="str" cm="1">
        <f t="array" ref="H695">_xlfn.LET(
     _xlpm.r, TRIM(C695),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96" spans="1:8" x14ac:dyDescent="0.25">
      <c r="A696">
        <v>2022</v>
      </c>
      <c r="B696" t="s">
        <v>14</v>
      </c>
      <c r="C696" t="s">
        <v>5</v>
      </c>
      <c r="E696">
        <v>405600</v>
      </c>
      <c r="F696" t="s">
        <v>82</v>
      </c>
      <c r="G696" t="str" cm="1">
        <f t="array" ref="G696">_xlfn.LET(
    _xlpm.r, TRIM(B696),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96" t="str" cm="1">
        <f t="array" ref="H696">_xlfn.LET(
     _xlpm.r, TRIM(C696),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97" spans="1:8" x14ac:dyDescent="0.25">
      <c r="A697">
        <v>2022</v>
      </c>
      <c r="B697" t="s">
        <v>14</v>
      </c>
      <c r="C697" t="s">
        <v>5</v>
      </c>
      <c r="E697">
        <v>141600</v>
      </c>
      <c r="F697" t="s">
        <v>82</v>
      </c>
      <c r="G697" t="str" cm="1">
        <f t="array" ref="G697">_xlfn.LET(
    _xlpm.r, TRIM(B697),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97" t="str" cm="1">
        <f t="array" ref="H697">_xlfn.LET(
     _xlpm.r, TRIM(C697),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98" spans="1:8" x14ac:dyDescent="0.25">
      <c r="A698">
        <v>2022</v>
      </c>
      <c r="B698" t="s">
        <v>14</v>
      </c>
      <c r="C698" t="s">
        <v>5</v>
      </c>
      <c r="E698">
        <v>175000</v>
      </c>
      <c r="F698" t="s">
        <v>82</v>
      </c>
      <c r="G698" t="str" cm="1">
        <f t="array" ref="G698">_xlfn.LET(
    _xlpm.r, TRIM(B698),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98" t="str" cm="1">
        <f t="array" ref="H698">_xlfn.LET(
     _xlpm.r, TRIM(C698),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699" spans="1:8" x14ac:dyDescent="0.25">
      <c r="A699">
        <v>2022</v>
      </c>
      <c r="B699" t="s">
        <v>14</v>
      </c>
      <c r="C699" t="s">
        <v>5</v>
      </c>
      <c r="E699">
        <v>231600</v>
      </c>
      <c r="F699" t="s">
        <v>82</v>
      </c>
      <c r="G699" t="str" cm="1">
        <f t="array" ref="G699">_xlfn.LET(
    _xlpm.r, TRIM(B699),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699" t="str" cm="1">
        <f t="array" ref="H699">_xlfn.LET(
     _xlpm.r, TRIM(C699),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00" spans="1:8" x14ac:dyDescent="0.25">
      <c r="A700">
        <v>2022</v>
      </c>
      <c r="B700" t="s">
        <v>14</v>
      </c>
      <c r="C700" t="s">
        <v>5</v>
      </c>
      <c r="E700">
        <v>2704200</v>
      </c>
      <c r="F700" t="s">
        <v>82</v>
      </c>
      <c r="G700" t="str" cm="1">
        <f t="array" ref="G700">_xlfn.LET(
    _xlpm.r, TRIM(B700),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00" t="str" cm="1">
        <f t="array" ref="H700">_xlfn.LET(
     _xlpm.r, TRIM(C700),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01" spans="1:8" x14ac:dyDescent="0.25">
      <c r="A701">
        <v>2022</v>
      </c>
      <c r="B701" t="s">
        <v>14</v>
      </c>
      <c r="C701" t="s">
        <v>5</v>
      </c>
      <c r="E701">
        <v>581600</v>
      </c>
      <c r="F701" t="s">
        <v>82</v>
      </c>
      <c r="G701" t="str" cm="1">
        <f t="array" ref="G701">_xlfn.LET(
    _xlpm.r, TRIM(B701),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01" t="str" cm="1">
        <f t="array" ref="H701">_xlfn.LET(
     _xlpm.r, TRIM(C701),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02" spans="1:8" x14ac:dyDescent="0.25">
      <c r="A702">
        <v>2022</v>
      </c>
      <c r="B702" t="s">
        <v>14</v>
      </c>
      <c r="C702" t="s">
        <v>5</v>
      </c>
      <c r="E702">
        <v>349600</v>
      </c>
      <c r="F702" t="s">
        <v>82</v>
      </c>
      <c r="G702" t="str" cm="1">
        <f t="array" ref="G702">_xlfn.LET(
    _xlpm.r, TRIM(B702),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02" t="str" cm="1">
        <f t="array" ref="H702">_xlfn.LET(
     _xlpm.r, TRIM(C702),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03" spans="1:8" x14ac:dyDescent="0.25">
      <c r="A703">
        <v>2022</v>
      </c>
      <c r="B703" t="s">
        <v>14</v>
      </c>
      <c r="C703" t="s">
        <v>5</v>
      </c>
      <c r="E703">
        <v>153000</v>
      </c>
      <c r="F703" t="s">
        <v>82</v>
      </c>
      <c r="G703" t="str" cm="1">
        <f t="array" ref="G703">_xlfn.LET(
    _xlpm.r, TRIM(B703),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03" t="str" cm="1">
        <f t="array" ref="H703">_xlfn.LET(
     _xlpm.r, TRIM(C703),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04" spans="1:8" x14ac:dyDescent="0.25">
      <c r="A704">
        <v>2022</v>
      </c>
      <c r="B704" t="s">
        <v>14</v>
      </c>
      <c r="C704" t="s">
        <v>5</v>
      </c>
      <c r="E704">
        <v>81600</v>
      </c>
      <c r="F704" t="s">
        <v>82</v>
      </c>
      <c r="G704" t="str" cm="1">
        <f t="array" ref="G704">_xlfn.LET(
    _xlpm.r, TRIM(B704),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04" t="str" cm="1">
        <f t="array" ref="H704">_xlfn.LET(
     _xlpm.r, TRIM(C704),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05" spans="1:8" x14ac:dyDescent="0.25">
      <c r="A705">
        <v>2022</v>
      </c>
      <c r="B705" t="s">
        <v>14</v>
      </c>
      <c r="C705" t="s">
        <v>5</v>
      </c>
      <c r="E705">
        <v>11306800</v>
      </c>
      <c r="F705" t="s">
        <v>82</v>
      </c>
      <c r="G705" t="str" cm="1">
        <f t="array" ref="G705">_xlfn.LET(
    _xlpm.r, TRIM(B705),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05" t="str" cm="1">
        <f t="array" ref="H705">_xlfn.LET(
     _xlpm.r, TRIM(C705),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06" spans="1:8" x14ac:dyDescent="0.25">
      <c r="A706">
        <v>2022</v>
      </c>
      <c r="B706" t="s">
        <v>14</v>
      </c>
      <c r="C706" t="s">
        <v>5</v>
      </c>
      <c r="E706">
        <v>1051600</v>
      </c>
      <c r="F706" t="s">
        <v>82</v>
      </c>
      <c r="G706" t="str" cm="1">
        <f t="array" ref="G706">_xlfn.LET(
    _xlpm.r, TRIM(B706),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06" t="str" cm="1">
        <f t="array" ref="H706">_xlfn.LET(
     _xlpm.r, TRIM(C706),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07" spans="1:8" x14ac:dyDescent="0.25">
      <c r="A707">
        <v>2022</v>
      </c>
      <c r="B707" t="s">
        <v>14</v>
      </c>
      <c r="C707" t="s">
        <v>5</v>
      </c>
      <c r="E707">
        <v>10246400</v>
      </c>
      <c r="F707" t="s">
        <v>82</v>
      </c>
      <c r="G707" t="str" cm="1">
        <f t="array" ref="G707">_xlfn.LET(
    _xlpm.r, TRIM(B707),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07" t="str" cm="1">
        <f t="array" ref="H707">_xlfn.LET(
     _xlpm.r, TRIM(C707),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08" spans="1:8" x14ac:dyDescent="0.25">
      <c r="A708">
        <v>2022</v>
      </c>
      <c r="B708" t="s">
        <v>14</v>
      </c>
      <c r="C708" t="s">
        <v>6</v>
      </c>
      <c r="E708">
        <v>351090000</v>
      </c>
      <c r="F708" t="s">
        <v>82</v>
      </c>
      <c r="G708" t="str" cm="1">
        <f t="array" ref="G708">_xlfn.LET(
    _xlpm.r, TRIM(B708),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08" t="str" cm="1">
        <f t="array" ref="H708">_xlfn.LET(
     _xlpm.r, TRIM(C708),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09" spans="1:8" x14ac:dyDescent="0.25">
      <c r="A709">
        <v>2022</v>
      </c>
      <c r="B709" t="s">
        <v>14</v>
      </c>
      <c r="C709" t="s">
        <v>6</v>
      </c>
      <c r="E709">
        <v>216587300</v>
      </c>
      <c r="F709" t="s">
        <v>82</v>
      </c>
      <c r="G709" t="str" cm="1">
        <f t="array" ref="G709">_xlfn.LET(
    _xlpm.r, TRIM(B709),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09" t="str" cm="1">
        <f t="array" ref="H709">_xlfn.LET(
     _xlpm.r, TRIM(C709),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10" spans="1:8" x14ac:dyDescent="0.25">
      <c r="A710">
        <v>2022</v>
      </c>
      <c r="B710" t="s">
        <v>14</v>
      </c>
      <c r="C710" t="s">
        <v>6</v>
      </c>
      <c r="E710">
        <v>1349100</v>
      </c>
      <c r="F710" t="s">
        <v>82</v>
      </c>
      <c r="G710" t="str" cm="1">
        <f t="array" ref="G710">_xlfn.LET(
    _xlpm.r, TRIM(B710),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10" t="str" cm="1">
        <f t="array" ref="H710">_xlfn.LET(
     _xlpm.r, TRIM(C710),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11" spans="1:8" x14ac:dyDescent="0.25">
      <c r="A711">
        <v>2022</v>
      </c>
      <c r="B711" t="s">
        <v>14</v>
      </c>
      <c r="C711" t="s">
        <v>6</v>
      </c>
      <c r="E711">
        <v>54400</v>
      </c>
      <c r="F711" t="s">
        <v>82</v>
      </c>
      <c r="G711" t="str" cm="1">
        <f t="array" ref="G711">_xlfn.LET(
    _xlpm.r, TRIM(B711),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11" t="str" cm="1">
        <f t="array" ref="H711">_xlfn.LET(
     _xlpm.r, TRIM(C711),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12" spans="1:8" x14ac:dyDescent="0.25">
      <c r="A712">
        <v>2022</v>
      </c>
      <c r="B712" t="s">
        <v>14</v>
      </c>
      <c r="C712" t="s">
        <v>6</v>
      </c>
      <c r="E712">
        <v>349800</v>
      </c>
      <c r="F712" t="s">
        <v>82</v>
      </c>
      <c r="G712" t="str" cm="1">
        <f t="array" ref="G712">_xlfn.LET(
    _xlpm.r, TRIM(B712),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12" t="str" cm="1">
        <f t="array" ref="H712">_xlfn.LET(
     _xlpm.r, TRIM(C712),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13" spans="1:8" x14ac:dyDescent="0.25">
      <c r="A713">
        <v>2022</v>
      </c>
      <c r="B713" t="s">
        <v>14</v>
      </c>
      <c r="C713" t="s">
        <v>6</v>
      </c>
      <c r="E713">
        <v>24400</v>
      </c>
      <c r="F713" t="s">
        <v>82</v>
      </c>
      <c r="G713" t="str" cm="1">
        <f t="array" ref="G713">_xlfn.LET(
    _xlpm.r, TRIM(B713),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13" t="str" cm="1">
        <f t="array" ref="H713">_xlfn.LET(
     _xlpm.r, TRIM(C713),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14" spans="1:8" x14ac:dyDescent="0.25">
      <c r="A714">
        <v>2022</v>
      </c>
      <c r="B714" t="s">
        <v>14</v>
      </c>
      <c r="C714" t="s">
        <v>6</v>
      </c>
      <c r="E714">
        <v>3400</v>
      </c>
      <c r="F714" t="s">
        <v>82</v>
      </c>
      <c r="G714" t="str" cm="1">
        <f t="array" ref="G714">_xlfn.LET(
    _xlpm.r, TRIM(B714),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14" t="str" cm="1">
        <f t="array" ref="H714">_xlfn.LET(
     _xlpm.r, TRIM(C714),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15" spans="1:8" x14ac:dyDescent="0.25">
      <c r="A715">
        <v>2022</v>
      </c>
      <c r="B715" t="s">
        <v>14</v>
      </c>
      <c r="C715" t="s">
        <v>6</v>
      </c>
      <c r="E715">
        <v>30000</v>
      </c>
      <c r="F715" t="s">
        <v>82</v>
      </c>
      <c r="G715" t="str" cm="1">
        <f t="array" ref="G715">_xlfn.LET(
    _xlpm.r, TRIM(B715),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15" t="str" cm="1">
        <f t="array" ref="H715">_xlfn.LET(
     _xlpm.r, TRIM(C715),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16" spans="1:8" x14ac:dyDescent="0.25">
      <c r="A716">
        <v>2022</v>
      </c>
      <c r="B716" t="s">
        <v>14</v>
      </c>
      <c r="C716" t="s">
        <v>6</v>
      </c>
      <c r="E716">
        <v>44400</v>
      </c>
      <c r="F716" t="s">
        <v>82</v>
      </c>
      <c r="G716" t="str" cm="1">
        <f t="array" ref="G716">_xlfn.LET(
    _xlpm.r, TRIM(B716),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16" t="str" cm="1">
        <f t="array" ref="H716">_xlfn.LET(
     _xlpm.r, TRIM(C716),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17" spans="1:8" x14ac:dyDescent="0.25">
      <c r="A717">
        <v>2022</v>
      </c>
      <c r="B717" t="s">
        <v>14</v>
      </c>
      <c r="C717" t="s">
        <v>6</v>
      </c>
      <c r="E717">
        <v>582800</v>
      </c>
      <c r="F717" t="s">
        <v>82</v>
      </c>
      <c r="G717" t="str" cm="1">
        <f t="array" ref="G717">_xlfn.LET(
    _xlpm.r, TRIM(B717),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17" t="str" cm="1">
        <f t="array" ref="H717">_xlfn.LET(
     _xlpm.r, TRIM(C717),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18" spans="1:8" x14ac:dyDescent="0.25">
      <c r="A718">
        <v>2022</v>
      </c>
      <c r="B718" t="s">
        <v>14</v>
      </c>
      <c r="C718" t="s">
        <v>6</v>
      </c>
      <c r="E718">
        <v>21400</v>
      </c>
      <c r="F718" t="s">
        <v>82</v>
      </c>
      <c r="G718" t="str" cm="1">
        <f t="array" ref="G718">_xlfn.LET(
    _xlpm.r, TRIM(B718),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18" t="str" cm="1">
        <f t="array" ref="H718">_xlfn.LET(
     _xlpm.r, TRIM(C718),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19" spans="1:8" x14ac:dyDescent="0.25">
      <c r="A719">
        <v>2022</v>
      </c>
      <c r="B719" t="s">
        <v>14</v>
      </c>
      <c r="C719" t="s">
        <v>6</v>
      </c>
      <c r="E719">
        <v>22400</v>
      </c>
      <c r="F719" t="s">
        <v>82</v>
      </c>
      <c r="G719" t="str" cm="1">
        <f t="array" ref="G719">_xlfn.LET(
    _xlpm.r, TRIM(B719),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19" t="str" cm="1">
        <f t="array" ref="H719">_xlfn.LET(
     _xlpm.r, TRIM(C719),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20" spans="1:8" x14ac:dyDescent="0.25">
      <c r="A720">
        <v>2022</v>
      </c>
      <c r="B720" t="s">
        <v>14</v>
      </c>
      <c r="C720" t="s">
        <v>6</v>
      </c>
      <c r="E720">
        <v>1400</v>
      </c>
      <c r="F720" t="s">
        <v>82</v>
      </c>
      <c r="G720" t="str" cm="1">
        <f t="array" ref="G720">_xlfn.LET(
    _xlpm.r, TRIM(B720),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20" t="str" cm="1">
        <f t="array" ref="H720">_xlfn.LET(
     _xlpm.r, TRIM(C720),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21" spans="1:8" x14ac:dyDescent="0.25">
      <c r="A721">
        <v>2022</v>
      </c>
      <c r="B721" t="s">
        <v>14</v>
      </c>
      <c r="C721" t="s">
        <v>6</v>
      </c>
      <c r="E721">
        <v>5827200</v>
      </c>
      <c r="F721" t="s">
        <v>82</v>
      </c>
      <c r="G721" t="str" cm="1">
        <f t="array" ref="G721">_xlfn.LET(
    _xlpm.r, TRIM(B721),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21" t="str" cm="1">
        <f t="array" ref="H721">_xlfn.LET(
     _xlpm.r, TRIM(C721),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22" spans="1:8" x14ac:dyDescent="0.25">
      <c r="A722">
        <v>2022</v>
      </c>
      <c r="B722" t="s">
        <v>14</v>
      </c>
      <c r="C722" t="s">
        <v>6</v>
      </c>
      <c r="E722">
        <v>297400</v>
      </c>
      <c r="F722" t="s">
        <v>82</v>
      </c>
      <c r="G722" t="str" cm="1">
        <f t="array" ref="G722">_xlfn.LET(
    _xlpm.r, TRIM(B722),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22" t="str" cm="1">
        <f t="array" ref="H722">_xlfn.LET(
     _xlpm.r, TRIM(C722),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23" spans="1:8" x14ac:dyDescent="0.25">
      <c r="A723">
        <v>2022</v>
      </c>
      <c r="B723" t="s">
        <v>14</v>
      </c>
      <c r="C723" t="s">
        <v>6</v>
      </c>
      <c r="E723">
        <v>2595600</v>
      </c>
      <c r="F723" t="s">
        <v>82</v>
      </c>
      <c r="G723" t="str" cm="1">
        <f t="array" ref="G723">_xlfn.LET(
    _xlpm.r, TRIM(B723),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23" t="str" cm="1">
        <f t="array" ref="H723">_xlfn.LET(
     _xlpm.r, TRIM(C723),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24" spans="1:8" x14ac:dyDescent="0.25">
      <c r="A724">
        <v>2022</v>
      </c>
      <c r="B724" t="s">
        <v>14</v>
      </c>
      <c r="C724" t="s">
        <v>7</v>
      </c>
      <c r="E724">
        <v>1000000</v>
      </c>
      <c r="F724" t="s">
        <v>82</v>
      </c>
      <c r="G724" t="str" cm="1">
        <f t="array" ref="G724">_xlfn.LET(
    _xlpm.r, TRIM(B724),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24" t="str" cm="1">
        <f t="array" ref="H724">_xlfn.LET(
     _xlpm.r, TRIM(C724),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725" spans="1:8" x14ac:dyDescent="0.25">
      <c r="A725">
        <v>2022</v>
      </c>
      <c r="B725" t="s">
        <v>14</v>
      </c>
      <c r="C725" t="s">
        <v>8</v>
      </c>
      <c r="E725">
        <v>8512000</v>
      </c>
      <c r="F725" t="s">
        <v>82</v>
      </c>
      <c r="G725" t="str" cm="1">
        <f t="array" ref="G725">_xlfn.LET(
    _xlpm.r, TRIM(B725),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25" t="str" cm="1">
        <f t="array" ref="H725">_xlfn.LET(
     _xlpm.r, TRIM(C725),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26" spans="1:8" x14ac:dyDescent="0.25">
      <c r="A726">
        <v>2022</v>
      </c>
      <c r="B726" t="s">
        <v>14</v>
      </c>
      <c r="C726" t="s">
        <v>8</v>
      </c>
      <c r="E726">
        <v>98000</v>
      </c>
      <c r="F726" t="s">
        <v>82</v>
      </c>
      <c r="G726" t="str" cm="1">
        <f t="array" ref="G726">_xlfn.LET(
    _xlpm.r, TRIM(B726),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26" t="str" cm="1">
        <f t="array" ref="H726">_xlfn.LET(
     _xlpm.r, TRIM(C726),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27" spans="1:8" x14ac:dyDescent="0.25">
      <c r="A727">
        <v>2022</v>
      </c>
      <c r="B727" t="s">
        <v>14</v>
      </c>
      <c r="C727" t="s">
        <v>8</v>
      </c>
      <c r="E727">
        <v>200000</v>
      </c>
      <c r="F727" t="s">
        <v>82</v>
      </c>
      <c r="G727" t="str" cm="1">
        <f t="array" ref="G727">_xlfn.LET(
    _xlpm.r, TRIM(B727),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27" t="str" cm="1">
        <f t="array" ref="H727">_xlfn.LET(
     _xlpm.r, TRIM(C727),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28" spans="1:8" x14ac:dyDescent="0.25">
      <c r="A728">
        <v>2022</v>
      </c>
      <c r="B728" t="s">
        <v>14</v>
      </c>
      <c r="C728" t="s">
        <v>8</v>
      </c>
      <c r="E728">
        <v>12000</v>
      </c>
      <c r="F728" t="s">
        <v>82</v>
      </c>
      <c r="G728" t="str" cm="1">
        <f t="array" ref="G728">_xlfn.LET(
    _xlpm.r, TRIM(B728),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28" t="str" cm="1">
        <f t="array" ref="H728">_xlfn.LET(
     _xlpm.r, TRIM(C728),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29" spans="1:8" x14ac:dyDescent="0.25">
      <c r="A729">
        <v>2022</v>
      </c>
      <c r="B729" t="s">
        <v>14</v>
      </c>
      <c r="C729" t="s">
        <v>8</v>
      </c>
      <c r="E729">
        <v>610000</v>
      </c>
      <c r="F729" t="s">
        <v>82</v>
      </c>
      <c r="G729" t="str" cm="1">
        <f t="array" ref="G729">_xlfn.LET(
    _xlpm.r, TRIM(B729),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29" t="str" cm="1">
        <f t="array" ref="H729">_xlfn.LET(
     _xlpm.r, TRIM(C729),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30" spans="1:8" x14ac:dyDescent="0.25">
      <c r="A730">
        <v>2022</v>
      </c>
      <c r="B730" t="s">
        <v>14</v>
      </c>
      <c r="C730" t="s">
        <v>8</v>
      </c>
      <c r="E730">
        <v>30000</v>
      </c>
      <c r="F730" t="s">
        <v>82</v>
      </c>
      <c r="G730" t="str" cm="1">
        <f t="array" ref="G730">_xlfn.LET(
    _xlpm.r, TRIM(B730),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730" t="str" cm="1">
        <f t="array" ref="H730">_xlfn.LET(
     _xlpm.r, TRIM(C730),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31" spans="1:8" x14ac:dyDescent="0.25">
      <c r="A731">
        <v>2022</v>
      </c>
      <c r="B731" t="s">
        <v>15</v>
      </c>
      <c r="C731" t="s">
        <v>5</v>
      </c>
      <c r="E731">
        <v>360693</v>
      </c>
      <c r="F731" t="s">
        <v>83</v>
      </c>
      <c r="G731" t="str" cm="1">
        <f t="array" ref="G731">_xlfn.LET(
    _xlpm.r, TRIM(B731),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31" t="str" cm="1">
        <f t="array" ref="H731">_xlfn.LET(
     _xlpm.r, TRIM(C731),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32" spans="1:8" x14ac:dyDescent="0.25">
      <c r="A732">
        <v>2022</v>
      </c>
      <c r="B732" t="s">
        <v>15</v>
      </c>
      <c r="C732" t="s">
        <v>5</v>
      </c>
      <c r="E732">
        <v>15776568</v>
      </c>
      <c r="F732" t="s">
        <v>83</v>
      </c>
      <c r="G732" t="str" cm="1">
        <f t="array" ref="G732">_xlfn.LET(
    _xlpm.r, TRIM(B732),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32" t="str" cm="1">
        <f t="array" ref="H732">_xlfn.LET(
     _xlpm.r, TRIM(C732),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33" spans="1:8" x14ac:dyDescent="0.25">
      <c r="A733">
        <v>2022</v>
      </c>
      <c r="B733" t="s">
        <v>15</v>
      </c>
      <c r="C733" t="s">
        <v>5</v>
      </c>
      <c r="E733">
        <v>148047282</v>
      </c>
      <c r="F733" t="s">
        <v>83</v>
      </c>
      <c r="G733" t="str" cm="1">
        <f t="array" ref="G733">_xlfn.LET(
    _xlpm.r, TRIM(B733),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33" t="str" cm="1">
        <f t="array" ref="H733">_xlfn.LET(
     _xlpm.r, TRIM(C733),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34" spans="1:8" x14ac:dyDescent="0.25">
      <c r="A734">
        <v>2022</v>
      </c>
      <c r="B734" t="s">
        <v>15</v>
      </c>
      <c r="C734" t="s">
        <v>5</v>
      </c>
      <c r="E734">
        <v>21760816</v>
      </c>
      <c r="F734" t="s">
        <v>83</v>
      </c>
      <c r="G734" t="str" cm="1">
        <f t="array" ref="G734">_xlfn.LET(
    _xlpm.r, TRIM(B734),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34" t="str" cm="1">
        <f t="array" ref="H734">_xlfn.LET(
     _xlpm.r, TRIM(C734),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35" spans="1:8" x14ac:dyDescent="0.25">
      <c r="A735">
        <v>2022</v>
      </c>
      <c r="B735" t="s">
        <v>15</v>
      </c>
      <c r="C735" t="s">
        <v>5</v>
      </c>
      <c r="E735">
        <v>9921732</v>
      </c>
      <c r="F735" t="s">
        <v>83</v>
      </c>
      <c r="G735" t="str" cm="1">
        <f t="array" ref="G735">_xlfn.LET(
    _xlpm.r, TRIM(B735),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35" t="str" cm="1">
        <f t="array" ref="H735">_xlfn.LET(
     _xlpm.r, TRIM(C735),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36" spans="1:8" x14ac:dyDescent="0.25">
      <c r="A736">
        <v>2022</v>
      </c>
      <c r="B736" t="s">
        <v>15</v>
      </c>
      <c r="C736" t="s">
        <v>5</v>
      </c>
      <c r="E736">
        <v>14406900</v>
      </c>
      <c r="F736" t="s">
        <v>83</v>
      </c>
      <c r="G736" t="str" cm="1">
        <f t="array" ref="G736">_xlfn.LET(
    _xlpm.r, TRIM(B736),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36" t="str" cm="1">
        <f t="array" ref="H736">_xlfn.LET(
     _xlpm.r, TRIM(C736),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37" spans="1:8" x14ac:dyDescent="0.25">
      <c r="A737">
        <v>2022</v>
      </c>
      <c r="B737" t="s">
        <v>15</v>
      </c>
      <c r="C737" t="s">
        <v>5</v>
      </c>
      <c r="E737">
        <v>15236332</v>
      </c>
      <c r="F737" t="s">
        <v>83</v>
      </c>
      <c r="G737" t="str" cm="1">
        <f t="array" ref="G737">_xlfn.LET(
    _xlpm.r, TRIM(B737),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37" t="str" cm="1">
        <f t="array" ref="H737">_xlfn.LET(
     _xlpm.r, TRIM(C737),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38" spans="1:8" x14ac:dyDescent="0.25">
      <c r="A738">
        <v>2022</v>
      </c>
      <c r="B738" t="s">
        <v>15</v>
      </c>
      <c r="C738" t="s">
        <v>5</v>
      </c>
      <c r="E738">
        <v>6108417</v>
      </c>
      <c r="F738" t="s">
        <v>83</v>
      </c>
      <c r="G738" t="str" cm="1">
        <f t="array" ref="G738">_xlfn.LET(
    _xlpm.r, TRIM(B738),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38" t="str" cm="1">
        <f t="array" ref="H738">_xlfn.LET(
     _xlpm.r, TRIM(C738),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39" spans="1:8" x14ac:dyDescent="0.25">
      <c r="A739">
        <v>2022</v>
      </c>
      <c r="B739" t="s">
        <v>15</v>
      </c>
      <c r="C739" t="s">
        <v>5</v>
      </c>
      <c r="E739">
        <v>1369273</v>
      </c>
      <c r="F739" t="s">
        <v>83</v>
      </c>
      <c r="G739" t="str" cm="1">
        <f t="array" ref="G739">_xlfn.LET(
    _xlpm.r, TRIM(B739),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39" t="str" cm="1">
        <f t="array" ref="H739">_xlfn.LET(
     _xlpm.r, TRIM(C739),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40" spans="1:8" x14ac:dyDescent="0.25">
      <c r="A740">
        <v>2022</v>
      </c>
      <c r="B740" t="s">
        <v>15</v>
      </c>
      <c r="C740" t="s">
        <v>5</v>
      </c>
      <c r="E740">
        <v>921987</v>
      </c>
      <c r="F740" t="s">
        <v>83</v>
      </c>
      <c r="G740" t="str" cm="1">
        <f t="array" ref="G740">_xlfn.LET(
    _xlpm.r, TRIM(B740),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40" t="str" cm="1">
        <f t="array" ref="H740">_xlfn.LET(
     _xlpm.r, TRIM(C740),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41" spans="1:8" x14ac:dyDescent="0.25">
      <c r="A741">
        <v>2022</v>
      </c>
      <c r="B741" t="s">
        <v>15</v>
      </c>
      <c r="C741" t="s">
        <v>5</v>
      </c>
      <c r="E741">
        <v>8825000</v>
      </c>
      <c r="F741" t="s">
        <v>83</v>
      </c>
      <c r="G741" t="str" cm="1">
        <f t="array" ref="G741">_xlfn.LET(
    _xlpm.r, TRIM(B741),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41" t="str" cm="1">
        <f t="array" ref="H741">_xlfn.LET(
     _xlpm.r, TRIM(C741),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42" spans="1:8" x14ac:dyDescent="0.25">
      <c r="A742">
        <v>2022</v>
      </c>
      <c r="B742" t="s">
        <v>15</v>
      </c>
      <c r="C742" t="s">
        <v>6</v>
      </c>
      <c r="E742">
        <v>3595315</v>
      </c>
      <c r="F742" t="s">
        <v>83</v>
      </c>
      <c r="G742" t="str" cm="1">
        <f t="array" ref="G742">_xlfn.LET(
    _xlpm.r, TRIM(B742),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42" t="str" cm="1">
        <f t="array" ref="H742">_xlfn.LET(
     _xlpm.r, TRIM(C742),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43" spans="1:8" x14ac:dyDescent="0.25">
      <c r="A743">
        <v>2022</v>
      </c>
      <c r="B743" t="s">
        <v>15</v>
      </c>
      <c r="C743" t="s">
        <v>6</v>
      </c>
      <c r="E743">
        <v>199001891</v>
      </c>
      <c r="F743" t="s">
        <v>83</v>
      </c>
      <c r="G743" t="str" cm="1">
        <f t="array" ref="G743">_xlfn.LET(
    _xlpm.r, TRIM(B743),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43" t="str" cm="1">
        <f t="array" ref="H743">_xlfn.LET(
     _xlpm.r, TRIM(C743),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44" spans="1:8" x14ac:dyDescent="0.25">
      <c r="A744">
        <v>2022</v>
      </c>
      <c r="B744" t="s">
        <v>15</v>
      </c>
      <c r="C744" t="s">
        <v>6</v>
      </c>
      <c r="E744">
        <v>3485872</v>
      </c>
      <c r="F744" t="s">
        <v>83</v>
      </c>
      <c r="G744" t="str" cm="1">
        <f t="array" ref="G744">_xlfn.LET(
    _xlpm.r, TRIM(B744),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44" t="str" cm="1">
        <f t="array" ref="H744">_xlfn.LET(
     _xlpm.r, TRIM(C744),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45" spans="1:8" x14ac:dyDescent="0.25">
      <c r="A745">
        <v>2022</v>
      </c>
      <c r="B745" t="s">
        <v>15</v>
      </c>
      <c r="C745" t="s">
        <v>6</v>
      </c>
      <c r="E745">
        <v>967200</v>
      </c>
      <c r="F745" t="s">
        <v>83</v>
      </c>
      <c r="G745" t="str" cm="1">
        <f t="array" ref="G745">_xlfn.LET(
    _xlpm.r, TRIM(B745),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45" t="str" cm="1">
        <f t="array" ref="H745">_xlfn.LET(
     _xlpm.r, TRIM(C745),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46" spans="1:8" x14ac:dyDescent="0.25">
      <c r="A746">
        <v>2022</v>
      </c>
      <c r="B746" t="s">
        <v>15</v>
      </c>
      <c r="C746" t="s">
        <v>6</v>
      </c>
      <c r="E746">
        <v>1572574</v>
      </c>
      <c r="F746" t="s">
        <v>83</v>
      </c>
      <c r="G746" t="str" cm="1">
        <f t="array" ref="G746">_xlfn.LET(
    _xlpm.r, TRIM(B746),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46" t="str" cm="1">
        <f t="array" ref="H746">_xlfn.LET(
     _xlpm.r, TRIM(C746),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47" spans="1:8" x14ac:dyDescent="0.25">
      <c r="A747">
        <v>2022</v>
      </c>
      <c r="B747" t="s">
        <v>15</v>
      </c>
      <c r="C747" t="s">
        <v>6</v>
      </c>
      <c r="E747">
        <v>1640494</v>
      </c>
      <c r="F747" t="s">
        <v>83</v>
      </c>
      <c r="G747" t="str" cm="1">
        <f t="array" ref="G747">_xlfn.LET(
    _xlpm.r, TRIM(B747),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47" t="str" cm="1">
        <f t="array" ref="H747">_xlfn.LET(
     _xlpm.r, TRIM(C747),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48" spans="1:8" x14ac:dyDescent="0.25">
      <c r="A748">
        <v>2022</v>
      </c>
      <c r="B748" t="s">
        <v>15</v>
      </c>
      <c r="C748" t="s">
        <v>6</v>
      </c>
      <c r="E748">
        <v>2453050</v>
      </c>
      <c r="F748" t="s">
        <v>83</v>
      </c>
      <c r="G748" t="str" cm="1">
        <f t="array" ref="G748">_xlfn.LET(
    _xlpm.r, TRIM(B748),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48" t="str" cm="1">
        <f t="array" ref="H748">_xlfn.LET(
     _xlpm.r, TRIM(C748),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49" spans="1:8" x14ac:dyDescent="0.25">
      <c r="A749">
        <v>2022</v>
      </c>
      <c r="B749" t="s">
        <v>15</v>
      </c>
      <c r="C749" t="s">
        <v>6</v>
      </c>
      <c r="E749">
        <v>4589880</v>
      </c>
      <c r="F749" t="s">
        <v>83</v>
      </c>
      <c r="G749" t="str" cm="1">
        <f t="array" ref="G749">_xlfn.LET(
    _xlpm.r, TRIM(B749),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49" t="str" cm="1">
        <f t="array" ref="H749">_xlfn.LET(
     _xlpm.r, TRIM(C749),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50" spans="1:8" x14ac:dyDescent="0.25">
      <c r="A750">
        <v>2022</v>
      </c>
      <c r="B750" t="s">
        <v>15</v>
      </c>
      <c r="C750" t="s">
        <v>6</v>
      </c>
      <c r="E750">
        <v>2323724</v>
      </c>
      <c r="F750" t="s">
        <v>83</v>
      </c>
      <c r="G750" t="str" cm="1">
        <f t="array" ref="G750">_xlfn.LET(
    _xlpm.r, TRIM(B750),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50" t="str" cm="1">
        <f t="array" ref="H750">_xlfn.LET(
     _xlpm.r, TRIM(C750),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51" spans="1:8" x14ac:dyDescent="0.25">
      <c r="A751">
        <v>2022</v>
      </c>
      <c r="B751" t="s">
        <v>15</v>
      </c>
      <c r="C751" t="s">
        <v>6</v>
      </c>
      <c r="E751">
        <v>13213000</v>
      </c>
      <c r="F751" t="s">
        <v>83</v>
      </c>
      <c r="G751" t="str" cm="1">
        <f t="array" ref="G751">_xlfn.LET(
    _xlpm.r, TRIM(B751),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51" t="str" cm="1">
        <f t="array" ref="H751">_xlfn.LET(
     _xlpm.r, TRIM(C751),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52" spans="1:8" x14ac:dyDescent="0.25">
      <c r="A752">
        <v>2022</v>
      </c>
      <c r="B752" t="s">
        <v>15</v>
      </c>
      <c r="C752" t="s">
        <v>8</v>
      </c>
      <c r="E752">
        <v>31980628</v>
      </c>
      <c r="F752" t="s">
        <v>83</v>
      </c>
      <c r="G752" t="str" cm="1">
        <f t="array" ref="G752">_xlfn.LET(
    _xlpm.r, TRIM(B752),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52" t="str" cm="1">
        <f t="array" ref="H752">_xlfn.LET(
     _xlpm.r, TRIM(C752),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53" spans="1:8" x14ac:dyDescent="0.25">
      <c r="A753">
        <v>2022</v>
      </c>
      <c r="B753" t="s">
        <v>15</v>
      </c>
      <c r="C753" t="s">
        <v>8</v>
      </c>
      <c r="E753">
        <v>320000</v>
      </c>
      <c r="F753" t="s">
        <v>83</v>
      </c>
      <c r="G753" t="str" cm="1">
        <f t="array" ref="G753">_xlfn.LET(
    _xlpm.r, TRIM(B753),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53" t="str" cm="1">
        <f t="array" ref="H753">_xlfn.LET(
     _xlpm.r, TRIM(C753),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54" spans="1:8" x14ac:dyDescent="0.25">
      <c r="A754">
        <v>2022</v>
      </c>
      <c r="B754" t="s">
        <v>15</v>
      </c>
      <c r="C754" t="s">
        <v>8</v>
      </c>
      <c r="E754">
        <v>150000</v>
      </c>
      <c r="F754" t="s">
        <v>83</v>
      </c>
      <c r="G754" t="str" cm="1">
        <f t="array" ref="G754">_xlfn.LET(
    _xlpm.r, TRIM(B754),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54" t="str" cm="1">
        <f t="array" ref="H754">_xlfn.LET(
     _xlpm.r, TRIM(C754),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55" spans="1:8" x14ac:dyDescent="0.25">
      <c r="A755">
        <v>2022</v>
      </c>
      <c r="B755" t="s">
        <v>15</v>
      </c>
      <c r="C755" t="s">
        <v>8</v>
      </c>
      <c r="E755">
        <v>100000</v>
      </c>
      <c r="F755" t="s">
        <v>83</v>
      </c>
      <c r="G755" t="str" cm="1">
        <f t="array" ref="G755">_xlfn.LET(
    _xlpm.r, TRIM(B755),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55" t="str" cm="1">
        <f t="array" ref="H755">_xlfn.LET(
     _xlpm.r, TRIM(C755),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56" spans="1:8" x14ac:dyDescent="0.25">
      <c r="A756">
        <v>2022</v>
      </c>
      <c r="B756" t="s">
        <v>15</v>
      </c>
      <c r="C756" t="s">
        <v>8</v>
      </c>
      <c r="E756">
        <v>25000</v>
      </c>
      <c r="F756" t="s">
        <v>83</v>
      </c>
      <c r="G756" t="str" cm="1">
        <f t="array" ref="G756">_xlfn.LET(
    _xlpm.r, TRIM(B756),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56" t="str" cm="1">
        <f t="array" ref="H756">_xlfn.LET(
     _xlpm.r, TRIM(C756),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57" spans="1:8" x14ac:dyDescent="0.25">
      <c r="A757">
        <v>2022</v>
      </c>
      <c r="B757" t="s">
        <v>15</v>
      </c>
      <c r="C757" t="s">
        <v>8</v>
      </c>
      <c r="E757">
        <v>451950</v>
      </c>
      <c r="F757" t="s">
        <v>83</v>
      </c>
      <c r="G757" t="str" cm="1">
        <f t="array" ref="G757">_xlfn.LET(
    _xlpm.r, TRIM(B757),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57" t="str" cm="1">
        <f t="array" ref="H757">_xlfn.LET(
     _xlpm.r, TRIM(C757),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58" spans="1:8" x14ac:dyDescent="0.25">
      <c r="A758">
        <v>2022</v>
      </c>
      <c r="B758" t="s">
        <v>15</v>
      </c>
      <c r="C758" t="s">
        <v>8</v>
      </c>
      <c r="E758">
        <v>23422</v>
      </c>
      <c r="F758" t="s">
        <v>83</v>
      </c>
      <c r="G758" t="str" cm="1">
        <f t="array" ref="G758">_xlfn.LET(
    _xlpm.r, TRIM(B758),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758" t="str" cm="1">
        <f t="array" ref="H758">_xlfn.LET(
     _xlpm.r, TRIM(C758),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59" spans="1:8" x14ac:dyDescent="0.25">
      <c r="A759">
        <v>2022</v>
      </c>
      <c r="B759" t="s">
        <v>16</v>
      </c>
      <c r="C759" t="s">
        <v>5</v>
      </c>
      <c r="E759">
        <v>54893</v>
      </c>
      <c r="F759" t="s">
        <v>84</v>
      </c>
      <c r="G759" t="str" cm="1">
        <f t="array" ref="G759">_xlfn.LET(
    _xlpm.r, TRIM(B759),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759" t="str" cm="1">
        <f t="array" ref="H759">_xlfn.LET(
     _xlpm.r, TRIM(C759),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60" spans="1:8" x14ac:dyDescent="0.25">
      <c r="A760">
        <v>2022</v>
      </c>
      <c r="B760" t="s">
        <v>16</v>
      </c>
      <c r="C760" t="s">
        <v>5</v>
      </c>
      <c r="E760">
        <v>34533435</v>
      </c>
      <c r="F760" t="s">
        <v>84</v>
      </c>
      <c r="G760" t="str" cm="1">
        <f t="array" ref="G760">_xlfn.LET(
    _xlpm.r, TRIM(B760),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760" t="str" cm="1">
        <f t="array" ref="H760">_xlfn.LET(
     _xlpm.r, TRIM(C760),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61" spans="1:8" x14ac:dyDescent="0.25">
      <c r="A761">
        <v>2022</v>
      </c>
      <c r="B761" t="s">
        <v>16</v>
      </c>
      <c r="C761" t="s">
        <v>5</v>
      </c>
      <c r="E761">
        <v>42300672</v>
      </c>
      <c r="F761" t="s">
        <v>84</v>
      </c>
      <c r="G761" t="str" cm="1">
        <f t="array" ref="G761">_xlfn.LET(
    _xlpm.r, TRIM(B761),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761" t="str" cm="1">
        <f t="array" ref="H761">_xlfn.LET(
     _xlpm.r, TRIM(C761),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62" spans="1:8" x14ac:dyDescent="0.25">
      <c r="A762">
        <v>2022</v>
      </c>
      <c r="B762" t="s">
        <v>16</v>
      </c>
      <c r="C762" t="s">
        <v>6</v>
      </c>
      <c r="E762">
        <v>1147320</v>
      </c>
      <c r="F762" t="s">
        <v>84</v>
      </c>
      <c r="G762" t="str" cm="1">
        <f t="array" ref="G762">_xlfn.LET(
    _xlpm.r, TRIM(B762),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762" t="str" cm="1">
        <f t="array" ref="H762">_xlfn.LET(
     _xlpm.r, TRIM(C762),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63" spans="1:8" x14ac:dyDescent="0.25">
      <c r="A763">
        <v>2022</v>
      </c>
      <c r="B763" t="s">
        <v>16</v>
      </c>
      <c r="C763" t="s">
        <v>6</v>
      </c>
      <c r="E763">
        <v>33795680</v>
      </c>
      <c r="F763" t="s">
        <v>84</v>
      </c>
      <c r="G763" t="str" cm="1">
        <f t="array" ref="G763">_xlfn.LET(
    _xlpm.r, TRIM(B763),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763" t="str" cm="1">
        <f t="array" ref="H763">_xlfn.LET(
     _xlpm.r, TRIM(C763),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64" spans="1:8" x14ac:dyDescent="0.25">
      <c r="A764">
        <v>2022</v>
      </c>
      <c r="B764" t="s">
        <v>16</v>
      </c>
      <c r="C764" t="s">
        <v>8</v>
      </c>
      <c r="E764">
        <v>3373000</v>
      </c>
      <c r="F764" t="s">
        <v>84</v>
      </c>
      <c r="G764" t="str" cm="1">
        <f t="array" ref="G764">_xlfn.LET(
    _xlpm.r, TRIM(B764),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764" t="str" cm="1">
        <f t="array" ref="H764">_xlfn.LET(
     _xlpm.r, TRIM(C764),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65" spans="1:8" x14ac:dyDescent="0.25">
      <c r="A765">
        <v>2022</v>
      </c>
      <c r="B765" t="s">
        <v>17</v>
      </c>
      <c r="C765" t="s">
        <v>5</v>
      </c>
      <c r="E765">
        <v>72138424</v>
      </c>
      <c r="F765" t="s">
        <v>85</v>
      </c>
      <c r="G765" t="str" cm="1">
        <f t="array" ref="G765">_xlfn.LET(
    _xlpm.r, TRIM(B765),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765" t="str" cm="1">
        <f t="array" ref="H765">_xlfn.LET(
     _xlpm.r, TRIM(C765),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66" spans="1:8" x14ac:dyDescent="0.25">
      <c r="A766">
        <v>2022</v>
      </c>
      <c r="B766" t="s">
        <v>17</v>
      </c>
      <c r="C766" t="s">
        <v>5</v>
      </c>
      <c r="E766">
        <v>26923576</v>
      </c>
      <c r="F766" t="s">
        <v>85</v>
      </c>
      <c r="G766" t="str" cm="1">
        <f t="array" ref="G766">_xlfn.LET(
    _xlpm.r, TRIM(B766),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766" t="str" cm="1">
        <f t="array" ref="H766">_xlfn.LET(
     _xlpm.r, TRIM(C766),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67" spans="1:8" x14ac:dyDescent="0.25">
      <c r="A767">
        <v>2022</v>
      </c>
      <c r="B767" t="s">
        <v>17</v>
      </c>
      <c r="C767" t="s">
        <v>6</v>
      </c>
      <c r="E767">
        <v>108000000</v>
      </c>
      <c r="F767" t="s">
        <v>85</v>
      </c>
      <c r="G767" t="str" cm="1">
        <f t="array" ref="G767">_xlfn.LET(
    _xlpm.r, TRIM(B767),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767" t="str" cm="1">
        <f t="array" ref="H767">_xlfn.LET(
     _xlpm.r, TRIM(C767),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68" spans="1:8" x14ac:dyDescent="0.25">
      <c r="A768">
        <v>2022</v>
      </c>
      <c r="B768" t="s">
        <v>17</v>
      </c>
      <c r="C768" t="s">
        <v>8</v>
      </c>
      <c r="E768">
        <v>4800000</v>
      </c>
      <c r="F768" t="s">
        <v>85</v>
      </c>
      <c r="G768" t="str" cm="1">
        <f t="array" ref="G768">_xlfn.LET(
    _xlpm.r, TRIM(B768),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768" t="str" cm="1">
        <f t="array" ref="H768">_xlfn.LET(
     _xlpm.r, TRIM(C768),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69" spans="1:8" x14ac:dyDescent="0.25">
      <c r="A769">
        <v>2022</v>
      </c>
      <c r="B769" t="s">
        <v>18</v>
      </c>
      <c r="C769" t="s">
        <v>5</v>
      </c>
      <c r="E769">
        <v>881785</v>
      </c>
      <c r="F769" t="s">
        <v>86</v>
      </c>
      <c r="G769" t="str" cm="1">
        <f t="array" ref="G769">_xlfn.LET(
    _xlpm.r, TRIM(B769),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69" t="str" cm="1">
        <f t="array" ref="H769">_xlfn.LET(
     _xlpm.r, TRIM(C769),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70" spans="1:8" x14ac:dyDescent="0.25">
      <c r="A770">
        <v>2022</v>
      </c>
      <c r="B770" t="s">
        <v>18</v>
      </c>
      <c r="C770" t="s">
        <v>5</v>
      </c>
      <c r="E770">
        <v>76439271</v>
      </c>
      <c r="F770" t="s">
        <v>86</v>
      </c>
      <c r="G770" t="str" cm="1">
        <f t="array" ref="G770">_xlfn.LET(
    _xlpm.r, TRIM(B770),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70" t="str" cm="1">
        <f t="array" ref="H770">_xlfn.LET(
     _xlpm.r, TRIM(C770),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71" spans="1:8" x14ac:dyDescent="0.25">
      <c r="A771">
        <v>2022</v>
      </c>
      <c r="B771" t="s">
        <v>18</v>
      </c>
      <c r="C771" t="s">
        <v>5</v>
      </c>
      <c r="E771">
        <v>37066899</v>
      </c>
      <c r="F771" t="s">
        <v>86</v>
      </c>
      <c r="G771" t="str" cm="1">
        <f t="array" ref="G771">_xlfn.LET(
    _xlpm.r, TRIM(B771),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71" t="str" cm="1">
        <f t="array" ref="H771">_xlfn.LET(
     _xlpm.r, TRIM(C771),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72" spans="1:8" x14ac:dyDescent="0.25">
      <c r="A772">
        <v>2022</v>
      </c>
      <c r="B772" t="s">
        <v>18</v>
      </c>
      <c r="C772" t="s">
        <v>5</v>
      </c>
      <c r="E772">
        <v>4079803</v>
      </c>
      <c r="F772" t="s">
        <v>86</v>
      </c>
      <c r="G772" t="str" cm="1">
        <f t="array" ref="G772">_xlfn.LET(
    _xlpm.r, TRIM(B772),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72" t="str" cm="1">
        <f t="array" ref="H772">_xlfn.LET(
     _xlpm.r, TRIM(C772),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73" spans="1:8" x14ac:dyDescent="0.25">
      <c r="A773">
        <v>2022</v>
      </c>
      <c r="B773" t="s">
        <v>18</v>
      </c>
      <c r="C773" t="s">
        <v>5</v>
      </c>
      <c r="E773">
        <v>3069827</v>
      </c>
      <c r="F773" t="s">
        <v>86</v>
      </c>
      <c r="G773" t="str" cm="1">
        <f t="array" ref="G773">_xlfn.LET(
    _xlpm.r, TRIM(B773),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73" t="str" cm="1">
        <f t="array" ref="H773">_xlfn.LET(
     _xlpm.r, TRIM(C773),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74" spans="1:8" x14ac:dyDescent="0.25">
      <c r="A774">
        <v>2022</v>
      </c>
      <c r="B774" t="s">
        <v>18</v>
      </c>
      <c r="C774" t="s">
        <v>5</v>
      </c>
      <c r="E774">
        <v>2004797</v>
      </c>
      <c r="F774" t="s">
        <v>86</v>
      </c>
      <c r="G774" t="str" cm="1">
        <f t="array" ref="G774">_xlfn.LET(
    _xlpm.r, TRIM(B774),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74" t="str" cm="1">
        <f t="array" ref="H774">_xlfn.LET(
     _xlpm.r, TRIM(C774),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75" spans="1:8" x14ac:dyDescent="0.25">
      <c r="A775">
        <v>2022</v>
      </c>
      <c r="B775" t="s">
        <v>18</v>
      </c>
      <c r="C775" t="s">
        <v>5</v>
      </c>
      <c r="E775">
        <v>5304727</v>
      </c>
      <c r="F775" t="s">
        <v>86</v>
      </c>
      <c r="G775" t="str" cm="1">
        <f t="array" ref="G775">_xlfn.LET(
    _xlpm.r, TRIM(B775),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75" t="str" cm="1">
        <f t="array" ref="H775">_xlfn.LET(
     _xlpm.r, TRIM(C775),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76" spans="1:8" x14ac:dyDescent="0.25">
      <c r="A776">
        <v>2022</v>
      </c>
      <c r="B776" t="s">
        <v>18</v>
      </c>
      <c r="C776" t="s">
        <v>5</v>
      </c>
      <c r="E776">
        <v>1878162</v>
      </c>
      <c r="F776" t="s">
        <v>86</v>
      </c>
      <c r="G776" t="str" cm="1">
        <f t="array" ref="G776">_xlfn.LET(
    _xlpm.r, TRIM(B776),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76" t="str" cm="1">
        <f t="array" ref="H776">_xlfn.LET(
     _xlpm.r, TRIM(C776),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77" spans="1:8" x14ac:dyDescent="0.25">
      <c r="A777">
        <v>2022</v>
      </c>
      <c r="B777" t="s">
        <v>18</v>
      </c>
      <c r="C777" t="s">
        <v>5</v>
      </c>
      <c r="E777">
        <v>936123</v>
      </c>
      <c r="F777" t="s">
        <v>86</v>
      </c>
      <c r="G777" t="str" cm="1">
        <f t="array" ref="G777">_xlfn.LET(
    _xlpm.r, TRIM(B777),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77" t="str" cm="1">
        <f t="array" ref="H777">_xlfn.LET(
     _xlpm.r, TRIM(C777),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78" spans="1:8" x14ac:dyDescent="0.25">
      <c r="A778">
        <v>2022</v>
      </c>
      <c r="B778" t="s">
        <v>18</v>
      </c>
      <c r="C778" t="s">
        <v>5</v>
      </c>
      <c r="E778">
        <v>2173168</v>
      </c>
      <c r="F778" t="s">
        <v>86</v>
      </c>
      <c r="G778" t="str" cm="1">
        <f t="array" ref="G778">_xlfn.LET(
    _xlpm.r, TRIM(B778),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78" t="str" cm="1">
        <f t="array" ref="H778">_xlfn.LET(
     _xlpm.r, TRIM(C778),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79" spans="1:8" x14ac:dyDescent="0.25">
      <c r="A779">
        <v>2022</v>
      </c>
      <c r="B779" t="s">
        <v>18</v>
      </c>
      <c r="C779" t="s">
        <v>5</v>
      </c>
      <c r="E779">
        <v>2956436</v>
      </c>
      <c r="F779" t="s">
        <v>86</v>
      </c>
      <c r="G779" t="str" cm="1">
        <f t="array" ref="G779">_xlfn.LET(
    _xlpm.r, TRIM(B779),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79" t="str" cm="1">
        <f t="array" ref="H779">_xlfn.LET(
     _xlpm.r, TRIM(C779),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80" spans="1:8" x14ac:dyDescent="0.25">
      <c r="A780">
        <v>2022</v>
      </c>
      <c r="B780" t="s">
        <v>18</v>
      </c>
      <c r="C780" t="s">
        <v>5</v>
      </c>
      <c r="E780">
        <v>2361000</v>
      </c>
      <c r="F780" t="s">
        <v>86</v>
      </c>
      <c r="G780" t="str" cm="1">
        <f t="array" ref="G780">_xlfn.LET(
    _xlpm.r, TRIM(B780),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80" t="str" cm="1">
        <f t="array" ref="H780">_xlfn.LET(
     _xlpm.r, TRIM(C780),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81" spans="1:8" x14ac:dyDescent="0.25">
      <c r="A781">
        <v>2022</v>
      </c>
      <c r="B781" t="s">
        <v>18</v>
      </c>
      <c r="C781" t="s">
        <v>5</v>
      </c>
      <c r="E781">
        <v>4294452</v>
      </c>
      <c r="F781" t="s">
        <v>86</v>
      </c>
      <c r="G781" t="str" cm="1">
        <f t="array" ref="G781">_xlfn.LET(
    _xlpm.r, TRIM(B781),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81" t="str" cm="1">
        <f t="array" ref="H781">_xlfn.LET(
     _xlpm.r, TRIM(C781),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82" spans="1:8" x14ac:dyDescent="0.25">
      <c r="A782">
        <v>2022</v>
      </c>
      <c r="B782" t="s">
        <v>18</v>
      </c>
      <c r="C782" t="s">
        <v>5</v>
      </c>
      <c r="E782">
        <v>713550</v>
      </c>
      <c r="F782" t="s">
        <v>86</v>
      </c>
      <c r="G782" t="str" cm="1">
        <f t="array" ref="G782">_xlfn.LET(
    _xlpm.r, TRIM(B782),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82" t="str" cm="1">
        <f t="array" ref="H782">_xlfn.LET(
     _xlpm.r, TRIM(C782),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83" spans="1:8" x14ac:dyDescent="0.25">
      <c r="A783">
        <v>2022</v>
      </c>
      <c r="B783" t="s">
        <v>18</v>
      </c>
      <c r="C783" t="s">
        <v>6</v>
      </c>
      <c r="E783">
        <v>78582396</v>
      </c>
      <c r="F783" t="s">
        <v>86</v>
      </c>
      <c r="G783" t="str" cm="1">
        <f t="array" ref="G783">_xlfn.LET(
    _xlpm.r, TRIM(B783),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83" t="str" cm="1">
        <f t="array" ref="H783">_xlfn.LET(
     _xlpm.r, TRIM(C783),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84" spans="1:8" x14ac:dyDescent="0.25">
      <c r="A784">
        <v>2022</v>
      </c>
      <c r="B784" t="s">
        <v>18</v>
      </c>
      <c r="C784" t="s">
        <v>6</v>
      </c>
      <c r="E784">
        <v>14914104</v>
      </c>
      <c r="F784" t="s">
        <v>86</v>
      </c>
      <c r="G784" t="str" cm="1">
        <f t="array" ref="G784">_xlfn.LET(
    _xlpm.r, TRIM(B784),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84" t="str" cm="1">
        <f t="array" ref="H784">_xlfn.LET(
     _xlpm.r, TRIM(C784),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85" spans="1:8" x14ac:dyDescent="0.25">
      <c r="A785">
        <v>2022</v>
      </c>
      <c r="B785" t="s">
        <v>18</v>
      </c>
      <c r="C785" t="s">
        <v>6</v>
      </c>
      <c r="E785">
        <v>168000</v>
      </c>
      <c r="F785" t="s">
        <v>86</v>
      </c>
      <c r="G785" t="str" cm="1">
        <f t="array" ref="G785">_xlfn.LET(
    _xlpm.r, TRIM(B785),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85" t="str" cm="1">
        <f t="array" ref="H785">_xlfn.LET(
     _xlpm.r, TRIM(C785),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86" spans="1:8" x14ac:dyDescent="0.25">
      <c r="A786">
        <v>2022</v>
      </c>
      <c r="B786" t="s">
        <v>18</v>
      </c>
      <c r="C786" t="s">
        <v>6</v>
      </c>
      <c r="E786">
        <v>189000</v>
      </c>
      <c r="F786" t="s">
        <v>86</v>
      </c>
      <c r="G786" t="str" cm="1">
        <f t="array" ref="G786">_xlfn.LET(
    _xlpm.r, TRIM(B786),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86" t="str" cm="1">
        <f t="array" ref="H786">_xlfn.LET(
     _xlpm.r, TRIM(C786),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87" spans="1:8" x14ac:dyDescent="0.25">
      <c r="A787">
        <v>2022</v>
      </c>
      <c r="B787" t="s">
        <v>18</v>
      </c>
      <c r="C787" t="s">
        <v>6</v>
      </c>
      <c r="E787">
        <v>239000</v>
      </c>
      <c r="F787" t="s">
        <v>86</v>
      </c>
      <c r="G787" t="str" cm="1">
        <f t="array" ref="G787">_xlfn.LET(
    _xlpm.r, TRIM(B787),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87" t="str" cm="1">
        <f t="array" ref="H787">_xlfn.LET(
     _xlpm.r, TRIM(C787),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88" spans="1:8" x14ac:dyDescent="0.25">
      <c r="A788">
        <v>2022</v>
      </c>
      <c r="B788" t="s">
        <v>18</v>
      </c>
      <c r="C788" t="s">
        <v>6</v>
      </c>
      <c r="E788">
        <v>913000</v>
      </c>
      <c r="F788" t="s">
        <v>86</v>
      </c>
      <c r="G788" t="str" cm="1">
        <f t="array" ref="G788">_xlfn.LET(
    _xlpm.r, TRIM(B788),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88" t="str" cm="1">
        <f t="array" ref="H788">_xlfn.LET(
     _xlpm.r, TRIM(C788),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89" spans="1:8" x14ac:dyDescent="0.25">
      <c r="A789">
        <v>2022</v>
      </c>
      <c r="B789" t="s">
        <v>18</v>
      </c>
      <c r="C789" t="s">
        <v>6</v>
      </c>
      <c r="E789">
        <v>798500</v>
      </c>
      <c r="F789" t="s">
        <v>86</v>
      </c>
      <c r="G789" t="str" cm="1">
        <f t="array" ref="G789">_xlfn.LET(
    _xlpm.r, TRIM(B789),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89" t="str" cm="1">
        <f t="array" ref="H789">_xlfn.LET(
     _xlpm.r, TRIM(C789),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90" spans="1:8" x14ac:dyDescent="0.25">
      <c r="A790">
        <v>2022</v>
      </c>
      <c r="B790" t="s">
        <v>18</v>
      </c>
      <c r="C790" t="s">
        <v>19</v>
      </c>
      <c r="E790">
        <v>50000</v>
      </c>
      <c r="F790" t="s">
        <v>86</v>
      </c>
      <c r="G790" t="str" cm="1">
        <f t="array" ref="G790">_xlfn.LET(
    _xlpm.r, TRIM(B790),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90" t="str" cm="1">
        <f t="array" ref="H790">_xlfn.LET(
     _xlpm.r, TRIM(C790),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791" spans="1:8" x14ac:dyDescent="0.25">
      <c r="A791">
        <v>2022</v>
      </c>
      <c r="B791" t="s">
        <v>18</v>
      </c>
      <c r="C791" t="s">
        <v>8</v>
      </c>
      <c r="E791">
        <v>1820000</v>
      </c>
      <c r="F791" t="s">
        <v>86</v>
      </c>
      <c r="G791" t="str" cm="1">
        <f t="array" ref="G791">_xlfn.LET(
    _xlpm.r, TRIM(B791),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91" t="str" cm="1">
        <f t="array" ref="H791">_xlfn.LET(
     _xlpm.r, TRIM(C791),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92" spans="1:8" x14ac:dyDescent="0.25">
      <c r="A792">
        <v>2022</v>
      </c>
      <c r="B792" t="s">
        <v>18</v>
      </c>
      <c r="C792" t="s">
        <v>8</v>
      </c>
      <c r="E792">
        <v>1005000</v>
      </c>
      <c r="F792" t="s">
        <v>86</v>
      </c>
      <c r="G792" t="str" cm="1">
        <f t="array" ref="G792">_xlfn.LET(
    _xlpm.r, TRIM(B792),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92" t="str" cm="1">
        <f t="array" ref="H792">_xlfn.LET(
     _xlpm.r, TRIM(C792),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93" spans="1:8" x14ac:dyDescent="0.25">
      <c r="A793">
        <v>2022</v>
      </c>
      <c r="B793" t="s">
        <v>18</v>
      </c>
      <c r="C793" t="s">
        <v>8</v>
      </c>
      <c r="E793">
        <v>300000</v>
      </c>
      <c r="F793" t="s">
        <v>86</v>
      </c>
      <c r="G793" t="str" cm="1">
        <f t="array" ref="G793">_xlfn.LET(
    _xlpm.r, TRIM(B793),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793" t="str" cm="1">
        <f t="array" ref="H793">_xlfn.LET(
     _xlpm.r, TRIM(C793),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94" spans="1:8" x14ac:dyDescent="0.25">
      <c r="A794">
        <v>2022</v>
      </c>
      <c r="B794" t="s">
        <v>20</v>
      </c>
      <c r="C794" t="s">
        <v>5</v>
      </c>
      <c r="E794">
        <v>119214000</v>
      </c>
      <c r="F794" t="s">
        <v>87</v>
      </c>
      <c r="G794" t="str" cm="1">
        <f t="array" ref="G794">_xlfn.LET(
    _xlpm.r, TRIM(B794),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ديوان المحاسبة</v>
      </c>
      <c r="H794" t="str" cm="1">
        <f t="array" ref="H794">_xlfn.LET(
     _xlpm.r, TRIM(C794),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95" spans="1:8" x14ac:dyDescent="0.25">
      <c r="A795">
        <v>2022</v>
      </c>
      <c r="B795" t="s">
        <v>20</v>
      </c>
      <c r="C795" t="s">
        <v>6</v>
      </c>
      <c r="E795">
        <v>12000000</v>
      </c>
      <c r="F795" t="s">
        <v>87</v>
      </c>
      <c r="G795" t="str" cm="1">
        <f t="array" ref="G795">_xlfn.LET(
    _xlpm.r, TRIM(B795),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ديوان المحاسبة</v>
      </c>
      <c r="H795" t="str" cm="1">
        <f t="array" ref="H795">_xlfn.LET(
     _xlpm.r, TRIM(C795),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796" spans="1:8" x14ac:dyDescent="0.25">
      <c r="A796">
        <v>2022</v>
      </c>
      <c r="B796" t="s">
        <v>20</v>
      </c>
      <c r="C796" t="s">
        <v>8</v>
      </c>
      <c r="E796">
        <v>2500000</v>
      </c>
      <c r="F796" t="s">
        <v>87</v>
      </c>
      <c r="G796" t="str" cm="1">
        <f t="array" ref="G796">_xlfn.LET(
    _xlpm.r, TRIM(B796),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ديوان المحاسبة</v>
      </c>
      <c r="H796" t="str" cm="1">
        <f t="array" ref="H796">_xlfn.LET(
     _xlpm.r, TRIM(C796),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797" spans="1:8" x14ac:dyDescent="0.25">
      <c r="A797">
        <v>2022</v>
      </c>
      <c r="B797" t="s">
        <v>21</v>
      </c>
      <c r="C797" t="s">
        <v>5</v>
      </c>
      <c r="E797">
        <v>1471108</v>
      </c>
      <c r="F797" t="s">
        <v>88</v>
      </c>
      <c r="G797" t="str" cm="1">
        <f t="array" ref="G797">_xlfn.LET(
    _xlpm.r, TRIM(B797),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797" t="str" cm="1">
        <f t="array" ref="H797">_xlfn.LET(
     _xlpm.r, TRIM(C797),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98" spans="1:8" x14ac:dyDescent="0.25">
      <c r="A798">
        <v>2022</v>
      </c>
      <c r="B798" t="s">
        <v>21</v>
      </c>
      <c r="C798" t="s">
        <v>5</v>
      </c>
      <c r="E798">
        <v>73583928</v>
      </c>
      <c r="F798" t="s">
        <v>88</v>
      </c>
      <c r="G798" t="str" cm="1">
        <f t="array" ref="G798">_xlfn.LET(
    _xlpm.r, TRIM(B798),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798" t="str" cm="1">
        <f t="array" ref="H798">_xlfn.LET(
     _xlpm.r, TRIM(C798),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799" spans="1:8" x14ac:dyDescent="0.25">
      <c r="A799">
        <v>2022</v>
      </c>
      <c r="B799" t="s">
        <v>21</v>
      </c>
      <c r="C799" t="s">
        <v>5</v>
      </c>
      <c r="E799">
        <v>226556364</v>
      </c>
      <c r="F799" t="s">
        <v>88</v>
      </c>
      <c r="G799" t="str" cm="1">
        <f t="array" ref="G799">_xlfn.LET(
    _xlpm.r, TRIM(B799),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799" t="str" cm="1">
        <f t="array" ref="H799">_xlfn.LET(
     _xlpm.r, TRIM(C799),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00" spans="1:8" x14ac:dyDescent="0.25">
      <c r="A800">
        <v>2022</v>
      </c>
      <c r="B800" t="s">
        <v>21</v>
      </c>
      <c r="C800" t="s">
        <v>5</v>
      </c>
      <c r="E800">
        <v>39757704</v>
      </c>
      <c r="F800" t="s">
        <v>88</v>
      </c>
      <c r="G800" t="str" cm="1">
        <f t="array" ref="G800">_xlfn.LET(
    _xlpm.r, TRIM(B800),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00" t="str" cm="1">
        <f t="array" ref="H800">_xlfn.LET(
     _xlpm.r, TRIM(C800),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01" spans="1:8" x14ac:dyDescent="0.25">
      <c r="A801">
        <v>2022</v>
      </c>
      <c r="B801" t="s">
        <v>21</v>
      </c>
      <c r="C801" t="s">
        <v>5</v>
      </c>
      <c r="E801">
        <v>25953372</v>
      </c>
      <c r="F801" t="s">
        <v>88</v>
      </c>
      <c r="G801" t="str" cm="1">
        <f t="array" ref="G801">_xlfn.LET(
    _xlpm.r, TRIM(B801),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01" t="str" cm="1">
        <f t="array" ref="H801">_xlfn.LET(
     _xlpm.r, TRIM(C801),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02" spans="1:8" x14ac:dyDescent="0.25">
      <c r="A802">
        <v>2022</v>
      </c>
      <c r="B802" t="s">
        <v>21</v>
      </c>
      <c r="C802" t="s">
        <v>5</v>
      </c>
      <c r="E802">
        <v>21664452</v>
      </c>
      <c r="F802" t="s">
        <v>88</v>
      </c>
      <c r="G802" t="str" cm="1">
        <f t="array" ref="G802">_xlfn.LET(
    _xlpm.r, TRIM(B802),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02" t="str" cm="1">
        <f t="array" ref="H802">_xlfn.LET(
     _xlpm.r, TRIM(C802),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03" spans="1:8" x14ac:dyDescent="0.25">
      <c r="A803">
        <v>2022</v>
      </c>
      <c r="B803" t="s">
        <v>21</v>
      </c>
      <c r="C803" t="s">
        <v>5</v>
      </c>
      <c r="E803">
        <v>30899172</v>
      </c>
      <c r="F803" t="s">
        <v>88</v>
      </c>
      <c r="G803" t="str" cm="1">
        <f t="array" ref="G803">_xlfn.LET(
    _xlpm.r, TRIM(B803),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03" t="str" cm="1">
        <f t="array" ref="H803">_xlfn.LET(
     _xlpm.r, TRIM(C803),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04" spans="1:8" x14ac:dyDescent="0.25">
      <c r="A804">
        <v>2022</v>
      </c>
      <c r="B804" t="s">
        <v>21</v>
      </c>
      <c r="C804" t="s">
        <v>5</v>
      </c>
      <c r="E804">
        <v>11397480</v>
      </c>
      <c r="F804" t="s">
        <v>88</v>
      </c>
      <c r="G804" t="str" cm="1">
        <f t="array" ref="G804">_xlfn.LET(
    _xlpm.r, TRIM(B804),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04" t="str" cm="1">
        <f t="array" ref="H804">_xlfn.LET(
     _xlpm.r, TRIM(C804),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05" spans="1:8" x14ac:dyDescent="0.25">
      <c r="A805">
        <v>2022</v>
      </c>
      <c r="B805" t="s">
        <v>21</v>
      </c>
      <c r="C805" t="s">
        <v>5</v>
      </c>
      <c r="E805">
        <v>26107404</v>
      </c>
      <c r="F805" t="s">
        <v>88</v>
      </c>
      <c r="G805" t="str" cm="1">
        <f t="array" ref="G805">_xlfn.LET(
    _xlpm.r, TRIM(B805),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05" t="str" cm="1">
        <f t="array" ref="H805">_xlfn.LET(
     _xlpm.r, TRIM(C805),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06" spans="1:8" x14ac:dyDescent="0.25">
      <c r="A806">
        <v>2022</v>
      </c>
      <c r="B806" t="s">
        <v>21</v>
      </c>
      <c r="C806" t="s">
        <v>5</v>
      </c>
      <c r="E806">
        <v>3233016</v>
      </c>
      <c r="F806" t="s">
        <v>88</v>
      </c>
      <c r="G806" t="str" cm="1">
        <f t="array" ref="G806">_xlfn.LET(
    _xlpm.r, TRIM(B806),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06" t="str" cm="1">
        <f t="array" ref="H806">_xlfn.LET(
     _xlpm.r, TRIM(C806),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07" spans="1:8" x14ac:dyDescent="0.25">
      <c r="A807">
        <v>2022</v>
      </c>
      <c r="B807" t="s">
        <v>21</v>
      </c>
      <c r="C807" t="s">
        <v>6</v>
      </c>
      <c r="E807">
        <v>18809090</v>
      </c>
      <c r="F807" t="s">
        <v>88</v>
      </c>
      <c r="G807" t="str" cm="1">
        <f t="array" ref="G807">_xlfn.LET(
    _xlpm.r, TRIM(B807),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07" t="str" cm="1">
        <f t="array" ref="H807">_xlfn.LET(
     _xlpm.r, TRIM(C807),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08" spans="1:8" x14ac:dyDescent="0.25">
      <c r="A808">
        <v>2022</v>
      </c>
      <c r="B808" t="s">
        <v>21</v>
      </c>
      <c r="C808" t="s">
        <v>6</v>
      </c>
      <c r="E808">
        <v>92180998</v>
      </c>
      <c r="F808" t="s">
        <v>88</v>
      </c>
      <c r="G808" t="str" cm="1">
        <f t="array" ref="G808">_xlfn.LET(
    _xlpm.r, TRIM(B808),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08" t="str" cm="1">
        <f t="array" ref="H808">_xlfn.LET(
     _xlpm.r, TRIM(C808),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09" spans="1:8" x14ac:dyDescent="0.25">
      <c r="A809">
        <v>2022</v>
      </c>
      <c r="B809" t="s">
        <v>21</v>
      </c>
      <c r="C809" t="s">
        <v>6</v>
      </c>
      <c r="E809">
        <v>4565555</v>
      </c>
      <c r="F809" t="s">
        <v>88</v>
      </c>
      <c r="G809" t="str" cm="1">
        <f t="array" ref="G809">_xlfn.LET(
    _xlpm.r, TRIM(B809),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09" t="str" cm="1">
        <f t="array" ref="H809">_xlfn.LET(
     _xlpm.r, TRIM(C809),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10" spans="1:8" x14ac:dyDescent="0.25">
      <c r="A810">
        <v>2022</v>
      </c>
      <c r="B810" t="s">
        <v>21</v>
      </c>
      <c r="C810" t="s">
        <v>6</v>
      </c>
      <c r="E810">
        <v>1148670</v>
      </c>
      <c r="F810" t="s">
        <v>88</v>
      </c>
      <c r="G810" t="str" cm="1">
        <f t="array" ref="G810">_xlfn.LET(
    _xlpm.r, TRIM(B810),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10" t="str" cm="1">
        <f t="array" ref="H810">_xlfn.LET(
     _xlpm.r, TRIM(C810),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11" spans="1:8" x14ac:dyDescent="0.25">
      <c r="A811">
        <v>2022</v>
      </c>
      <c r="B811" t="s">
        <v>21</v>
      </c>
      <c r="C811" t="s">
        <v>6</v>
      </c>
      <c r="E811">
        <v>801670</v>
      </c>
      <c r="F811" t="s">
        <v>88</v>
      </c>
      <c r="G811" t="str" cm="1">
        <f t="array" ref="G811">_xlfn.LET(
    _xlpm.r, TRIM(B811),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11" t="str" cm="1">
        <f t="array" ref="H811">_xlfn.LET(
     _xlpm.r, TRIM(C811),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12" spans="1:8" x14ac:dyDescent="0.25">
      <c r="A812">
        <v>2022</v>
      </c>
      <c r="B812" t="s">
        <v>21</v>
      </c>
      <c r="C812" t="s">
        <v>6</v>
      </c>
      <c r="E812">
        <v>806670</v>
      </c>
      <c r="F812" t="s">
        <v>88</v>
      </c>
      <c r="G812" t="str" cm="1">
        <f t="array" ref="G812">_xlfn.LET(
    _xlpm.r, TRIM(B812),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12" t="str" cm="1">
        <f t="array" ref="H812">_xlfn.LET(
     _xlpm.r, TRIM(C812),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13" spans="1:8" x14ac:dyDescent="0.25">
      <c r="A813">
        <v>2022</v>
      </c>
      <c r="B813" t="s">
        <v>21</v>
      </c>
      <c r="C813" t="s">
        <v>6</v>
      </c>
      <c r="E813">
        <v>767347</v>
      </c>
      <c r="F813" t="s">
        <v>88</v>
      </c>
      <c r="G813" t="str" cm="1">
        <f t="array" ref="G813">_xlfn.LET(
    _xlpm.r, TRIM(B813),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13" t="str" cm="1">
        <f t="array" ref="H813">_xlfn.LET(
     _xlpm.r, TRIM(C813),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14" spans="1:8" x14ac:dyDescent="0.25">
      <c r="A814">
        <v>2022</v>
      </c>
      <c r="B814" t="s">
        <v>21</v>
      </c>
      <c r="C814" t="s">
        <v>8</v>
      </c>
      <c r="E814">
        <v>55005000</v>
      </c>
      <c r="F814" t="s">
        <v>88</v>
      </c>
      <c r="G814" t="str" cm="1">
        <f t="array" ref="G814">_xlfn.LET(
    _xlpm.r, TRIM(B814),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14" t="str" cm="1">
        <f t="array" ref="H814">_xlfn.LET(
     _xlpm.r, TRIM(C814),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15" spans="1:8" x14ac:dyDescent="0.25">
      <c r="A815">
        <v>2022</v>
      </c>
      <c r="B815" t="s">
        <v>21</v>
      </c>
      <c r="C815" t="s">
        <v>8</v>
      </c>
      <c r="E815">
        <v>1000</v>
      </c>
      <c r="F815" t="s">
        <v>88</v>
      </c>
      <c r="G815" t="str" cm="1">
        <f t="array" ref="G815">_xlfn.LET(
    _xlpm.r, TRIM(B815),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815" t="str" cm="1">
        <f t="array" ref="H815">_xlfn.LET(
     _xlpm.r, TRIM(C815),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16" spans="1:8" x14ac:dyDescent="0.25">
      <c r="A816">
        <v>2022</v>
      </c>
      <c r="B816" t="s">
        <v>22</v>
      </c>
      <c r="C816" t="s">
        <v>5</v>
      </c>
      <c r="E816">
        <v>880360</v>
      </c>
      <c r="F816" t="s">
        <v>89</v>
      </c>
      <c r="G816" t="str" cm="1">
        <f t="array" ref="G816">_xlfn.LET(
    _xlpm.r, TRIM(B816),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16" t="str" cm="1">
        <f t="array" ref="H816">_xlfn.LET(
     _xlpm.r, TRIM(C816),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17" spans="1:8" x14ac:dyDescent="0.25">
      <c r="A817">
        <v>2022</v>
      </c>
      <c r="B817" t="s">
        <v>22</v>
      </c>
      <c r="C817" t="s">
        <v>5</v>
      </c>
      <c r="E817">
        <v>302405118</v>
      </c>
      <c r="F817" t="s">
        <v>89</v>
      </c>
      <c r="G817" t="str" cm="1">
        <f t="array" ref="G817">_xlfn.LET(
    _xlpm.r, TRIM(B817),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17" t="str" cm="1">
        <f t="array" ref="H817">_xlfn.LET(
     _xlpm.r, TRIM(C817),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18" spans="1:8" x14ac:dyDescent="0.25">
      <c r="A818">
        <v>2022</v>
      </c>
      <c r="B818" t="s">
        <v>22</v>
      </c>
      <c r="C818" t="s">
        <v>5</v>
      </c>
      <c r="E818">
        <v>3873444</v>
      </c>
      <c r="F818" t="s">
        <v>89</v>
      </c>
      <c r="G818" t="str" cm="1">
        <f t="array" ref="G818">_xlfn.LET(
    _xlpm.r, TRIM(B818),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18" t="str" cm="1">
        <f t="array" ref="H818">_xlfn.LET(
     _xlpm.r, TRIM(C818),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19" spans="1:8" x14ac:dyDescent="0.25">
      <c r="A819">
        <v>2022</v>
      </c>
      <c r="B819" t="s">
        <v>22</v>
      </c>
      <c r="C819" t="s">
        <v>5</v>
      </c>
      <c r="E819">
        <v>229322344</v>
      </c>
      <c r="F819" t="s">
        <v>89</v>
      </c>
      <c r="G819" t="str" cm="1">
        <f t="array" ref="G819">_xlfn.LET(
    _xlpm.r, TRIM(B819),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19" t="str" cm="1">
        <f t="array" ref="H819">_xlfn.LET(
     _xlpm.r, TRIM(C819),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20" spans="1:8" x14ac:dyDescent="0.25">
      <c r="A820">
        <v>2022</v>
      </c>
      <c r="B820" t="s">
        <v>22</v>
      </c>
      <c r="C820" t="s">
        <v>5</v>
      </c>
      <c r="E820">
        <v>89920494</v>
      </c>
      <c r="F820" t="s">
        <v>89</v>
      </c>
      <c r="G820" t="str" cm="1">
        <f t="array" ref="G820">_xlfn.LET(
    _xlpm.r, TRIM(B820),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20" t="str" cm="1">
        <f t="array" ref="H820">_xlfn.LET(
     _xlpm.r, TRIM(C820),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21" spans="1:8" x14ac:dyDescent="0.25">
      <c r="A821">
        <v>2022</v>
      </c>
      <c r="B821" t="s">
        <v>22</v>
      </c>
      <c r="C821" t="s">
        <v>5</v>
      </c>
      <c r="E821">
        <v>83598432</v>
      </c>
      <c r="F821" t="s">
        <v>89</v>
      </c>
      <c r="G821" t="str" cm="1">
        <f t="array" ref="G821">_xlfn.LET(
    _xlpm.r, TRIM(B821),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21" t="str" cm="1">
        <f t="array" ref="H821">_xlfn.LET(
     _xlpm.r, TRIM(C821),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22" spans="1:8" x14ac:dyDescent="0.25">
      <c r="A822">
        <v>2022</v>
      </c>
      <c r="B822" t="s">
        <v>22</v>
      </c>
      <c r="C822" t="s">
        <v>5</v>
      </c>
      <c r="E822">
        <v>1106100</v>
      </c>
      <c r="F822" t="s">
        <v>89</v>
      </c>
      <c r="G822" t="str" cm="1">
        <f t="array" ref="G822">_xlfn.LET(
    _xlpm.r, TRIM(B822),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22" t="str" cm="1">
        <f t="array" ref="H822">_xlfn.LET(
     _xlpm.r, TRIM(C822),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23" spans="1:8" x14ac:dyDescent="0.25">
      <c r="A823">
        <v>2022</v>
      </c>
      <c r="B823" t="s">
        <v>22</v>
      </c>
      <c r="C823" t="s">
        <v>5</v>
      </c>
      <c r="E823">
        <v>30441708</v>
      </c>
      <c r="F823" t="s">
        <v>89</v>
      </c>
      <c r="G823" t="str" cm="1">
        <f t="array" ref="G823">_xlfn.LET(
    _xlpm.r, TRIM(B823),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23" t="str" cm="1">
        <f t="array" ref="H823">_xlfn.LET(
     _xlpm.r, TRIM(C823),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24" spans="1:8" x14ac:dyDescent="0.25">
      <c r="A824">
        <v>2022</v>
      </c>
      <c r="B824" t="s">
        <v>22</v>
      </c>
      <c r="C824" t="s">
        <v>6</v>
      </c>
      <c r="E824">
        <v>128856400</v>
      </c>
      <c r="F824" t="s">
        <v>89</v>
      </c>
      <c r="G824" t="str" cm="1">
        <f t="array" ref="G824">_xlfn.LET(
    _xlpm.r, TRIM(B824),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24" t="str" cm="1">
        <f t="array" ref="H824">_xlfn.LET(
     _xlpm.r, TRIM(C824),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25" spans="1:8" x14ac:dyDescent="0.25">
      <c r="A825">
        <v>2022</v>
      </c>
      <c r="B825" t="s">
        <v>22</v>
      </c>
      <c r="C825" t="s">
        <v>6</v>
      </c>
      <c r="E825">
        <v>5071600</v>
      </c>
      <c r="F825" t="s">
        <v>89</v>
      </c>
      <c r="G825" t="str" cm="1">
        <f t="array" ref="G825">_xlfn.LET(
    _xlpm.r, TRIM(B825),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25" t="str" cm="1">
        <f t="array" ref="H825">_xlfn.LET(
     _xlpm.r, TRIM(C825),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26" spans="1:8" x14ac:dyDescent="0.25">
      <c r="A826">
        <v>2022</v>
      </c>
      <c r="B826" t="s">
        <v>22</v>
      </c>
      <c r="C826" t="s">
        <v>6</v>
      </c>
      <c r="E826">
        <v>1780000</v>
      </c>
      <c r="F826" t="s">
        <v>89</v>
      </c>
      <c r="G826" t="str" cm="1">
        <f t="array" ref="G826">_xlfn.LET(
    _xlpm.r, TRIM(B826),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26" t="str" cm="1">
        <f t="array" ref="H826">_xlfn.LET(
     _xlpm.r, TRIM(C826),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27" spans="1:8" x14ac:dyDescent="0.25">
      <c r="A827">
        <v>2022</v>
      </c>
      <c r="B827" t="s">
        <v>22</v>
      </c>
      <c r="C827" t="s">
        <v>19</v>
      </c>
      <c r="E827">
        <v>159000</v>
      </c>
      <c r="F827" t="s">
        <v>89</v>
      </c>
      <c r="G827" t="str" cm="1">
        <f t="array" ref="G827">_xlfn.LET(
    _xlpm.r, TRIM(B827),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27" t="str" cm="1">
        <f t="array" ref="H827">_xlfn.LET(
     _xlpm.r, TRIM(C827),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828" spans="1:8" x14ac:dyDescent="0.25">
      <c r="A828">
        <v>2022</v>
      </c>
      <c r="B828" t="s">
        <v>22</v>
      </c>
      <c r="C828" t="s">
        <v>8</v>
      </c>
      <c r="E828">
        <v>650000</v>
      </c>
      <c r="F828" t="s">
        <v>89</v>
      </c>
      <c r="G828" t="str" cm="1">
        <f t="array" ref="G828">_xlfn.LET(
    _xlpm.r, TRIM(B828),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28" t="str" cm="1">
        <f t="array" ref="H828">_xlfn.LET(
     _xlpm.r, TRIM(C828),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29" spans="1:8" x14ac:dyDescent="0.25">
      <c r="A829">
        <v>2022</v>
      </c>
      <c r="B829" t="s">
        <v>22</v>
      </c>
      <c r="C829" t="s">
        <v>8</v>
      </c>
      <c r="E829">
        <v>7215000</v>
      </c>
      <c r="F829" t="s">
        <v>89</v>
      </c>
      <c r="G829" t="str" cm="1">
        <f t="array" ref="G829">_xlfn.LET(
    _xlpm.r, TRIM(B829),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29" t="str" cm="1">
        <f t="array" ref="H829">_xlfn.LET(
     _xlpm.r, TRIM(C829),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30" spans="1:8" x14ac:dyDescent="0.25">
      <c r="A830">
        <v>2022</v>
      </c>
      <c r="B830" t="s">
        <v>22</v>
      </c>
      <c r="C830" t="s">
        <v>8</v>
      </c>
      <c r="E830">
        <v>60000</v>
      </c>
      <c r="F830" t="s">
        <v>89</v>
      </c>
      <c r="G830" t="str" cm="1">
        <f t="array" ref="G830">_xlfn.LET(
    _xlpm.r, TRIM(B830),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30" t="str" cm="1">
        <f t="array" ref="H830">_xlfn.LET(
     _xlpm.r, TRIM(C830),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31" spans="1:8" x14ac:dyDescent="0.25">
      <c r="A831">
        <v>2022</v>
      </c>
      <c r="B831" t="s">
        <v>22</v>
      </c>
      <c r="C831" t="s">
        <v>8</v>
      </c>
      <c r="E831">
        <v>16500000</v>
      </c>
      <c r="F831" t="s">
        <v>89</v>
      </c>
      <c r="G831" t="str" cm="1">
        <f t="array" ref="G831">_xlfn.LET(
    _xlpm.r, TRIM(B831),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831" t="str" cm="1">
        <f t="array" ref="H831">_xlfn.LET(
     _xlpm.r, TRIM(C831),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32" spans="1:8" x14ac:dyDescent="0.25">
      <c r="A832">
        <v>2022</v>
      </c>
      <c r="B832" t="s">
        <v>23</v>
      </c>
      <c r="C832" t="s">
        <v>5</v>
      </c>
      <c r="E832">
        <v>274797</v>
      </c>
      <c r="F832" t="s">
        <v>90</v>
      </c>
      <c r="G832" t="str" cm="1">
        <f t="array" ref="G832">_xlfn.LET(
    _xlpm.r, TRIM(B832),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32" t="str" cm="1">
        <f t="array" ref="H832">_xlfn.LET(
     _xlpm.r, TRIM(C832),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33" spans="1:8" x14ac:dyDescent="0.25">
      <c r="A833">
        <v>2022</v>
      </c>
      <c r="B833" t="s">
        <v>23</v>
      </c>
      <c r="C833" t="s">
        <v>5</v>
      </c>
      <c r="E833">
        <v>17002140</v>
      </c>
      <c r="F833" t="s">
        <v>90</v>
      </c>
      <c r="G833" t="str" cm="1">
        <f t="array" ref="G833">_xlfn.LET(
    _xlpm.r, TRIM(B833),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33" t="str" cm="1">
        <f t="array" ref="H833">_xlfn.LET(
     _xlpm.r, TRIM(C833),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34" spans="1:8" x14ac:dyDescent="0.25">
      <c r="A834">
        <v>2022</v>
      </c>
      <c r="B834" t="s">
        <v>23</v>
      </c>
      <c r="C834" t="s">
        <v>5</v>
      </c>
      <c r="E834">
        <v>116081459</v>
      </c>
      <c r="F834" t="s">
        <v>90</v>
      </c>
      <c r="G834" t="str" cm="1">
        <f t="array" ref="G834">_xlfn.LET(
    _xlpm.r, TRIM(B834),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34" t="str" cm="1">
        <f t="array" ref="H834">_xlfn.LET(
     _xlpm.r, TRIM(C834),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35" spans="1:8" x14ac:dyDescent="0.25">
      <c r="A835">
        <v>2022</v>
      </c>
      <c r="B835" t="s">
        <v>23</v>
      </c>
      <c r="C835" t="s">
        <v>5</v>
      </c>
      <c r="E835">
        <v>13930956</v>
      </c>
      <c r="F835" t="s">
        <v>90</v>
      </c>
      <c r="G835" t="str" cm="1">
        <f t="array" ref="G835">_xlfn.LET(
    _xlpm.r, TRIM(B835),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35" t="str" cm="1">
        <f t="array" ref="H835">_xlfn.LET(
     _xlpm.r, TRIM(C835),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36" spans="1:8" x14ac:dyDescent="0.25">
      <c r="A836">
        <v>2022</v>
      </c>
      <c r="B836" t="s">
        <v>23</v>
      </c>
      <c r="C836" t="s">
        <v>5</v>
      </c>
      <c r="E836">
        <v>2788356</v>
      </c>
      <c r="F836" t="s">
        <v>90</v>
      </c>
      <c r="G836" t="str" cm="1">
        <f t="array" ref="G836">_xlfn.LET(
    _xlpm.r, TRIM(B836),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36" t="str" cm="1">
        <f t="array" ref="H836">_xlfn.LET(
     _xlpm.r, TRIM(C836),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37" spans="1:8" x14ac:dyDescent="0.25">
      <c r="A837">
        <v>2022</v>
      </c>
      <c r="B837" t="s">
        <v>23</v>
      </c>
      <c r="C837" t="s">
        <v>5</v>
      </c>
      <c r="E837">
        <v>14478192</v>
      </c>
      <c r="F837" t="s">
        <v>90</v>
      </c>
      <c r="G837" t="str" cm="1">
        <f t="array" ref="G837">_xlfn.LET(
    _xlpm.r, TRIM(B837),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37" t="str" cm="1">
        <f t="array" ref="H837">_xlfn.LET(
     _xlpm.r, TRIM(C837),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38" spans="1:8" x14ac:dyDescent="0.25">
      <c r="A838">
        <v>2022</v>
      </c>
      <c r="B838" t="s">
        <v>23</v>
      </c>
      <c r="C838" t="s">
        <v>5</v>
      </c>
      <c r="E838">
        <v>11416932</v>
      </c>
      <c r="F838" t="s">
        <v>90</v>
      </c>
      <c r="G838" t="str" cm="1">
        <f t="array" ref="G838">_xlfn.LET(
    _xlpm.r, TRIM(B838),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38" t="str" cm="1">
        <f t="array" ref="H838">_xlfn.LET(
     _xlpm.r, TRIM(C838),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39" spans="1:8" x14ac:dyDescent="0.25">
      <c r="A839">
        <v>2022</v>
      </c>
      <c r="B839" t="s">
        <v>23</v>
      </c>
      <c r="C839" t="s">
        <v>5</v>
      </c>
      <c r="E839">
        <v>6510168</v>
      </c>
      <c r="F839" t="s">
        <v>90</v>
      </c>
      <c r="G839" t="str" cm="1">
        <f t="array" ref="G839">_xlfn.LET(
    _xlpm.r, TRIM(B839),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39" t="str" cm="1">
        <f t="array" ref="H839">_xlfn.LET(
     _xlpm.r, TRIM(C839),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40" spans="1:8" x14ac:dyDescent="0.25">
      <c r="A840">
        <v>2022</v>
      </c>
      <c r="B840" t="s">
        <v>23</v>
      </c>
      <c r="C840" t="s">
        <v>6</v>
      </c>
      <c r="E840">
        <v>62100000</v>
      </c>
      <c r="F840" t="s">
        <v>90</v>
      </c>
      <c r="G840" t="str" cm="1">
        <f t="array" ref="G840">_xlfn.LET(
    _xlpm.r, TRIM(B840),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40" t="str" cm="1">
        <f t="array" ref="H840">_xlfn.LET(
     _xlpm.r, TRIM(C840),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41" spans="1:8" x14ac:dyDescent="0.25">
      <c r="A841">
        <v>2022</v>
      </c>
      <c r="B841" t="s">
        <v>23</v>
      </c>
      <c r="C841" t="s">
        <v>6</v>
      </c>
      <c r="E841">
        <v>4405000</v>
      </c>
      <c r="F841" t="s">
        <v>90</v>
      </c>
      <c r="G841" t="str" cm="1">
        <f t="array" ref="G841">_xlfn.LET(
    _xlpm.r, TRIM(B841),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41" t="str" cm="1">
        <f t="array" ref="H841">_xlfn.LET(
     _xlpm.r, TRIM(C841),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42" spans="1:8" x14ac:dyDescent="0.25">
      <c r="A842">
        <v>2022</v>
      </c>
      <c r="B842" t="s">
        <v>23</v>
      </c>
      <c r="C842" t="s">
        <v>6</v>
      </c>
      <c r="E842">
        <v>5000</v>
      </c>
      <c r="F842" t="s">
        <v>90</v>
      </c>
      <c r="G842" t="str" cm="1">
        <f t="array" ref="G842">_xlfn.LET(
    _xlpm.r, TRIM(B842),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42" t="str" cm="1">
        <f t="array" ref="H842">_xlfn.LET(
     _xlpm.r, TRIM(C842),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43" spans="1:8" x14ac:dyDescent="0.25">
      <c r="A843">
        <v>2022</v>
      </c>
      <c r="B843" t="s">
        <v>23</v>
      </c>
      <c r="C843" t="s">
        <v>6</v>
      </c>
      <c r="E843">
        <v>5000</v>
      </c>
      <c r="F843" t="s">
        <v>90</v>
      </c>
      <c r="G843" t="str" cm="1">
        <f t="array" ref="G843">_xlfn.LET(
    _xlpm.r, TRIM(B843),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43" t="str" cm="1">
        <f t="array" ref="H843">_xlfn.LET(
     _xlpm.r, TRIM(C843),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44" spans="1:8" x14ac:dyDescent="0.25">
      <c r="A844">
        <v>2022</v>
      </c>
      <c r="B844" t="s">
        <v>23</v>
      </c>
      <c r="C844" t="s">
        <v>6</v>
      </c>
      <c r="E844">
        <v>391000</v>
      </c>
      <c r="F844" t="s">
        <v>90</v>
      </c>
      <c r="G844" t="str" cm="1">
        <f t="array" ref="G844">_xlfn.LET(
    _xlpm.r, TRIM(B844),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44" t="str" cm="1">
        <f t="array" ref="H844">_xlfn.LET(
     _xlpm.r, TRIM(C844),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45" spans="1:8" x14ac:dyDescent="0.25">
      <c r="A845">
        <v>2022</v>
      </c>
      <c r="B845" t="s">
        <v>23</v>
      </c>
      <c r="C845" t="s">
        <v>7</v>
      </c>
      <c r="E845">
        <v>11780000</v>
      </c>
      <c r="F845" t="s">
        <v>90</v>
      </c>
      <c r="G845" t="str" cm="1">
        <f t="array" ref="G845">_xlfn.LET(
    _xlpm.r, TRIM(B845),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45" t="str" cm="1">
        <f t="array" ref="H845">_xlfn.LET(
     _xlpm.r, TRIM(C845),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846" spans="1:8" x14ac:dyDescent="0.25">
      <c r="A846">
        <v>2022</v>
      </c>
      <c r="B846" t="s">
        <v>23</v>
      </c>
      <c r="C846" t="s">
        <v>8</v>
      </c>
      <c r="E846">
        <v>3890000</v>
      </c>
      <c r="F846" t="s">
        <v>90</v>
      </c>
      <c r="G846" t="str" cm="1">
        <f t="array" ref="G846">_xlfn.LET(
    _xlpm.r, TRIM(B846),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46" t="str" cm="1">
        <f t="array" ref="H846">_xlfn.LET(
     _xlpm.r, TRIM(C846),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47" spans="1:8" x14ac:dyDescent="0.25">
      <c r="A847">
        <v>2022</v>
      </c>
      <c r="B847" t="s">
        <v>23</v>
      </c>
      <c r="C847" t="s">
        <v>8</v>
      </c>
      <c r="E847">
        <v>400000</v>
      </c>
      <c r="F847" t="s">
        <v>90</v>
      </c>
      <c r="G847" t="str" cm="1">
        <f t="array" ref="G847">_xlfn.LET(
    _xlpm.r, TRIM(B847),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847" t="str" cm="1">
        <f t="array" ref="H847">_xlfn.LET(
     _xlpm.r, TRIM(C847),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48" spans="1:8" x14ac:dyDescent="0.25">
      <c r="A848">
        <v>2022</v>
      </c>
      <c r="B848" t="s">
        <v>24</v>
      </c>
      <c r="C848" t="s">
        <v>5</v>
      </c>
      <c r="E848">
        <v>336504</v>
      </c>
      <c r="F848" t="s">
        <v>91</v>
      </c>
      <c r="G848" t="str" cm="1">
        <f t="array" ref="G848">_xlfn.LET(
    _xlpm.r, TRIM(B848),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48" t="str" cm="1">
        <f t="array" ref="H848">_xlfn.LET(
     _xlpm.r, TRIM(C848),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49" spans="1:8" x14ac:dyDescent="0.25">
      <c r="A849">
        <v>2022</v>
      </c>
      <c r="B849" t="s">
        <v>24</v>
      </c>
      <c r="C849" t="s">
        <v>5</v>
      </c>
      <c r="E849">
        <v>30796145</v>
      </c>
      <c r="F849" t="s">
        <v>91</v>
      </c>
      <c r="G849" t="str" cm="1">
        <f t="array" ref="G849">_xlfn.LET(
    _xlpm.r, TRIM(B849),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49" t="str" cm="1">
        <f t="array" ref="H849">_xlfn.LET(
     _xlpm.r, TRIM(C849),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50" spans="1:8" x14ac:dyDescent="0.25">
      <c r="A850">
        <v>2022</v>
      </c>
      <c r="B850" t="s">
        <v>24</v>
      </c>
      <c r="C850" t="s">
        <v>5</v>
      </c>
      <c r="E850">
        <v>106334191</v>
      </c>
      <c r="F850" t="s">
        <v>91</v>
      </c>
      <c r="G850" t="str" cm="1">
        <f t="array" ref="G850">_xlfn.LET(
    _xlpm.r, TRIM(B850),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50" t="str" cm="1">
        <f t="array" ref="H850">_xlfn.LET(
     _xlpm.r, TRIM(C850),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51" spans="1:8" x14ac:dyDescent="0.25">
      <c r="A851">
        <v>2022</v>
      </c>
      <c r="B851" t="s">
        <v>24</v>
      </c>
      <c r="C851" t="s">
        <v>5</v>
      </c>
      <c r="E851">
        <v>9996824</v>
      </c>
      <c r="F851" t="s">
        <v>91</v>
      </c>
      <c r="G851" t="str" cm="1">
        <f t="array" ref="G851">_xlfn.LET(
    _xlpm.r, TRIM(B851),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51" t="str" cm="1">
        <f t="array" ref="H851">_xlfn.LET(
     _xlpm.r, TRIM(C851),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52" spans="1:8" x14ac:dyDescent="0.25">
      <c r="A852">
        <v>2022</v>
      </c>
      <c r="B852" t="s">
        <v>24</v>
      </c>
      <c r="C852" t="s">
        <v>5</v>
      </c>
      <c r="E852">
        <v>17696580</v>
      </c>
      <c r="F852" t="s">
        <v>91</v>
      </c>
      <c r="G852" t="str" cm="1">
        <f t="array" ref="G852">_xlfn.LET(
    _xlpm.r, TRIM(B852),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52" t="str" cm="1">
        <f t="array" ref="H852">_xlfn.LET(
     _xlpm.r, TRIM(C852),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53" spans="1:8" x14ac:dyDescent="0.25">
      <c r="A853">
        <v>2022</v>
      </c>
      <c r="B853" t="s">
        <v>24</v>
      </c>
      <c r="C853" t="s">
        <v>5</v>
      </c>
      <c r="E853">
        <v>28881256</v>
      </c>
      <c r="F853" t="s">
        <v>91</v>
      </c>
      <c r="G853" t="str" cm="1">
        <f t="array" ref="G853">_xlfn.LET(
    _xlpm.r, TRIM(B853),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53" t="str" cm="1">
        <f t="array" ref="H853">_xlfn.LET(
     _xlpm.r, TRIM(C853),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54" spans="1:8" x14ac:dyDescent="0.25">
      <c r="A854">
        <v>2022</v>
      </c>
      <c r="B854" t="s">
        <v>24</v>
      </c>
      <c r="C854" t="s">
        <v>5</v>
      </c>
      <c r="E854">
        <v>30080492</v>
      </c>
      <c r="F854" t="s">
        <v>91</v>
      </c>
      <c r="G854" t="str" cm="1">
        <f t="array" ref="G854">_xlfn.LET(
    _xlpm.r, TRIM(B854),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54" t="str" cm="1">
        <f t="array" ref="H854">_xlfn.LET(
     _xlpm.r, TRIM(C854),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55" spans="1:8" x14ac:dyDescent="0.25">
      <c r="A855">
        <v>2022</v>
      </c>
      <c r="B855" t="s">
        <v>24</v>
      </c>
      <c r="C855" t="s">
        <v>5</v>
      </c>
      <c r="E855">
        <v>8774008</v>
      </c>
      <c r="F855" t="s">
        <v>91</v>
      </c>
      <c r="G855" t="str" cm="1">
        <f t="array" ref="G855">_xlfn.LET(
    _xlpm.r, TRIM(B855),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55" t="str" cm="1">
        <f t="array" ref="H855">_xlfn.LET(
     _xlpm.r, TRIM(C855),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56" spans="1:8" x14ac:dyDescent="0.25">
      <c r="A856">
        <v>2022</v>
      </c>
      <c r="B856" t="s">
        <v>24</v>
      </c>
      <c r="C856" t="s">
        <v>6</v>
      </c>
      <c r="E856">
        <v>1355000</v>
      </c>
      <c r="F856" t="s">
        <v>91</v>
      </c>
      <c r="G856" t="str" cm="1">
        <f t="array" ref="G856">_xlfn.LET(
    _xlpm.r, TRIM(B856),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56" t="str" cm="1">
        <f t="array" ref="H856">_xlfn.LET(
     _xlpm.r, TRIM(C856),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57" spans="1:8" x14ac:dyDescent="0.25">
      <c r="A857">
        <v>2022</v>
      </c>
      <c r="B857" t="s">
        <v>24</v>
      </c>
      <c r="C857" t="s">
        <v>6</v>
      </c>
      <c r="E857">
        <v>48418000</v>
      </c>
      <c r="F857" t="s">
        <v>91</v>
      </c>
      <c r="G857" t="str" cm="1">
        <f t="array" ref="G857">_xlfn.LET(
    _xlpm.r, TRIM(B857),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57" t="str" cm="1">
        <f t="array" ref="H857">_xlfn.LET(
     _xlpm.r, TRIM(C857),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58" spans="1:8" x14ac:dyDescent="0.25">
      <c r="A858">
        <v>2022</v>
      </c>
      <c r="B858" t="s">
        <v>24</v>
      </c>
      <c r="C858" t="s">
        <v>6</v>
      </c>
      <c r="E858">
        <v>1044000</v>
      </c>
      <c r="F858" t="s">
        <v>91</v>
      </c>
      <c r="G858" t="str" cm="1">
        <f t="array" ref="G858">_xlfn.LET(
    _xlpm.r, TRIM(B858),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58" t="str" cm="1">
        <f t="array" ref="H858">_xlfn.LET(
     _xlpm.r, TRIM(C858),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59" spans="1:8" x14ac:dyDescent="0.25">
      <c r="A859">
        <v>2022</v>
      </c>
      <c r="B859" t="s">
        <v>24</v>
      </c>
      <c r="C859" t="s">
        <v>6</v>
      </c>
      <c r="E859">
        <v>3499000</v>
      </c>
      <c r="F859" t="s">
        <v>91</v>
      </c>
      <c r="G859" t="str" cm="1">
        <f t="array" ref="G859">_xlfn.LET(
    _xlpm.r, TRIM(B859),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59" t="str" cm="1">
        <f t="array" ref="H859">_xlfn.LET(
     _xlpm.r, TRIM(C859),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60" spans="1:8" x14ac:dyDescent="0.25">
      <c r="A860">
        <v>2022</v>
      </c>
      <c r="B860" t="s">
        <v>24</v>
      </c>
      <c r="C860" t="s">
        <v>6</v>
      </c>
      <c r="E860">
        <v>865000</v>
      </c>
      <c r="F860" t="s">
        <v>91</v>
      </c>
      <c r="G860" t="str" cm="1">
        <f t="array" ref="G860">_xlfn.LET(
    _xlpm.r, TRIM(B860),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60" t="str" cm="1">
        <f t="array" ref="H860">_xlfn.LET(
     _xlpm.r, TRIM(C860),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61" spans="1:8" x14ac:dyDescent="0.25">
      <c r="A861">
        <v>2022</v>
      </c>
      <c r="B861" t="s">
        <v>24</v>
      </c>
      <c r="C861" t="s">
        <v>6</v>
      </c>
      <c r="E861">
        <v>610000</v>
      </c>
      <c r="F861" t="s">
        <v>91</v>
      </c>
      <c r="G861" t="str" cm="1">
        <f t="array" ref="G861">_xlfn.LET(
    _xlpm.r, TRIM(B861),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61" t="str" cm="1">
        <f t="array" ref="H861">_xlfn.LET(
     _xlpm.r, TRIM(C861),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62" spans="1:8" x14ac:dyDescent="0.25">
      <c r="A862">
        <v>2022</v>
      </c>
      <c r="B862" t="s">
        <v>24</v>
      </c>
      <c r="C862" t="s">
        <v>6</v>
      </c>
      <c r="E862">
        <v>81000</v>
      </c>
      <c r="F862" t="s">
        <v>91</v>
      </c>
      <c r="G862" t="str" cm="1">
        <f t="array" ref="G862">_xlfn.LET(
    _xlpm.r, TRIM(B862),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62" t="str" cm="1">
        <f t="array" ref="H862">_xlfn.LET(
     _xlpm.r, TRIM(C862),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63" spans="1:8" x14ac:dyDescent="0.25">
      <c r="A863">
        <v>2022</v>
      </c>
      <c r="B863" t="s">
        <v>24</v>
      </c>
      <c r="C863" t="s">
        <v>7</v>
      </c>
      <c r="E863">
        <v>980685000</v>
      </c>
      <c r="F863" t="s">
        <v>91</v>
      </c>
      <c r="G863" t="str" cm="1">
        <f t="array" ref="G863">_xlfn.LET(
    _xlpm.r, TRIM(B863),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63" t="str" cm="1">
        <f t="array" ref="H863">_xlfn.LET(
     _xlpm.r, TRIM(C863),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864" spans="1:8" x14ac:dyDescent="0.25">
      <c r="A864">
        <v>2022</v>
      </c>
      <c r="B864" t="s">
        <v>24</v>
      </c>
      <c r="C864" t="s">
        <v>7</v>
      </c>
      <c r="E864">
        <v>521140000</v>
      </c>
      <c r="F864" t="s">
        <v>91</v>
      </c>
      <c r="G864" t="str" cm="1">
        <f t="array" ref="G864">_xlfn.LET(
    _xlpm.r, TRIM(B864),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64" t="str" cm="1">
        <f t="array" ref="H864">_xlfn.LET(
     _xlpm.r, TRIM(C864),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865" spans="1:8" x14ac:dyDescent="0.25">
      <c r="A865">
        <v>2022</v>
      </c>
      <c r="B865" t="s">
        <v>24</v>
      </c>
      <c r="C865" t="s">
        <v>7</v>
      </c>
      <c r="E865">
        <v>529400000</v>
      </c>
      <c r="F865" t="s">
        <v>91</v>
      </c>
      <c r="G865" t="str" cm="1">
        <f t="array" ref="G865">_xlfn.LET(
    _xlpm.r, TRIM(B865),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65" t="str" cm="1">
        <f t="array" ref="H865">_xlfn.LET(
     _xlpm.r, TRIM(C865),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866" spans="1:8" x14ac:dyDescent="0.25">
      <c r="A866">
        <v>2022</v>
      </c>
      <c r="B866" t="s">
        <v>24</v>
      </c>
      <c r="C866" t="s">
        <v>7</v>
      </c>
      <c r="E866">
        <v>151300000</v>
      </c>
      <c r="F866" t="s">
        <v>91</v>
      </c>
      <c r="G866" t="str" cm="1">
        <f t="array" ref="G866">_xlfn.LET(
    _xlpm.r, TRIM(B866),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66" t="str" cm="1">
        <f t="array" ref="H866">_xlfn.LET(
     _xlpm.r, TRIM(C866),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867" spans="1:8" x14ac:dyDescent="0.25">
      <c r="A867">
        <v>2022</v>
      </c>
      <c r="B867" t="s">
        <v>24</v>
      </c>
      <c r="C867" t="s">
        <v>7</v>
      </c>
      <c r="E867">
        <v>318500000</v>
      </c>
      <c r="F867" t="s">
        <v>91</v>
      </c>
      <c r="G867" t="str" cm="1">
        <f t="array" ref="G867">_xlfn.LET(
    _xlpm.r, TRIM(B867),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67" t="str" cm="1">
        <f t="array" ref="H867">_xlfn.LET(
     _xlpm.r, TRIM(C867),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868" spans="1:8" x14ac:dyDescent="0.25">
      <c r="A868">
        <v>2022</v>
      </c>
      <c r="B868" t="s">
        <v>24</v>
      </c>
      <c r="C868" t="s">
        <v>7</v>
      </c>
      <c r="E868">
        <v>352533000</v>
      </c>
      <c r="F868" t="s">
        <v>91</v>
      </c>
      <c r="G868" t="str" cm="1">
        <f t="array" ref="G868">_xlfn.LET(
    _xlpm.r, TRIM(B868),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68" t="str" cm="1">
        <f t="array" ref="H868">_xlfn.LET(
     _xlpm.r, TRIM(C868),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869" spans="1:8" x14ac:dyDescent="0.25">
      <c r="A869">
        <v>2022</v>
      </c>
      <c r="B869" t="s">
        <v>24</v>
      </c>
      <c r="C869" t="s">
        <v>7</v>
      </c>
      <c r="E869">
        <v>68350000</v>
      </c>
      <c r="F869" t="s">
        <v>91</v>
      </c>
      <c r="G869" t="str" cm="1">
        <f t="array" ref="G869">_xlfn.LET(
    _xlpm.r, TRIM(B869),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69" t="str" cm="1">
        <f t="array" ref="H869">_xlfn.LET(
     _xlpm.r, TRIM(C869),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870" spans="1:8" x14ac:dyDescent="0.25">
      <c r="A870">
        <v>2022</v>
      </c>
      <c r="B870" t="s">
        <v>24</v>
      </c>
      <c r="C870" t="s">
        <v>8</v>
      </c>
      <c r="E870">
        <v>2867000</v>
      </c>
      <c r="F870" t="s">
        <v>91</v>
      </c>
      <c r="G870" t="str" cm="1">
        <f t="array" ref="G870">_xlfn.LET(
    _xlpm.r, TRIM(B870),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70" t="str" cm="1">
        <f t="array" ref="H870">_xlfn.LET(
     _xlpm.r, TRIM(C870),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71" spans="1:8" x14ac:dyDescent="0.25">
      <c r="A871">
        <v>2022</v>
      </c>
      <c r="B871" t="s">
        <v>24</v>
      </c>
      <c r="C871" t="s">
        <v>8</v>
      </c>
      <c r="E871">
        <v>9000000</v>
      </c>
      <c r="F871" t="s">
        <v>91</v>
      </c>
      <c r="G871" t="str" cm="1">
        <f t="array" ref="G871">_xlfn.LET(
    _xlpm.r, TRIM(B871),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71" t="str" cm="1">
        <f t="array" ref="H871">_xlfn.LET(
     _xlpm.r, TRIM(C871),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72" spans="1:8" x14ac:dyDescent="0.25">
      <c r="A872">
        <v>2022</v>
      </c>
      <c r="B872" t="s">
        <v>24</v>
      </c>
      <c r="C872" t="s">
        <v>8</v>
      </c>
      <c r="E872">
        <v>50000</v>
      </c>
      <c r="F872" t="s">
        <v>91</v>
      </c>
      <c r="G872" t="str" cm="1">
        <f t="array" ref="G872">_xlfn.LET(
    _xlpm.r, TRIM(B872),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72" t="str" cm="1">
        <f t="array" ref="H872">_xlfn.LET(
     _xlpm.r, TRIM(C872),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73" spans="1:8" x14ac:dyDescent="0.25">
      <c r="A873">
        <v>2022</v>
      </c>
      <c r="B873" t="s">
        <v>24</v>
      </c>
      <c r="C873" t="s">
        <v>8</v>
      </c>
      <c r="E873">
        <v>0</v>
      </c>
      <c r="F873" t="s">
        <v>91</v>
      </c>
      <c r="G873" t="str" cm="1">
        <f t="array" ref="G873">_xlfn.LET(
    _xlpm.r, TRIM(B873),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73" t="str" cm="1">
        <f t="array" ref="H873">_xlfn.LET(
     _xlpm.r, TRIM(C873),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74" spans="1:8" x14ac:dyDescent="0.25">
      <c r="A874">
        <v>2022</v>
      </c>
      <c r="B874" t="s">
        <v>24</v>
      </c>
      <c r="C874" t="s">
        <v>8</v>
      </c>
      <c r="E874">
        <v>0</v>
      </c>
      <c r="F874" t="s">
        <v>91</v>
      </c>
      <c r="G874" t="str" cm="1">
        <f t="array" ref="G874">_xlfn.LET(
    _xlpm.r, TRIM(B874),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874" t="str" cm="1">
        <f t="array" ref="H874">_xlfn.LET(
     _xlpm.r, TRIM(C874),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75" spans="1:8" x14ac:dyDescent="0.25">
      <c r="A875">
        <v>2022</v>
      </c>
      <c r="B875" t="s">
        <v>25</v>
      </c>
      <c r="C875" t="s">
        <v>5</v>
      </c>
      <c r="E875">
        <v>2350982</v>
      </c>
      <c r="F875" t="s">
        <v>92</v>
      </c>
      <c r="G875" t="str" cm="1">
        <f t="array" ref="G875">_xlfn.LET(
    _xlpm.r, TRIM(B875),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875" t="str" cm="1">
        <f t="array" ref="H875">_xlfn.LET(
     _xlpm.r, TRIM(C875),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76" spans="1:8" x14ac:dyDescent="0.25">
      <c r="A876">
        <v>2022</v>
      </c>
      <c r="B876" t="s">
        <v>25</v>
      </c>
      <c r="C876" t="s">
        <v>5</v>
      </c>
      <c r="E876">
        <v>17684714</v>
      </c>
      <c r="F876" t="s">
        <v>92</v>
      </c>
      <c r="G876" t="str" cm="1">
        <f t="array" ref="G876">_xlfn.LET(
    _xlpm.r, TRIM(B876),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876" t="str" cm="1">
        <f t="array" ref="H876">_xlfn.LET(
     _xlpm.r, TRIM(C876),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77" spans="1:8" x14ac:dyDescent="0.25">
      <c r="A877">
        <v>2022</v>
      </c>
      <c r="B877" t="s">
        <v>25</v>
      </c>
      <c r="C877" t="s">
        <v>5</v>
      </c>
      <c r="E877">
        <v>5984304</v>
      </c>
      <c r="F877" t="s">
        <v>92</v>
      </c>
      <c r="G877" t="str" cm="1">
        <f t="array" ref="G877">_xlfn.LET(
    _xlpm.r, TRIM(B877),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877" t="str" cm="1">
        <f t="array" ref="H877">_xlfn.LET(
     _xlpm.r, TRIM(C877),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78" spans="1:8" x14ac:dyDescent="0.25">
      <c r="A878">
        <v>2022</v>
      </c>
      <c r="B878" t="s">
        <v>25</v>
      </c>
      <c r="C878" t="s">
        <v>6</v>
      </c>
      <c r="E878">
        <v>7979000</v>
      </c>
      <c r="F878" t="s">
        <v>92</v>
      </c>
      <c r="G878" t="str" cm="1">
        <f t="array" ref="G878">_xlfn.LET(
    _xlpm.r, TRIM(B878),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878" t="str" cm="1">
        <f t="array" ref="H878">_xlfn.LET(
     _xlpm.r, TRIM(C878),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79" spans="1:8" x14ac:dyDescent="0.25">
      <c r="A879">
        <v>2022</v>
      </c>
      <c r="B879" t="s">
        <v>25</v>
      </c>
      <c r="C879" t="s">
        <v>6</v>
      </c>
      <c r="E879">
        <v>1807000</v>
      </c>
      <c r="F879" t="s">
        <v>92</v>
      </c>
      <c r="G879" t="str" cm="1">
        <f t="array" ref="G879">_xlfn.LET(
    _xlpm.r, TRIM(B879),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879" t="str" cm="1">
        <f t="array" ref="H879">_xlfn.LET(
     _xlpm.r, TRIM(C879),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80" spans="1:8" x14ac:dyDescent="0.25">
      <c r="A880">
        <v>2022</v>
      </c>
      <c r="B880" t="s">
        <v>25</v>
      </c>
      <c r="C880" t="s">
        <v>8</v>
      </c>
      <c r="E880">
        <v>705000</v>
      </c>
      <c r="F880" t="s">
        <v>92</v>
      </c>
      <c r="G880" t="str" cm="1">
        <f t="array" ref="G880">_xlfn.LET(
    _xlpm.r, TRIM(B880),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880" t="str" cm="1">
        <f t="array" ref="H880">_xlfn.LET(
     _xlpm.r, TRIM(C880),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81" spans="1:8" x14ac:dyDescent="0.25">
      <c r="A881">
        <v>2022</v>
      </c>
      <c r="B881" t="s">
        <v>26</v>
      </c>
      <c r="C881" t="s">
        <v>5</v>
      </c>
      <c r="E881">
        <v>5081000</v>
      </c>
      <c r="F881" t="s">
        <v>93</v>
      </c>
      <c r="G881" t="str" cm="1">
        <f t="array" ref="G881">_xlfn.LET(
    _xlpm.r, TRIM(B881),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(132) - ميثاء الشامسي</v>
      </c>
      <c r="H881" t="str" cm="1">
        <f t="array" ref="H881">_xlfn.LET(
     _xlpm.r, TRIM(C881),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82" spans="1:8" x14ac:dyDescent="0.25">
      <c r="A882">
        <v>2022</v>
      </c>
      <c r="B882" t="s">
        <v>26</v>
      </c>
      <c r="C882" t="s">
        <v>6</v>
      </c>
      <c r="E882">
        <v>594000</v>
      </c>
      <c r="F882" t="s">
        <v>93</v>
      </c>
      <c r="G882" t="str" cm="1">
        <f t="array" ref="G882">_xlfn.LET(
    _xlpm.r, TRIM(B882),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(132) - ميثاء الشامسي</v>
      </c>
      <c r="H882" t="str" cm="1">
        <f t="array" ref="H882">_xlfn.LET(
     _xlpm.r, TRIM(C882),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83" spans="1:8" x14ac:dyDescent="0.25">
      <c r="A883">
        <v>2022</v>
      </c>
      <c r="B883" t="s">
        <v>26</v>
      </c>
      <c r="C883" t="s">
        <v>8</v>
      </c>
      <c r="E883">
        <v>20000</v>
      </c>
      <c r="F883" t="s">
        <v>93</v>
      </c>
      <c r="G883" t="str" cm="1">
        <f t="array" ref="G883">_xlfn.LET(
    _xlpm.r, TRIM(B883),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(132) - ميثاء الشامسي</v>
      </c>
      <c r="H883" t="str" cm="1">
        <f t="array" ref="H883">_xlfn.LET(
     _xlpm.r, TRIM(C883),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84" spans="1:8" x14ac:dyDescent="0.25">
      <c r="A884">
        <v>2022</v>
      </c>
      <c r="B884" t="s">
        <v>27</v>
      </c>
      <c r="C884" t="s">
        <v>5</v>
      </c>
      <c r="E884">
        <v>5145000</v>
      </c>
      <c r="F884" t="s">
        <v>94</v>
      </c>
      <c r="G884" t="str" cm="1">
        <f t="array" ref="G884">_xlfn.LET(
    _xlpm.r, TRIM(B884),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وزير الدولة - أحمد الصايغ</v>
      </c>
      <c r="H884" t="str" cm="1">
        <f t="array" ref="H884">_xlfn.LET(
     _xlpm.r, TRIM(C884),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85" spans="1:8" x14ac:dyDescent="0.25">
      <c r="A885">
        <v>2022</v>
      </c>
      <c r="B885" t="s">
        <v>27</v>
      </c>
      <c r="C885" t="s">
        <v>6</v>
      </c>
      <c r="E885">
        <v>261000</v>
      </c>
      <c r="F885" t="s">
        <v>94</v>
      </c>
      <c r="G885" t="str" cm="1">
        <f t="array" ref="G885">_xlfn.LET(
    _xlpm.r, TRIM(B885),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وزير الدولة - أحمد الصايغ</v>
      </c>
      <c r="H885" t="str" cm="1">
        <f t="array" ref="H885">_xlfn.LET(
     _xlpm.r, TRIM(C885),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86" spans="1:8" x14ac:dyDescent="0.25">
      <c r="A886">
        <v>2022</v>
      </c>
      <c r="B886" t="s">
        <v>28</v>
      </c>
      <c r="C886" t="s">
        <v>29</v>
      </c>
      <c r="E886">
        <v>559300000</v>
      </c>
      <c r="F886" t="s">
        <v>95</v>
      </c>
      <c r="G886" t="str" cm="1">
        <f t="array" ref="G886">_xlfn.LET(
    _xlpm.r, TRIM(B886),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886" t="str" cm="1">
        <f t="array" ref="H886">_xlfn.LET(
     _xlpm.r, TRIM(C886),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الفوائد</v>
      </c>
    </row>
    <row r="887" spans="1:8" x14ac:dyDescent="0.25">
      <c r="A887">
        <v>2022</v>
      </c>
      <c r="B887" t="s">
        <v>28</v>
      </c>
      <c r="C887" t="s">
        <v>30</v>
      </c>
      <c r="E887">
        <v>1706482000</v>
      </c>
      <c r="F887" t="s">
        <v>95</v>
      </c>
      <c r="G887" t="str" cm="1">
        <f t="array" ref="G887">_xlfn.LET(
    _xlpm.r, TRIM(B887),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887" t="str" cm="1">
        <f t="array" ref="H887">_xlfn.LET(
     _xlpm.r, TRIM(C887),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المنح</v>
      </c>
    </row>
    <row r="888" spans="1:8" x14ac:dyDescent="0.25">
      <c r="A888">
        <v>2022</v>
      </c>
      <c r="B888" t="s">
        <v>28</v>
      </c>
      <c r="C888" t="s">
        <v>31</v>
      </c>
      <c r="E888">
        <v>4839000000</v>
      </c>
      <c r="F888" t="s">
        <v>95</v>
      </c>
      <c r="G888" t="str" cm="1">
        <f t="array" ref="G888">_xlfn.LET(
    _xlpm.r, TRIM(B888),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888" t="str" cm="1">
        <f t="array" ref="H888">_xlfn.LET(
     _xlpm.r, TRIM(C888),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المنافع الاجتماعية</v>
      </c>
    </row>
    <row r="889" spans="1:8" x14ac:dyDescent="0.25">
      <c r="A889">
        <v>2022</v>
      </c>
      <c r="B889" t="s">
        <v>28</v>
      </c>
      <c r="C889" t="s">
        <v>19</v>
      </c>
      <c r="E889">
        <v>7404274000</v>
      </c>
      <c r="F889" t="s">
        <v>95</v>
      </c>
      <c r="G889" t="str" cm="1">
        <f t="array" ref="G889">_xlfn.LET(
    _xlpm.r, TRIM(B889),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889" t="str" cm="1">
        <f t="array" ref="H889">_xlfn.LET(
     _xlpm.r, TRIM(C889),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890" spans="1:8" x14ac:dyDescent="0.25">
      <c r="A890">
        <v>2022</v>
      </c>
      <c r="B890" t="s">
        <v>28</v>
      </c>
      <c r="C890" t="s">
        <v>8</v>
      </c>
      <c r="E890">
        <v>2379575000</v>
      </c>
      <c r="F890" t="s">
        <v>95</v>
      </c>
      <c r="G890" t="str" cm="1">
        <f t="array" ref="G890">_xlfn.LET(
    _xlpm.r, TRIM(B890),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890" t="str" cm="1">
        <f t="array" ref="H890">_xlfn.LET(
     _xlpm.r, TRIM(C890),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91" spans="1:8" x14ac:dyDescent="0.25">
      <c r="A891">
        <v>2022</v>
      </c>
      <c r="B891" t="s">
        <v>32</v>
      </c>
      <c r="C891" t="s">
        <v>5</v>
      </c>
      <c r="E891">
        <v>19043000</v>
      </c>
      <c r="F891" t="s">
        <v>96</v>
      </c>
      <c r="G891" t="str" cm="1">
        <f t="array" ref="G891">_xlfn.LET(
    _xlpm.r, TRIM(B891),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مكتب نائب الرئيس للشؤون السياسية</v>
      </c>
      <c r="H891" t="str" cm="1">
        <f t="array" ref="H891">_xlfn.LET(
     _xlpm.r, TRIM(C891),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92" spans="1:8" x14ac:dyDescent="0.25">
      <c r="A892">
        <v>2022</v>
      </c>
      <c r="B892" t="s">
        <v>32</v>
      </c>
      <c r="C892" t="s">
        <v>6</v>
      </c>
      <c r="E892">
        <v>6178000</v>
      </c>
      <c r="F892" t="s">
        <v>96</v>
      </c>
      <c r="G892" t="str" cm="1">
        <f t="array" ref="G892">_xlfn.LET(
    _xlpm.r, TRIM(B892),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مكتب نائب الرئيس للشؤون السياسية</v>
      </c>
      <c r="H892" t="str" cm="1">
        <f t="array" ref="H892">_xlfn.LET(
     _xlpm.r, TRIM(C892),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893" spans="1:8" x14ac:dyDescent="0.25">
      <c r="A893">
        <v>2022</v>
      </c>
      <c r="B893" t="s">
        <v>32</v>
      </c>
      <c r="C893" t="s">
        <v>8</v>
      </c>
      <c r="E893">
        <v>920000</v>
      </c>
      <c r="F893" t="s">
        <v>96</v>
      </c>
      <c r="G893" t="str" cm="1">
        <f t="array" ref="G893">_xlfn.LET(
    _xlpm.r, TRIM(B893),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مكتب نائب الرئيس للشؤون السياسية</v>
      </c>
      <c r="H893" t="str" cm="1">
        <f t="array" ref="H893">_xlfn.LET(
     _xlpm.r, TRIM(C893),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894" spans="1:8" x14ac:dyDescent="0.25">
      <c r="A894">
        <v>2022</v>
      </c>
      <c r="B894" t="s">
        <v>33</v>
      </c>
      <c r="C894" t="s">
        <v>5</v>
      </c>
      <c r="E894">
        <v>3200000</v>
      </c>
      <c r="F894" t="s">
        <v>97</v>
      </c>
      <c r="G894" t="str" cm="1">
        <f t="array" ref="G894">_xlfn.LET(
    _xlpm.r, TRIM(B894),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894" t="str" cm="1">
        <f t="array" ref="H894">_xlfn.LET(
     _xlpm.r, TRIM(C894),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95" spans="1:8" x14ac:dyDescent="0.25">
      <c r="A895">
        <v>2022</v>
      </c>
      <c r="B895" t="s">
        <v>33</v>
      </c>
      <c r="C895" t="s">
        <v>5</v>
      </c>
      <c r="E895">
        <v>3753672</v>
      </c>
      <c r="F895" t="s">
        <v>97</v>
      </c>
      <c r="G895" t="str" cm="1">
        <f t="array" ref="G895">_xlfn.LET(
    _xlpm.r, TRIM(B895),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895" t="str" cm="1">
        <f t="array" ref="H895">_xlfn.LET(
     _xlpm.r, TRIM(C895),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96" spans="1:8" x14ac:dyDescent="0.25">
      <c r="A896">
        <v>2022</v>
      </c>
      <c r="B896" t="s">
        <v>33</v>
      </c>
      <c r="C896" t="s">
        <v>5</v>
      </c>
      <c r="E896">
        <v>1144065084</v>
      </c>
      <c r="F896" t="s">
        <v>97</v>
      </c>
      <c r="G896" t="str" cm="1">
        <f t="array" ref="G896">_xlfn.LET(
    _xlpm.r, TRIM(B896),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896" t="str" cm="1">
        <f t="array" ref="H896">_xlfn.LET(
     _xlpm.r, TRIM(C896),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97" spans="1:8" x14ac:dyDescent="0.25">
      <c r="A897">
        <v>2022</v>
      </c>
      <c r="B897" t="s">
        <v>33</v>
      </c>
      <c r="C897" t="s">
        <v>5</v>
      </c>
      <c r="E897">
        <v>1065408552</v>
      </c>
      <c r="F897" t="s">
        <v>97</v>
      </c>
      <c r="G897" t="str" cm="1">
        <f t="array" ref="G897">_xlfn.LET(
    _xlpm.r, TRIM(B897),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897" t="str" cm="1">
        <f t="array" ref="H897">_xlfn.LET(
     _xlpm.r, TRIM(C897),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98" spans="1:8" x14ac:dyDescent="0.25">
      <c r="A898">
        <v>2022</v>
      </c>
      <c r="B898" t="s">
        <v>33</v>
      </c>
      <c r="C898" t="s">
        <v>5</v>
      </c>
      <c r="E898">
        <v>356485860</v>
      </c>
      <c r="F898" t="s">
        <v>97</v>
      </c>
      <c r="G898" t="str" cm="1">
        <f t="array" ref="G898">_xlfn.LET(
    _xlpm.r, TRIM(B898),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898" t="str" cm="1">
        <f t="array" ref="H898">_xlfn.LET(
     _xlpm.r, TRIM(C898),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899" spans="1:8" x14ac:dyDescent="0.25">
      <c r="A899">
        <v>2022</v>
      </c>
      <c r="B899" t="s">
        <v>33</v>
      </c>
      <c r="C899" t="s">
        <v>5</v>
      </c>
      <c r="E899">
        <v>646154892</v>
      </c>
      <c r="F899" t="s">
        <v>97</v>
      </c>
      <c r="G899" t="str" cm="1">
        <f t="array" ref="G899">_xlfn.LET(
    _xlpm.r, TRIM(B899),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899" t="str" cm="1">
        <f t="array" ref="H899">_xlfn.LET(
     _xlpm.r, TRIM(C899),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00" spans="1:8" x14ac:dyDescent="0.25">
      <c r="A900">
        <v>2022</v>
      </c>
      <c r="B900" t="s">
        <v>33</v>
      </c>
      <c r="C900" t="s">
        <v>5</v>
      </c>
      <c r="E900">
        <v>872104380</v>
      </c>
      <c r="F900" t="s">
        <v>97</v>
      </c>
      <c r="G900" t="str" cm="1">
        <f t="array" ref="G900">_xlfn.LET(
    _xlpm.r, TRIM(B900),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900" t="str" cm="1">
        <f t="array" ref="H900">_xlfn.LET(
     _xlpm.r, TRIM(C900),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01" spans="1:8" x14ac:dyDescent="0.25">
      <c r="A901">
        <v>2022</v>
      </c>
      <c r="B901" t="s">
        <v>33</v>
      </c>
      <c r="C901" t="s">
        <v>5</v>
      </c>
      <c r="E901">
        <v>190819560</v>
      </c>
      <c r="F901" t="s">
        <v>97</v>
      </c>
      <c r="G901" t="str" cm="1">
        <f t="array" ref="G901">_xlfn.LET(
    _xlpm.r, TRIM(B901),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901" t="str" cm="1">
        <f t="array" ref="H901">_xlfn.LET(
     _xlpm.r, TRIM(C901),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02" spans="1:8" x14ac:dyDescent="0.25">
      <c r="A902">
        <v>2022</v>
      </c>
      <c r="B902" t="s">
        <v>33</v>
      </c>
      <c r="C902" t="s">
        <v>6</v>
      </c>
      <c r="E902">
        <v>763613000</v>
      </c>
      <c r="F902" t="s">
        <v>97</v>
      </c>
      <c r="G902" t="str" cm="1">
        <f t="array" ref="G902">_xlfn.LET(
    _xlpm.r, TRIM(B902),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902" t="str" cm="1">
        <f t="array" ref="H902">_xlfn.LET(
     _xlpm.r, TRIM(C902),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03" spans="1:8" x14ac:dyDescent="0.25">
      <c r="A903">
        <v>2022</v>
      </c>
      <c r="B903" t="s">
        <v>33</v>
      </c>
      <c r="C903" t="s">
        <v>7</v>
      </c>
      <c r="E903">
        <v>500000</v>
      </c>
      <c r="F903" t="s">
        <v>97</v>
      </c>
      <c r="G903" t="str" cm="1">
        <f t="array" ref="G903">_xlfn.LET(
    _xlpm.r, TRIM(B903),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903" t="str" cm="1">
        <f t="array" ref="H903">_xlfn.LET(
     _xlpm.r, TRIM(C903),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904" spans="1:8" x14ac:dyDescent="0.25">
      <c r="A904">
        <v>2022</v>
      </c>
      <c r="B904" t="s">
        <v>33</v>
      </c>
      <c r="C904" t="s">
        <v>8</v>
      </c>
      <c r="E904">
        <v>24334000</v>
      </c>
      <c r="F904" t="s">
        <v>97</v>
      </c>
      <c r="G904" t="str" cm="1">
        <f t="array" ref="G904">_xlfn.LET(
    _xlpm.r, TRIM(B904),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904" t="str" cm="1">
        <f t="array" ref="H904">_xlfn.LET(
     _xlpm.r, TRIM(C904),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05" spans="1:8" x14ac:dyDescent="0.25">
      <c r="A905">
        <v>2022</v>
      </c>
      <c r="B905" t="s">
        <v>34</v>
      </c>
      <c r="C905" t="s">
        <v>5</v>
      </c>
      <c r="E905">
        <v>1954000</v>
      </c>
      <c r="F905" t="s">
        <v>98</v>
      </c>
      <c r="G905" t="str" cm="1">
        <f t="array" ref="G905">_xlfn.LET(
    _xlpm.r, TRIM(B905),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05" t="str" cm="1">
        <f t="array" ref="H905">_xlfn.LET(
     _xlpm.r, TRIM(C905),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06" spans="1:8" x14ac:dyDescent="0.25">
      <c r="A906">
        <v>2022</v>
      </c>
      <c r="B906" t="s">
        <v>34</v>
      </c>
      <c r="C906" t="s">
        <v>5</v>
      </c>
      <c r="E906">
        <v>3856596</v>
      </c>
      <c r="F906" t="s">
        <v>98</v>
      </c>
      <c r="G906" t="str" cm="1">
        <f t="array" ref="G906">_xlfn.LET(
    _xlpm.r, TRIM(B906),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06" t="str" cm="1">
        <f t="array" ref="H906">_xlfn.LET(
     _xlpm.r, TRIM(C906),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07" spans="1:8" x14ac:dyDescent="0.25">
      <c r="A907">
        <v>2022</v>
      </c>
      <c r="B907" t="s">
        <v>34</v>
      </c>
      <c r="C907" t="s">
        <v>5</v>
      </c>
      <c r="E907">
        <v>361099165</v>
      </c>
      <c r="F907" t="s">
        <v>98</v>
      </c>
      <c r="G907" t="str" cm="1">
        <f t="array" ref="G907">_xlfn.LET(
    _xlpm.r, TRIM(B907),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07" t="str" cm="1">
        <f t="array" ref="H907">_xlfn.LET(
     _xlpm.r, TRIM(C907),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08" spans="1:8" x14ac:dyDescent="0.25">
      <c r="A908">
        <v>2022</v>
      </c>
      <c r="B908" t="s">
        <v>34</v>
      </c>
      <c r="C908" t="s">
        <v>5</v>
      </c>
      <c r="E908">
        <v>845768754</v>
      </c>
      <c r="F908" t="s">
        <v>98</v>
      </c>
      <c r="G908" t="str" cm="1">
        <f t="array" ref="G908">_xlfn.LET(
    _xlpm.r, TRIM(B908),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08" t="str" cm="1">
        <f t="array" ref="H908">_xlfn.LET(
     _xlpm.r, TRIM(C908),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09" spans="1:8" x14ac:dyDescent="0.25">
      <c r="A909">
        <v>2022</v>
      </c>
      <c r="B909" t="s">
        <v>34</v>
      </c>
      <c r="C909" t="s">
        <v>5</v>
      </c>
      <c r="E909">
        <v>81929996</v>
      </c>
      <c r="F909" t="s">
        <v>98</v>
      </c>
      <c r="G909" t="str" cm="1">
        <f t="array" ref="G909">_xlfn.LET(
    _xlpm.r, TRIM(B909),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09" t="str" cm="1">
        <f t="array" ref="H909">_xlfn.LET(
     _xlpm.r, TRIM(C909),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10" spans="1:8" x14ac:dyDescent="0.25">
      <c r="A910">
        <v>2022</v>
      </c>
      <c r="B910" t="s">
        <v>34</v>
      </c>
      <c r="C910" t="s">
        <v>5</v>
      </c>
      <c r="E910">
        <v>359949568</v>
      </c>
      <c r="F910" t="s">
        <v>98</v>
      </c>
      <c r="G910" t="str" cm="1">
        <f t="array" ref="G910">_xlfn.LET(
    _xlpm.r, TRIM(B910),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10" t="str" cm="1">
        <f t="array" ref="H910">_xlfn.LET(
     _xlpm.r, TRIM(C910),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11" spans="1:8" x14ac:dyDescent="0.25">
      <c r="A911">
        <v>2022</v>
      </c>
      <c r="B911" t="s">
        <v>34</v>
      </c>
      <c r="C911" t="s">
        <v>5</v>
      </c>
      <c r="E911">
        <v>449405657</v>
      </c>
      <c r="F911" t="s">
        <v>98</v>
      </c>
      <c r="G911" t="str" cm="1">
        <f t="array" ref="G911">_xlfn.LET(
    _xlpm.r, TRIM(B911),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11" t="str" cm="1">
        <f t="array" ref="H911">_xlfn.LET(
     _xlpm.r, TRIM(C911),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12" spans="1:8" x14ac:dyDescent="0.25">
      <c r="A912">
        <v>2022</v>
      </c>
      <c r="B912" t="s">
        <v>34</v>
      </c>
      <c r="C912" t="s">
        <v>5</v>
      </c>
      <c r="E912">
        <v>120398264</v>
      </c>
      <c r="F912" t="s">
        <v>98</v>
      </c>
      <c r="G912" t="str" cm="1">
        <f t="array" ref="G912">_xlfn.LET(
    _xlpm.r, TRIM(B912),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12" t="str" cm="1">
        <f t="array" ref="H912">_xlfn.LET(
     _xlpm.r, TRIM(C912),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13" spans="1:8" x14ac:dyDescent="0.25">
      <c r="A913">
        <v>2022</v>
      </c>
      <c r="B913" t="s">
        <v>34</v>
      </c>
      <c r="C913" t="s">
        <v>6</v>
      </c>
      <c r="E913">
        <v>454350509</v>
      </c>
      <c r="F913" t="s">
        <v>98</v>
      </c>
      <c r="G913" t="str" cm="1">
        <f t="array" ref="G913">_xlfn.LET(
    _xlpm.r, TRIM(B913),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13" t="str" cm="1">
        <f t="array" ref="H913">_xlfn.LET(
     _xlpm.r, TRIM(C913),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14" spans="1:8" x14ac:dyDescent="0.25">
      <c r="A914">
        <v>2022</v>
      </c>
      <c r="B914" t="s">
        <v>34</v>
      </c>
      <c r="C914" t="s">
        <v>6</v>
      </c>
      <c r="E914">
        <v>654593364</v>
      </c>
      <c r="F914" t="s">
        <v>98</v>
      </c>
      <c r="G914" t="str" cm="1">
        <f t="array" ref="G914">_xlfn.LET(
    _xlpm.r, TRIM(B914),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14" t="str" cm="1">
        <f t="array" ref="H914">_xlfn.LET(
     _xlpm.r, TRIM(C914),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15" spans="1:8" x14ac:dyDescent="0.25">
      <c r="A915">
        <v>2022</v>
      </c>
      <c r="B915" t="s">
        <v>34</v>
      </c>
      <c r="C915" t="s">
        <v>6</v>
      </c>
      <c r="E915">
        <v>39350920</v>
      </c>
      <c r="F915" t="s">
        <v>98</v>
      </c>
      <c r="G915" t="str" cm="1">
        <f t="array" ref="G915">_xlfn.LET(
    _xlpm.r, TRIM(B915),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15" t="str" cm="1">
        <f t="array" ref="H915">_xlfn.LET(
     _xlpm.r, TRIM(C915),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16" spans="1:8" x14ac:dyDescent="0.25">
      <c r="A916">
        <v>2022</v>
      </c>
      <c r="B916" t="s">
        <v>34</v>
      </c>
      <c r="C916" t="s">
        <v>6</v>
      </c>
      <c r="E916">
        <v>211605276</v>
      </c>
      <c r="F916" t="s">
        <v>98</v>
      </c>
      <c r="G916" t="str" cm="1">
        <f t="array" ref="G916">_xlfn.LET(
    _xlpm.r, TRIM(B916),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16" t="str" cm="1">
        <f t="array" ref="H916">_xlfn.LET(
     _xlpm.r, TRIM(C916),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17" spans="1:8" x14ac:dyDescent="0.25">
      <c r="A917">
        <v>2022</v>
      </c>
      <c r="B917" t="s">
        <v>34</v>
      </c>
      <c r="C917" t="s">
        <v>6</v>
      </c>
      <c r="E917">
        <v>281298411</v>
      </c>
      <c r="F917" t="s">
        <v>98</v>
      </c>
      <c r="G917" t="str" cm="1">
        <f t="array" ref="G917">_xlfn.LET(
    _xlpm.r, TRIM(B917),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17" t="str" cm="1">
        <f t="array" ref="H917">_xlfn.LET(
     _xlpm.r, TRIM(C917),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18" spans="1:8" x14ac:dyDescent="0.25">
      <c r="A918">
        <v>2022</v>
      </c>
      <c r="B918" t="s">
        <v>34</v>
      </c>
      <c r="C918" t="s">
        <v>6</v>
      </c>
      <c r="E918">
        <v>77801520</v>
      </c>
      <c r="F918" t="s">
        <v>98</v>
      </c>
      <c r="G918" t="str" cm="1">
        <f t="array" ref="G918">_xlfn.LET(
    _xlpm.r, TRIM(B918),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18" t="str" cm="1">
        <f t="array" ref="H918">_xlfn.LET(
     _xlpm.r, TRIM(C918),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19" spans="1:8" x14ac:dyDescent="0.25">
      <c r="A919">
        <v>2022</v>
      </c>
      <c r="B919" t="s">
        <v>34</v>
      </c>
      <c r="C919" t="s">
        <v>8</v>
      </c>
      <c r="E919">
        <v>161750420</v>
      </c>
      <c r="F919" t="s">
        <v>98</v>
      </c>
      <c r="G919" t="str" cm="1">
        <f t="array" ref="G919">_xlfn.LET(
    _xlpm.r, TRIM(B919),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19" t="str" cm="1">
        <f t="array" ref="H919">_xlfn.LET(
     _xlpm.r, TRIM(C919),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20" spans="1:8" x14ac:dyDescent="0.25">
      <c r="A920">
        <v>2022</v>
      </c>
      <c r="B920" t="s">
        <v>34</v>
      </c>
      <c r="C920" t="s">
        <v>8</v>
      </c>
      <c r="E920">
        <v>79396500</v>
      </c>
      <c r="F920" t="s">
        <v>98</v>
      </c>
      <c r="G920" t="str" cm="1">
        <f t="array" ref="G920">_xlfn.LET(
    _xlpm.r, TRIM(B920),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20" t="str" cm="1">
        <f t="array" ref="H920">_xlfn.LET(
     _xlpm.r, TRIM(C920),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21" spans="1:8" x14ac:dyDescent="0.25">
      <c r="A921">
        <v>2022</v>
      </c>
      <c r="B921" t="s">
        <v>34</v>
      </c>
      <c r="C921" t="s">
        <v>8</v>
      </c>
      <c r="E921">
        <v>11401500</v>
      </c>
      <c r="F921" t="s">
        <v>98</v>
      </c>
      <c r="G921" t="str" cm="1">
        <f t="array" ref="G921">_xlfn.LET(
    _xlpm.r, TRIM(B921),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21" t="str" cm="1">
        <f t="array" ref="H921">_xlfn.LET(
     _xlpm.r, TRIM(C921),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22" spans="1:8" x14ac:dyDescent="0.25">
      <c r="A922">
        <v>2022</v>
      </c>
      <c r="B922" t="s">
        <v>34</v>
      </c>
      <c r="C922" t="s">
        <v>8</v>
      </c>
      <c r="E922">
        <v>16476500</v>
      </c>
      <c r="F922" t="s">
        <v>98</v>
      </c>
      <c r="G922" t="str" cm="1">
        <f t="array" ref="G922">_xlfn.LET(
    _xlpm.r, TRIM(B922),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22" t="str" cm="1">
        <f t="array" ref="H922">_xlfn.LET(
     _xlpm.r, TRIM(C922),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23" spans="1:8" x14ac:dyDescent="0.25">
      <c r="A923">
        <v>2022</v>
      </c>
      <c r="B923" t="s">
        <v>34</v>
      </c>
      <c r="C923" t="s">
        <v>8</v>
      </c>
      <c r="E923">
        <v>37390580</v>
      </c>
      <c r="F923" t="s">
        <v>98</v>
      </c>
      <c r="G923" t="str" cm="1">
        <f t="array" ref="G923">_xlfn.LET(
    _xlpm.r, TRIM(B923),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23" t="str" cm="1">
        <f t="array" ref="H923">_xlfn.LET(
     _xlpm.r, TRIM(C923),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24" spans="1:8" x14ac:dyDescent="0.25">
      <c r="A924">
        <v>2022</v>
      </c>
      <c r="B924" t="s">
        <v>34</v>
      </c>
      <c r="C924" t="s">
        <v>8</v>
      </c>
      <c r="E924">
        <v>7827500</v>
      </c>
      <c r="F924" t="s">
        <v>98</v>
      </c>
      <c r="G924" t="str" cm="1">
        <f t="array" ref="G924">_xlfn.LET(
    _xlpm.r, TRIM(B924),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924" t="str" cm="1">
        <f t="array" ref="H924">_xlfn.LET(
     _xlpm.r, TRIM(C924),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25" spans="1:8" x14ac:dyDescent="0.25">
      <c r="A925">
        <v>2022</v>
      </c>
      <c r="B925" t="s">
        <v>35</v>
      </c>
      <c r="C925" t="s">
        <v>5</v>
      </c>
      <c r="E925">
        <v>1107683</v>
      </c>
      <c r="F925" t="s">
        <v>99</v>
      </c>
      <c r="G925" t="str" cm="1">
        <f t="array" ref="G925">_xlfn.LET(
    _xlpm.r, TRIM(B925),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925" t="str" cm="1">
        <f t="array" ref="H925">_xlfn.LET(
     _xlpm.r, TRIM(C925),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26" spans="1:8" x14ac:dyDescent="0.25">
      <c r="A926">
        <v>2022</v>
      </c>
      <c r="B926" t="s">
        <v>35</v>
      </c>
      <c r="C926" t="s">
        <v>5</v>
      </c>
      <c r="E926">
        <v>51565273</v>
      </c>
      <c r="F926" t="s">
        <v>99</v>
      </c>
      <c r="G926" t="str" cm="1">
        <f t="array" ref="G926">_xlfn.LET(
    _xlpm.r, TRIM(B926),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926" t="str" cm="1">
        <f t="array" ref="H926">_xlfn.LET(
     _xlpm.r, TRIM(C926),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27" spans="1:8" x14ac:dyDescent="0.25">
      <c r="A927">
        <v>2022</v>
      </c>
      <c r="B927" t="s">
        <v>35</v>
      </c>
      <c r="C927" t="s">
        <v>5</v>
      </c>
      <c r="E927">
        <v>6000444</v>
      </c>
      <c r="F927" t="s">
        <v>99</v>
      </c>
      <c r="G927" t="str" cm="1">
        <f t="array" ref="G927">_xlfn.LET(
    _xlpm.r, TRIM(B927),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927" t="str" cm="1">
        <f t="array" ref="H927">_xlfn.LET(
     _xlpm.r, TRIM(C927),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28" spans="1:8" x14ac:dyDescent="0.25">
      <c r="A928">
        <v>2022</v>
      </c>
      <c r="B928" t="s">
        <v>35</v>
      </c>
      <c r="C928" t="s">
        <v>5</v>
      </c>
      <c r="E928">
        <v>778992</v>
      </c>
      <c r="F928" t="s">
        <v>99</v>
      </c>
      <c r="G928" t="str" cm="1">
        <f t="array" ref="G928">_xlfn.LET(
    _xlpm.r, TRIM(B928),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928" t="str" cm="1">
        <f t="array" ref="H928">_xlfn.LET(
     _xlpm.r, TRIM(C928),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29" spans="1:8" x14ac:dyDescent="0.25">
      <c r="A929">
        <v>2022</v>
      </c>
      <c r="B929" t="s">
        <v>35</v>
      </c>
      <c r="C929" t="s">
        <v>5</v>
      </c>
      <c r="E929">
        <v>1044900</v>
      </c>
      <c r="F929" t="s">
        <v>99</v>
      </c>
      <c r="G929" t="str" cm="1">
        <f t="array" ref="G929">_xlfn.LET(
    _xlpm.r, TRIM(B929),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929" t="str" cm="1">
        <f t="array" ref="H929">_xlfn.LET(
     _xlpm.r, TRIM(C929),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30" spans="1:8" x14ac:dyDescent="0.25">
      <c r="A930">
        <v>2022</v>
      </c>
      <c r="B930" t="s">
        <v>35</v>
      </c>
      <c r="C930" t="s">
        <v>5</v>
      </c>
      <c r="E930">
        <v>939396</v>
      </c>
      <c r="F930" t="s">
        <v>99</v>
      </c>
      <c r="G930" t="str" cm="1">
        <f t="array" ref="G930">_xlfn.LET(
    _xlpm.r, TRIM(B930),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930" t="str" cm="1">
        <f t="array" ref="H930">_xlfn.LET(
     _xlpm.r, TRIM(C930),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31" spans="1:8" x14ac:dyDescent="0.25">
      <c r="A931">
        <v>2022</v>
      </c>
      <c r="B931" t="s">
        <v>35</v>
      </c>
      <c r="C931" t="s">
        <v>5</v>
      </c>
      <c r="E931">
        <v>779868</v>
      </c>
      <c r="F931" t="s">
        <v>99</v>
      </c>
      <c r="G931" t="str" cm="1">
        <f t="array" ref="G931">_xlfn.LET(
    _xlpm.r, TRIM(B931),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931" t="str" cm="1">
        <f t="array" ref="H931">_xlfn.LET(
     _xlpm.r, TRIM(C931),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32" spans="1:8" x14ac:dyDescent="0.25">
      <c r="A932">
        <v>2022</v>
      </c>
      <c r="B932" t="s">
        <v>35</v>
      </c>
      <c r="C932" t="s">
        <v>5</v>
      </c>
      <c r="E932">
        <v>2142624</v>
      </c>
      <c r="F932" t="s">
        <v>99</v>
      </c>
      <c r="G932" t="str" cm="1">
        <f t="array" ref="G932">_xlfn.LET(
    _xlpm.r, TRIM(B932),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932" t="str" cm="1">
        <f t="array" ref="H932">_xlfn.LET(
     _xlpm.r, TRIM(C932),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33" spans="1:8" x14ac:dyDescent="0.25">
      <c r="A933">
        <v>2022</v>
      </c>
      <c r="B933" t="s">
        <v>35</v>
      </c>
      <c r="C933" t="s">
        <v>5</v>
      </c>
      <c r="E933">
        <v>1402200</v>
      </c>
      <c r="F933" t="s">
        <v>99</v>
      </c>
      <c r="G933" t="str" cm="1">
        <f t="array" ref="G933">_xlfn.LET(
    _xlpm.r, TRIM(B933),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933" t="str" cm="1">
        <f t="array" ref="H933">_xlfn.LET(
     _xlpm.r, TRIM(C933),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34" spans="1:8" x14ac:dyDescent="0.25">
      <c r="A934">
        <v>2022</v>
      </c>
      <c r="B934" t="s">
        <v>35</v>
      </c>
      <c r="C934" t="s">
        <v>5</v>
      </c>
      <c r="E934">
        <v>214620</v>
      </c>
      <c r="F934" t="s">
        <v>99</v>
      </c>
      <c r="G934" t="str" cm="1">
        <f t="array" ref="G934">_xlfn.LET(
    _xlpm.r, TRIM(B934),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934" t="str" cm="1">
        <f t="array" ref="H934">_xlfn.LET(
     _xlpm.r, TRIM(C934),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35" spans="1:8" x14ac:dyDescent="0.25">
      <c r="A935">
        <v>2022</v>
      </c>
      <c r="B935" t="s">
        <v>35</v>
      </c>
      <c r="C935" t="s">
        <v>6</v>
      </c>
      <c r="E935">
        <v>28215000</v>
      </c>
      <c r="F935" t="s">
        <v>99</v>
      </c>
      <c r="G935" t="str" cm="1">
        <f t="array" ref="G935">_xlfn.LET(
    _xlpm.r, TRIM(B935),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935" t="str" cm="1">
        <f t="array" ref="H935">_xlfn.LET(
     _xlpm.r, TRIM(C935),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36" spans="1:8" x14ac:dyDescent="0.25">
      <c r="A936">
        <v>2022</v>
      </c>
      <c r="B936" t="s">
        <v>35</v>
      </c>
      <c r="C936" t="s">
        <v>8</v>
      </c>
      <c r="E936">
        <v>5350000</v>
      </c>
      <c r="F936" t="s">
        <v>99</v>
      </c>
      <c r="G936" t="str" cm="1">
        <f t="array" ref="G936">_xlfn.LET(
    _xlpm.r, TRIM(B936),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936" t="str" cm="1">
        <f t="array" ref="H936">_xlfn.LET(
     _xlpm.r, TRIM(C936),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37" spans="1:8" x14ac:dyDescent="0.25">
      <c r="A937">
        <v>2022</v>
      </c>
      <c r="B937" t="s">
        <v>36</v>
      </c>
      <c r="C937" t="s">
        <v>5</v>
      </c>
      <c r="E937">
        <v>174701000</v>
      </c>
      <c r="F937" t="s">
        <v>100</v>
      </c>
      <c r="G937" t="str" cm="1">
        <f t="array" ref="G937">_xlfn.LET(
    _xlpm.r, TRIM(B937),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الوطني الاتحادي</v>
      </c>
      <c r="H937" t="str" cm="1">
        <f t="array" ref="H937">_xlfn.LET(
     _xlpm.r, TRIM(C937),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38" spans="1:8" x14ac:dyDescent="0.25">
      <c r="A938">
        <v>2022</v>
      </c>
      <c r="B938" t="s">
        <v>36</v>
      </c>
      <c r="C938" t="s">
        <v>6</v>
      </c>
      <c r="E938">
        <v>16573000</v>
      </c>
      <c r="F938" t="s">
        <v>100</v>
      </c>
      <c r="G938" t="str" cm="1">
        <f t="array" ref="G938">_xlfn.LET(
    _xlpm.r, TRIM(B938),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الوطني الاتحادي</v>
      </c>
      <c r="H938" t="str" cm="1">
        <f t="array" ref="H938">_xlfn.LET(
     _xlpm.r, TRIM(C938),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39" spans="1:8" x14ac:dyDescent="0.25">
      <c r="A939">
        <v>2022</v>
      </c>
      <c r="B939" t="s">
        <v>36</v>
      </c>
      <c r="C939" t="s">
        <v>8</v>
      </c>
      <c r="E939">
        <v>1530000</v>
      </c>
      <c r="F939" t="s">
        <v>100</v>
      </c>
      <c r="G939" t="str" cm="1">
        <f t="array" ref="G939">_xlfn.LET(
    _xlpm.r, TRIM(B939),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الوطني الاتحادي</v>
      </c>
      <c r="H939" t="str" cm="1">
        <f t="array" ref="H939">_xlfn.LET(
     _xlpm.r, TRIM(C939),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40" spans="1:8" x14ac:dyDescent="0.25">
      <c r="A940">
        <v>2022</v>
      </c>
      <c r="B940" t="s">
        <v>37</v>
      </c>
      <c r="C940" t="s">
        <v>5</v>
      </c>
      <c r="E940">
        <v>11002000</v>
      </c>
      <c r="F940" t="s">
        <v>101</v>
      </c>
      <c r="G940" t="str" cm="1">
        <f t="array" ref="G940">_xlfn.LET(
    _xlpm.r, TRIM(B940),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الاتحادي للمعلومات الجغرافية</v>
      </c>
      <c r="H940" t="str" cm="1">
        <f t="array" ref="H940">_xlfn.LET(
     _xlpm.r, TRIM(C940),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41" spans="1:8" x14ac:dyDescent="0.25">
      <c r="A941">
        <v>2022</v>
      </c>
      <c r="B941" t="s">
        <v>37</v>
      </c>
      <c r="C941" t="s">
        <v>6</v>
      </c>
      <c r="E941">
        <v>5608000</v>
      </c>
      <c r="F941" t="s">
        <v>101</v>
      </c>
      <c r="G941" t="str" cm="1">
        <f t="array" ref="G941">_xlfn.LET(
    _xlpm.r, TRIM(B941),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الاتحادي للمعلومات الجغرافية</v>
      </c>
      <c r="H941" t="str" cm="1">
        <f t="array" ref="H941">_xlfn.LET(
     _xlpm.r, TRIM(C941),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42" spans="1:8" x14ac:dyDescent="0.25">
      <c r="A942">
        <v>2022</v>
      </c>
      <c r="B942" t="s">
        <v>37</v>
      </c>
      <c r="C942" t="s">
        <v>8</v>
      </c>
      <c r="E942">
        <v>7690000</v>
      </c>
      <c r="F942" t="s">
        <v>101</v>
      </c>
      <c r="G942" t="str" cm="1">
        <f t="array" ref="G942">_xlfn.LET(
    _xlpm.r, TRIM(B942),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الاتحادي للمعلومات الجغرافية</v>
      </c>
      <c r="H942" t="str" cm="1">
        <f t="array" ref="H942">_xlfn.LET(
     _xlpm.r, TRIM(C942),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43" spans="1:8" x14ac:dyDescent="0.25">
      <c r="A943">
        <v>2022</v>
      </c>
      <c r="B943" t="s">
        <v>38</v>
      </c>
      <c r="C943" t="s">
        <v>5</v>
      </c>
      <c r="E943">
        <v>2398002</v>
      </c>
      <c r="F943" t="s">
        <v>102</v>
      </c>
      <c r="G943" t="str" cm="1">
        <f t="array" ref="G943">_xlfn.LET(
    _xlpm.r, TRIM(B943),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943" t="str" cm="1">
        <f t="array" ref="H943">_xlfn.LET(
     _xlpm.r, TRIM(C943),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44" spans="1:8" x14ac:dyDescent="0.25">
      <c r="A944">
        <v>2022</v>
      </c>
      <c r="B944" t="s">
        <v>38</v>
      </c>
      <c r="C944" t="s">
        <v>5</v>
      </c>
      <c r="E944">
        <v>31741786</v>
      </c>
      <c r="F944" t="s">
        <v>102</v>
      </c>
      <c r="G944" t="str" cm="1">
        <f t="array" ref="G944">_xlfn.LET(
    _xlpm.r, TRIM(B944),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944" t="str" cm="1">
        <f t="array" ref="H944">_xlfn.LET(
     _xlpm.r, TRIM(C944),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45" spans="1:8" x14ac:dyDescent="0.25">
      <c r="A945">
        <v>2022</v>
      </c>
      <c r="B945" t="s">
        <v>38</v>
      </c>
      <c r="C945" t="s">
        <v>5</v>
      </c>
      <c r="E945">
        <v>4094212</v>
      </c>
      <c r="F945" t="s">
        <v>102</v>
      </c>
      <c r="G945" t="str" cm="1">
        <f t="array" ref="G945">_xlfn.LET(
    _xlpm.r, TRIM(B945),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945" t="str" cm="1">
        <f t="array" ref="H945">_xlfn.LET(
     _xlpm.r, TRIM(C945),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46" spans="1:8" x14ac:dyDescent="0.25">
      <c r="A946">
        <v>2022</v>
      </c>
      <c r="B946" t="s">
        <v>38</v>
      </c>
      <c r="C946" t="s">
        <v>6</v>
      </c>
      <c r="E946">
        <v>34733000</v>
      </c>
      <c r="F946" t="s">
        <v>102</v>
      </c>
      <c r="G946" t="str" cm="1">
        <f t="array" ref="G946">_xlfn.LET(
    _xlpm.r, TRIM(B946),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946" t="str" cm="1">
        <f t="array" ref="H946">_xlfn.LET(
     _xlpm.r, TRIM(C946),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47" spans="1:8" x14ac:dyDescent="0.25">
      <c r="A947">
        <v>2022</v>
      </c>
      <c r="B947" t="s">
        <v>38</v>
      </c>
      <c r="C947" t="s">
        <v>7</v>
      </c>
      <c r="E947">
        <v>113250000</v>
      </c>
      <c r="F947" t="s">
        <v>102</v>
      </c>
      <c r="G947" t="str" cm="1">
        <f t="array" ref="G947">_xlfn.LET(
    _xlpm.r, TRIM(B947),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947" t="str" cm="1">
        <f t="array" ref="H947">_xlfn.LET(
     _xlpm.r, TRIM(C947),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948" spans="1:8" x14ac:dyDescent="0.25">
      <c r="A948">
        <v>2022</v>
      </c>
      <c r="B948" t="s">
        <v>38</v>
      </c>
      <c r="C948" t="s">
        <v>8</v>
      </c>
      <c r="E948">
        <v>382000</v>
      </c>
      <c r="F948" t="s">
        <v>102</v>
      </c>
      <c r="G948" t="str" cm="1">
        <f t="array" ref="G948">_xlfn.LET(
    _xlpm.r, TRIM(B948),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948" t="str" cm="1">
        <f t="array" ref="H948">_xlfn.LET(
     _xlpm.r, TRIM(C948),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49" spans="1:8" x14ac:dyDescent="0.25">
      <c r="A949">
        <v>2022</v>
      </c>
      <c r="B949" t="s">
        <v>39</v>
      </c>
      <c r="C949" t="s">
        <v>5</v>
      </c>
      <c r="E949">
        <v>2844000</v>
      </c>
      <c r="F949" t="s">
        <v>103</v>
      </c>
      <c r="G949" t="str" cm="1">
        <f t="array" ref="G949">_xlfn.LET(
    _xlpm.r, TRIM(B949),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مجلس الإمارات للتوازن بين الجنسين</v>
      </c>
      <c r="H949" t="str" cm="1">
        <f t="array" ref="H949">_xlfn.LET(
     _xlpm.r, TRIM(C949),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50" spans="1:8" x14ac:dyDescent="0.25">
      <c r="A950">
        <v>2022</v>
      </c>
      <c r="B950" t="s">
        <v>39</v>
      </c>
      <c r="C950" t="s">
        <v>6</v>
      </c>
      <c r="E950">
        <v>2076000</v>
      </c>
      <c r="F950" t="s">
        <v>103</v>
      </c>
      <c r="G950" t="str" cm="1">
        <f t="array" ref="G950">_xlfn.LET(
    _xlpm.r, TRIM(B950),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مجلس الإمارات للتوازن بين الجنسين</v>
      </c>
      <c r="H950" t="str" cm="1">
        <f t="array" ref="H950">_xlfn.LET(
     _xlpm.r, TRIM(C950),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51" spans="1:8" x14ac:dyDescent="0.25">
      <c r="A951">
        <v>2022</v>
      </c>
      <c r="B951" t="s">
        <v>39</v>
      </c>
      <c r="C951" t="s">
        <v>8</v>
      </c>
      <c r="E951">
        <v>33000</v>
      </c>
      <c r="F951" t="s">
        <v>103</v>
      </c>
      <c r="G951" t="str" cm="1">
        <f t="array" ref="G951">_xlfn.LET(
    _xlpm.r, TRIM(B951),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مجلس الإمارات للتوازن بين الجنسين</v>
      </c>
      <c r="H951" t="str" cm="1">
        <f t="array" ref="H951">_xlfn.LET(
     _xlpm.r, TRIM(C951),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52" spans="1:8" x14ac:dyDescent="0.25">
      <c r="A952">
        <v>2022</v>
      </c>
      <c r="B952" t="s">
        <v>40</v>
      </c>
      <c r="C952" t="s">
        <v>5</v>
      </c>
      <c r="E952">
        <v>15791000</v>
      </c>
      <c r="F952" t="s">
        <v>104</v>
      </c>
      <c r="G952" t="str" cm="1">
        <f t="array" ref="G952">_xlfn.LET(
    _xlpm.r, TRIM(B952),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التسامح والتعايش</v>
      </c>
      <c r="H952" t="str" cm="1">
        <f t="array" ref="H952">_xlfn.LET(
     _xlpm.r, TRIM(C952),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53" spans="1:8" x14ac:dyDescent="0.25">
      <c r="A953">
        <v>2022</v>
      </c>
      <c r="B953" t="s">
        <v>40</v>
      </c>
      <c r="C953" t="s">
        <v>6</v>
      </c>
      <c r="E953">
        <v>20496000</v>
      </c>
      <c r="F953" t="s">
        <v>104</v>
      </c>
      <c r="G953" t="str" cm="1">
        <f t="array" ref="G953">_xlfn.LET(
    _xlpm.r, TRIM(B953),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التسامح والتعايش</v>
      </c>
      <c r="H953" t="str" cm="1">
        <f t="array" ref="H953">_xlfn.LET(
     _xlpm.r, TRIM(C953),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54" spans="1:8" x14ac:dyDescent="0.25">
      <c r="A954">
        <v>2022</v>
      </c>
      <c r="B954" t="s">
        <v>40</v>
      </c>
      <c r="C954" t="s">
        <v>8</v>
      </c>
      <c r="E954">
        <v>400000</v>
      </c>
      <c r="F954" t="s">
        <v>104</v>
      </c>
      <c r="G954" t="str" cm="1">
        <f t="array" ref="G954">_xlfn.LET(
    _xlpm.r, TRIM(B954),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التسامح والتعايش</v>
      </c>
      <c r="H954" t="str" cm="1">
        <f t="array" ref="H954">_xlfn.LET(
     _xlpm.r, TRIM(C954),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55" spans="1:8" x14ac:dyDescent="0.25">
      <c r="A955">
        <v>2022</v>
      </c>
      <c r="B955" t="s">
        <v>41</v>
      </c>
      <c r="C955" t="s">
        <v>5</v>
      </c>
      <c r="E955">
        <v>4052684</v>
      </c>
      <c r="F955" t="s">
        <v>105</v>
      </c>
      <c r="G955" t="str" cm="1">
        <f t="array" ref="G955">_xlfn.LET(
    _xlpm.r, TRIM(B955),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955" t="str" cm="1">
        <f t="array" ref="H955">_xlfn.LET(
     _xlpm.r, TRIM(C955),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56" spans="1:8" x14ac:dyDescent="0.25">
      <c r="A956">
        <v>2022</v>
      </c>
      <c r="B956" t="s">
        <v>41</v>
      </c>
      <c r="C956" t="s">
        <v>5</v>
      </c>
      <c r="E956">
        <v>1038590104</v>
      </c>
      <c r="F956" t="s">
        <v>105</v>
      </c>
      <c r="G956" t="str" cm="1">
        <f t="array" ref="G956">_xlfn.LET(
    _xlpm.r, TRIM(B956),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956" t="str" cm="1">
        <f t="array" ref="H956">_xlfn.LET(
     _xlpm.r, TRIM(C956),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57" spans="1:8" x14ac:dyDescent="0.25">
      <c r="A957">
        <v>2022</v>
      </c>
      <c r="B957" t="s">
        <v>41</v>
      </c>
      <c r="C957" t="s">
        <v>5</v>
      </c>
      <c r="E957">
        <v>64085312</v>
      </c>
      <c r="F957" t="s">
        <v>105</v>
      </c>
      <c r="G957" t="str" cm="1">
        <f t="array" ref="G957">_xlfn.LET(
    _xlpm.r, TRIM(B957),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957" t="str" cm="1">
        <f t="array" ref="H957">_xlfn.LET(
     _xlpm.r, TRIM(C957),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58" spans="1:8" x14ac:dyDescent="0.25">
      <c r="A958">
        <v>2022</v>
      </c>
      <c r="B958" t="s">
        <v>41</v>
      </c>
      <c r="C958" t="s">
        <v>5</v>
      </c>
      <c r="E958">
        <v>143060928</v>
      </c>
      <c r="F958" t="s">
        <v>105</v>
      </c>
      <c r="G958" t="str" cm="1">
        <f t="array" ref="G958">_xlfn.LET(
    _xlpm.r, TRIM(B958),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958" t="str" cm="1">
        <f t="array" ref="H958">_xlfn.LET(
     _xlpm.r, TRIM(C958),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59" spans="1:8" x14ac:dyDescent="0.25">
      <c r="A959">
        <v>2022</v>
      </c>
      <c r="B959" t="s">
        <v>41</v>
      </c>
      <c r="C959" t="s">
        <v>5</v>
      </c>
      <c r="E959">
        <v>43954680</v>
      </c>
      <c r="F959" t="s">
        <v>105</v>
      </c>
      <c r="G959" t="str" cm="1">
        <f t="array" ref="G959">_xlfn.LET(
    _xlpm.r, TRIM(B959),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959" t="str" cm="1">
        <f t="array" ref="H959">_xlfn.LET(
     _xlpm.r, TRIM(C959),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60" spans="1:8" x14ac:dyDescent="0.25">
      <c r="A960">
        <v>2022</v>
      </c>
      <c r="B960" t="s">
        <v>41</v>
      </c>
      <c r="C960" t="s">
        <v>5</v>
      </c>
      <c r="E960">
        <v>71746176</v>
      </c>
      <c r="F960" t="s">
        <v>105</v>
      </c>
      <c r="G960" t="str" cm="1">
        <f t="array" ref="G960">_xlfn.LET(
    _xlpm.r, TRIM(B960),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960" t="str" cm="1">
        <f t="array" ref="H960">_xlfn.LET(
     _xlpm.r, TRIM(C960),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61" spans="1:8" x14ac:dyDescent="0.25">
      <c r="A961">
        <v>2022</v>
      </c>
      <c r="B961" t="s">
        <v>41</v>
      </c>
      <c r="C961" t="s">
        <v>5</v>
      </c>
      <c r="E961">
        <v>105256932</v>
      </c>
      <c r="F961" t="s">
        <v>105</v>
      </c>
      <c r="G961" t="str" cm="1">
        <f t="array" ref="G961">_xlfn.LET(
    _xlpm.r, TRIM(B961),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961" t="str" cm="1">
        <f t="array" ref="H961">_xlfn.LET(
     _xlpm.r, TRIM(C961),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62" spans="1:8" x14ac:dyDescent="0.25">
      <c r="A962">
        <v>2022</v>
      </c>
      <c r="B962" t="s">
        <v>41</v>
      </c>
      <c r="C962" t="s">
        <v>5</v>
      </c>
      <c r="E962">
        <v>42914708</v>
      </c>
      <c r="F962" t="s">
        <v>105</v>
      </c>
      <c r="G962" t="str" cm="1">
        <f t="array" ref="G962">_xlfn.LET(
    _xlpm.r, TRIM(B962),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962" t="str" cm="1">
        <f t="array" ref="H962">_xlfn.LET(
     _xlpm.r, TRIM(C962),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63" spans="1:8" x14ac:dyDescent="0.25">
      <c r="A963">
        <v>2022</v>
      </c>
      <c r="B963" t="s">
        <v>41</v>
      </c>
      <c r="C963" t="s">
        <v>5</v>
      </c>
      <c r="E963">
        <v>9219476</v>
      </c>
      <c r="F963" t="s">
        <v>105</v>
      </c>
      <c r="G963" t="str" cm="1">
        <f t="array" ref="G963">_xlfn.LET(
    _xlpm.r, TRIM(B963),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963" t="str" cm="1">
        <f t="array" ref="H963">_xlfn.LET(
     _xlpm.r, TRIM(C963),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64" spans="1:8" x14ac:dyDescent="0.25">
      <c r="A964">
        <v>2022</v>
      </c>
      <c r="B964" t="s">
        <v>41</v>
      </c>
      <c r="C964" t="s">
        <v>6</v>
      </c>
      <c r="E964">
        <v>433325000</v>
      </c>
      <c r="F964" t="s">
        <v>105</v>
      </c>
      <c r="G964" t="str" cm="1">
        <f t="array" ref="G964">_xlfn.LET(
    _xlpm.r, TRIM(B964),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964" t="str" cm="1">
        <f t="array" ref="H964">_xlfn.LET(
     _xlpm.r, TRIM(C964),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65" spans="1:8" x14ac:dyDescent="0.25">
      <c r="A965">
        <v>2022</v>
      </c>
      <c r="B965" t="s">
        <v>41</v>
      </c>
      <c r="C965" t="s">
        <v>6</v>
      </c>
      <c r="E965">
        <v>4736000</v>
      </c>
      <c r="F965" t="s">
        <v>105</v>
      </c>
      <c r="G965" t="str" cm="1">
        <f t="array" ref="G965">_xlfn.LET(
    _xlpm.r, TRIM(B965),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965" t="str" cm="1">
        <f t="array" ref="H965">_xlfn.LET(
     _xlpm.r, TRIM(C965),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66" spans="1:8" x14ac:dyDescent="0.25">
      <c r="A966">
        <v>2022</v>
      </c>
      <c r="B966" t="s">
        <v>41</v>
      </c>
      <c r="C966" t="s">
        <v>8</v>
      </c>
      <c r="E966">
        <v>42597000</v>
      </c>
      <c r="F966" t="s">
        <v>105</v>
      </c>
      <c r="G966" t="str" cm="1">
        <f t="array" ref="G966">_xlfn.LET(
    _xlpm.r, TRIM(B966),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966" t="str" cm="1">
        <f t="array" ref="H966">_xlfn.LET(
     _xlpm.r, TRIM(C966),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67" spans="1:8" x14ac:dyDescent="0.25">
      <c r="A967">
        <v>2022</v>
      </c>
      <c r="B967" t="s">
        <v>41</v>
      </c>
      <c r="C967" t="s">
        <v>8</v>
      </c>
      <c r="E967">
        <v>1300000</v>
      </c>
      <c r="F967" t="s">
        <v>105</v>
      </c>
      <c r="G967" t="str" cm="1">
        <f t="array" ref="G967">_xlfn.LET(
    _xlpm.r, TRIM(B967),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967" t="str" cm="1">
        <f t="array" ref="H967">_xlfn.LET(
     _xlpm.r, TRIM(C967),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68" spans="1:8" x14ac:dyDescent="0.25">
      <c r="A968">
        <v>2022</v>
      </c>
      <c r="B968" t="s">
        <v>42</v>
      </c>
      <c r="C968" t="s">
        <v>5</v>
      </c>
      <c r="E968">
        <v>8146000</v>
      </c>
      <c r="F968" t="s">
        <v>106</v>
      </c>
      <c r="G968" t="str" cm="1">
        <f t="array" ref="G968">_xlfn.LET(
    _xlpm.r, TRIM(B968),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الأعلى للأمومة والطفولة</v>
      </c>
      <c r="H968" t="str" cm="1">
        <f t="array" ref="H968">_xlfn.LET(
     _xlpm.r, TRIM(C968),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69" spans="1:8" x14ac:dyDescent="0.25">
      <c r="A969">
        <v>2022</v>
      </c>
      <c r="B969" t="s">
        <v>42</v>
      </c>
      <c r="C969" t="s">
        <v>6</v>
      </c>
      <c r="E969">
        <v>6256000</v>
      </c>
      <c r="F969" t="s">
        <v>106</v>
      </c>
      <c r="G969" t="str" cm="1">
        <f t="array" ref="G969">_xlfn.LET(
    _xlpm.r, TRIM(B969),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الأعلى للأمومة والطفولة</v>
      </c>
      <c r="H969" t="str" cm="1">
        <f t="array" ref="H969">_xlfn.LET(
     _xlpm.r, TRIM(C969),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70" spans="1:8" x14ac:dyDescent="0.25">
      <c r="A970">
        <v>2022</v>
      </c>
      <c r="B970" t="s">
        <v>42</v>
      </c>
      <c r="C970" t="s">
        <v>8</v>
      </c>
      <c r="E970">
        <v>598000</v>
      </c>
      <c r="F970" t="s">
        <v>106</v>
      </c>
      <c r="G970" t="str" cm="1">
        <f t="array" ref="G970">_xlfn.LET(
    _xlpm.r, TRIM(B970),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الأعلى للأمومة والطفولة</v>
      </c>
      <c r="H970" t="str" cm="1">
        <f t="array" ref="H970">_xlfn.LET(
     _xlpm.r, TRIM(C970),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71" spans="1:8" x14ac:dyDescent="0.25">
      <c r="A971">
        <v>2022</v>
      </c>
      <c r="B971" t="s">
        <v>43</v>
      </c>
      <c r="C971" t="s">
        <v>5</v>
      </c>
      <c r="E971">
        <v>36300000</v>
      </c>
      <c r="F971" t="s">
        <v>107</v>
      </c>
      <c r="G971" t="str" cm="1">
        <f t="array" ref="G971">_xlfn.LET(
    _xlpm.r, TRIM(B971),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أكاديمية الإمارات الدبلوماسية</v>
      </c>
      <c r="H971" t="str" cm="1">
        <f t="array" ref="H971">_xlfn.LET(
     _xlpm.r, TRIM(C971),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72" spans="1:8" x14ac:dyDescent="0.25">
      <c r="A972">
        <v>2022</v>
      </c>
      <c r="B972" t="s">
        <v>43</v>
      </c>
      <c r="C972" t="s">
        <v>6</v>
      </c>
      <c r="E972">
        <v>14064000</v>
      </c>
      <c r="F972" t="s">
        <v>107</v>
      </c>
      <c r="G972" t="str" cm="1">
        <f t="array" ref="G972">_xlfn.LET(
    _xlpm.r, TRIM(B972),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أكاديمية الإمارات الدبلوماسية</v>
      </c>
      <c r="H972" t="str" cm="1">
        <f t="array" ref="H972">_xlfn.LET(
     _xlpm.r, TRIM(C972),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73" spans="1:8" x14ac:dyDescent="0.25">
      <c r="A973">
        <v>2022</v>
      </c>
      <c r="B973" t="s">
        <v>43</v>
      </c>
      <c r="C973" t="s">
        <v>8</v>
      </c>
      <c r="E973">
        <v>1636000</v>
      </c>
      <c r="F973" t="s">
        <v>107</v>
      </c>
      <c r="G973" t="str" cm="1">
        <f t="array" ref="G973">_xlfn.LET(
    _xlpm.r, TRIM(B973),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أكاديمية الإمارات الدبلوماسية</v>
      </c>
      <c r="H973" t="str" cm="1">
        <f t="array" ref="H973">_xlfn.LET(
     _xlpm.r, TRIM(C973),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74" spans="1:8" x14ac:dyDescent="0.25">
      <c r="A974">
        <v>2022</v>
      </c>
      <c r="B974" t="s">
        <v>44</v>
      </c>
      <c r="C974" t="s">
        <v>5</v>
      </c>
      <c r="E974">
        <v>57294000</v>
      </c>
      <c r="F974" t="s">
        <v>108</v>
      </c>
      <c r="G974" t="str" cm="1">
        <f t="array" ref="G974">_xlfn.LET(
    _xlpm.r, TRIM(B974),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الوطني للإرشاد</v>
      </c>
      <c r="H974" t="str" cm="1">
        <f t="array" ref="H974">_xlfn.LET(
     _xlpm.r, TRIM(C974),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75" spans="1:8" x14ac:dyDescent="0.25">
      <c r="A975">
        <v>2022</v>
      </c>
      <c r="B975" t="s">
        <v>44</v>
      </c>
      <c r="C975" t="s">
        <v>6</v>
      </c>
      <c r="E975">
        <v>14343000</v>
      </c>
      <c r="F975" t="s">
        <v>108</v>
      </c>
      <c r="G975" t="str" cm="1">
        <f t="array" ref="G975">_xlfn.LET(
    _xlpm.r, TRIM(B975),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الوطني للإرشاد</v>
      </c>
      <c r="H975" t="str" cm="1">
        <f t="array" ref="H975">_xlfn.LET(
     _xlpm.r, TRIM(C975),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76" spans="1:8" x14ac:dyDescent="0.25">
      <c r="A976">
        <v>2022</v>
      </c>
      <c r="B976" t="s">
        <v>44</v>
      </c>
      <c r="C976" t="s">
        <v>7</v>
      </c>
      <c r="E976">
        <v>2564000</v>
      </c>
      <c r="F976" t="s">
        <v>108</v>
      </c>
      <c r="G976" t="str" cm="1">
        <f t="array" ref="G976">_xlfn.LET(
    _xlpm.r, TRIM(B976),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الوطني للإرشاد</v>
      </c>
      <c r="H976" t="str" cm="1">
        <f t="array" ref="H976">_xlfn.LET(
     _xlpm.r, TRIM(C976),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977" spans="1:8" x14ac:dyDescent="0.25">
      <c r="A977">
        <v>2022</v>
      </c>
      <c r="B977" t="s">
        <v>44</v>
      </c>
      <c r="C977" t="s">
        <v>8</v>
      </c>
      <c r="E977">
        <v>500000</v>
      </c>
      <c r="F977" t="s">
        <v>108</v>
      </c>
      <c r="G977" t="str" cm="1">
        <f t="array" ref="G977">_xlfn.LET(
    _xlpm.r, TRIM(B977),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الوطني للإرشاد</v>
      </c>
      <c r="H977" t="str" cm="1">
        <f t="array" ref="H977">_xlfn.LET(
     _xlpm.r, TRIM(C977),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78" spans="1:8" x14ac:dyDescent="0.25">
      <c r="A978">
        <v>2022</v>
      </c>
      <c r="B978" t="s">
        <v>45</v>
      </c>
      <c r="C978" t="s">
        <v>5</v>
      </c>
      <c r="E978">
        <v>15000</v>
      </c>
      <c r="F978" t="s">
        <v>109</v>
      </c>
      <c r="G978" t="str" cm="1">
        <f t="array" ref="G978">_xlfn.LET(
    _xlpm.r, TRIM(B978),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الإمارات للفضاء</v>
      </c>
      <c r="H978" t="str" cm="1">
        <f t="array" ref="H978">_xlfn.LET(
     _xlpm.r, TRIM(C978),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79" spans="1:8" x14ac:dyDescent="0.25">
      <c r="A979">
        <v>2022</v>
      </c>
      <c r="B979" t="s">
        <v>45</v>
      </c>
      <c r="C979" t="s">
        <v>5</v>
      </c>
      <c r="E979">
        <v>58501000</v>
      </c>
      <c r="F979" t="s">
        <v>109</v>
      </c>
      <c r="G979" t="str" cm="1">
        <f t="array" ref="G979">_xlfn.LET(
    _xlpm.r, TRIM(B979),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الإمارات للفضاء</v>
      </c>
      <c r="H979" t="str" cm="1">
        <f t="array" ref="H979">_xlfn.LET(
     _xlpm.r, TRIM(C979),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80" spans="1:8" x14ac:dyDescent="0.25">
      <c r="A980">
        <v>2022</v>
      </c>
      <c r="B980" t="s">
        <v>45</v>
      </c>
      <c r="C980" t="s">
        <v>6</v>
      </c>
      <c r="E980">
        <v>53654000</v>
      </c>
      <c r="F980" t="s">
        <v>109</v>
      </c>
      <c r="G980" t="str" cm="1">
        <f t="array" ref="G980">_xlfn.LET(
    _xlpm.r, TRIM(B980),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الإمارات للفضاء</v>
      </c>
      <c r="H980" t="str" cm="1">
        <f t="array" ref="H980">_xlfn.LET(
     _xlpm.r, TRIM(C980),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81" spans="1:8" x14ac:dyDescent="0.25">
      <c r="A981">
        <v>2022</v>
      </c>
      <c r="B981" t="s">
        <v>45</v>
      </c>
      <c r="C981" t="s">
        <v>8</v>
      </c>
      <c r="E981">
        <v>176744000</v>
      </c>
      <c r="F981" t="s">
        <v>109</v>
      </c>
      <c r="G981" t="str" cm="1">
        <f t="array" ref="G981">_xlfn.LET(
    _xlpm.r, TRIM(B981),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الإمارات للفضاء</v>
      </c>
      <c r="H981" t="str" cm="1">
        <f t="array" ref="H981">_xlfn.LET(
     _xlpm.r, TRIM(C981),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982" spans="1:8" x14ac:dyDescent="0.25">
      <c r="A982">
        <v>2022</v>
      </c>
      <c r="B982" t="s">
        <v>46</v>
      </c>
      <c r="C982" t="s">
        <v>5</v>
      </c>
      <c r="E982">
        <v>502000</v>
      </c>
      <c r="F982" t="s">
        <v>110</v>
      </c>
      <c r="G982" t="str" cm="1">
        <f t="array" ref="G982">_xlfn.LET(
    _xlpm.r, TRIM(B982),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82" t="str" cm="1">
        <f t="array" ref="H982">_xlfn.LET(
     _xlpm.r, TRIM(C982),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83" spans="1:8" x14ac:dyDescent="0.25">
      <c r="A983">
        <v>2022</v>
      </c>
      <c r="B983" t="s">
        <v>46</v>
      </c>
      <c r="C983" t="s">
        <v>5</v>
      </c>
      <c r="E983">
        <v>140418742</v>
      </c>
      <c r="F983" t="s">
        <v>110</v>
      </c>
      <c r="G983" t="str" cm="1">
        <f t="array" ref="G983">_xlfn.LET(
    _xlpm.r, TRIM(B983),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83" t="str" cm="1">
        <f t="array" ref="H983">_xlfn.LET(
     _xlpm.r, TRIM(C983),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84" spans="1:8" x14ac:dyDescent="0.25">
      <c r="A984">
        <v>2022</v>
      </c>
      <c r="B984" t="s">
        <v>46</v>
      </c>
      <c r="C984" t="s">
        <v>5</v>
      </c>
      <c r="E984">
        <v>50000</v>
      </c>
      <c r="F984" t="s">
        <v>110</v>
      </c>
      <c r="G984" t="str" cm="1">
        <f t="array" ref="G984">_xlfn.LET(
    _xlpm.r, TRIM(B984),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84" t="str" cm="1">
        <f t="array" ref="H984">_xlfn.LET(
     _xlpm.r, TRIM(C984),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85" spans="1:8" x14ac:dyDescent="0.25">
      <c r="A985">
        <v>2022</v>
      </c>
      <c r="B985" t="s">
        <v>46</v>
      </c>
      <c r="C985" t="s">
        <v>5</v>
      </c>
      <c r="E985">
        <v>24469452</v>
      </c>
      <c r="F985" t="s">
        <v>110</v>
      </c>
      <c r="G985" t="str" cm="1">
        <f t="array" ref="G985">_xlfn.LET(
    _xlpm.r, TRIM(B985),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85" t="str" cm="1">
        <f t="array" ref="H985">_xlfn.LET(
     _xlpm.r, TRIM(C985),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86" spans="1:8" x14ac:dyDescent="0.25">
      <c r="A986">
        <v>2022</v>
      </c>
      <c r="B986" t="s">
        <v>46</v>
      </c>
      <c r="C986" t="s">
        <v>5</v>
      </c>
      <c r="E986">
        <v>24583216</v>
      </c>
      <c r="F986" t="s">
        <v>110</v>
      </c>
      <c r="G986" t="str" cm="1">
        <f t="array" ref="G986">_xlfn.LET(
    _xlpm.r, TRIM(B986),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86" t="str" cm="1">
        <f t="array" ref="H986">_xlfn.LET(
     _xlpm.r, TRIM(C986),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87" spans="1:8" x14ac:dyDescent="0.25">
      <c r="A987">
        <v>2022</v>
      </c>
      <c r="B987" t="s">
        <v>46</v>
      </c>
      <c r="C987" t="s">
        <v>5</v>
      </c>
      <c r="E987">
        <v>19566092</v>
      </c>
      <c r="F987" t="s">
        <v>110</v>
      </c>
      <c r="G987" t="str" cm="1">
        <f t="array" ref="G987">_xlfn.LET(
    _xlpm.r, TRIM(B987),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87" t="str" cm="1">
        <f t="array" ref="H987">_xlfn.LET(
     _xlpm.r, TRIM(C987),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88" spans="1:8" x14ac:dyDescent="0.25">
      <c r="A988">
        <v>2022</v>
      </c>
      <c r="B988" t="s">
        <v>46</v>
      </c>
      <c r="C988" t="s">
        <v>5</v>
      </c>
      <c r="E988">
        <v>47037886</v>
      </c>
      <c r="F988" t="s">
        <v>110</v>
      </c>
      <c r="G988" t="str" cm="1">
        <f t="array" ref="G988">_xlfn.LET(
    _xlpm.r, TRIM(B988),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88" t="str" cm="1">
        <f t="array" ref="H988">_xlfn.LET(
     _xlpm.r, TRIM(C988),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89" spans="1:8" x14ac:dyDescent="0.25">
      <c r="A989">
        <v>2022</v>
      </c>
      <c r="B989" t="s">
        <v>46</v>
      </c>
      <c r="C989" t="s">
        <v>5</v>
      </c>
      <c r="E989">
        <v>14192220</v>
      </c>
      <c r="F989" t="s">
        <v>110</v>
      </c>
      <c r="G989" t="str" cm="1">
        <f t="array" ref="G989">_xlfn.LET(
    _xlpm.r, TRIM(B989),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89" t="str" cm="1">
        <f t="array" ref="H989">_xlfn.LET(
     _xlpm.r, TRIM(C989),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90" spans="1:8" x14ac:dyDescent="0.25">
      <c r="A990">
        <v>2022</v>
      </c>
      <c r="B990" t="s">
        <v>46</v>
      </c>
      <c r="C990" t="s">
        <v>5</v>
      </c>
      <c r="E990">
        <v>69516516</v>
      </c>
      <c r="F990" t="s">
        <v>110</v>
      </c>
      <c r="G990" t="str" cm="1">
        <f t="array" ref="G990">_xlfn.LET(
    _xlpm.r, TRIM(B990),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90" t="str" cm="1">
        <f t="array" ref="H990">_xlfn.LET(
     _xlpm.r, TRIM(C990),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91" spans="1:8" x14ac:dyDescent="0.25">
      <c r="A991">
        <v>2022</v>
      </c>
      <c r="B991" t="s">
        <v>46</v>
      </c>
      <c r="C991" t="s">
        <v>5</v>
      </c>
      <c r="E991">
        <v>16572876</v>
      </c>
      <c r="F991" t="s">
        <v>110</v>
      </c>
      <c r="G991" t="str" cm="1">
        <f t="array" ref="G991">_xlfn.LET(
    _xlpm.r, TRIM(B991),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91" t="str" cm="1">
        <f t="array" ref="H991">_xlfn.LET(
     _xlpm.r, TRIM(C991),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992" spans="1:8" x14ac:dyDescent="0.25">
      <c r="A992">
        <v>2022</v>
      </c>
      <c r="B992" t="s">
        <v>46</v>
      </c>
      <c r="C992" t="s">
        <v>6</v>
      </c>
      <c r="E992">
        <v>24563388</v>
      </c>
      <c r="F992" t="s">
        <v>110</v>
      </c>
      <c r="G992" t="str" cm="1">
        <f t="array" ref="G992">_xlfn.LET(
    _xlpm.r, TRIM(B992),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92" t="str" cm="1">
        <f t="array" ref="H992">_xlfn.LET(
     _xlpm.r, TRIM(C992),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93" spans="1:8" x14ac:dyDescent="0.25">
      <c r="A993">
        <v>2022</v>
      </c>
      <c r="B993" t="s">
        <v>46</v>
      </c>
      <c r="C993" t="s">
        <v>6</v>
      </c>
      <c r="E993">
        <v>228000</v>
      </c>
      <c r="F993" t="s">
        <v>110</v>
      </c>
      <c r="G993" t="str" cm="1">
        <f t="array" ref="G993">_xlfn.LET(
    _xlpm.r, TRIM(B993),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93" t="str" cm="1">
        <f t="array" ref="H993">_xlfn.LET(
     _xlpm.r, TRIM(C993),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94" spans="1:8" x14ac:dyDescent="0.25">
      <c r="A994">
        <v>2022</v>
      </c>
      <c r="B994" t="s">
        <v>46</v>
      </c>
      <c r="C994" t="s">
        <v>6</v>
      </c>
      <c r="E994">
        <v>8501619</v>
      </c>
      <c r="F994" t="s">
        <v>110</v>
      </c>
      <c r="G994" t="str" cm="1">
        <f t="array" ref="G994">_xlfn.LET(
    _xlpm.r, TRIM(B994),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94" t="str" cm="1">
        <f t="array" ref="H994">_xlfn.LET(
     _xlpm.r, TRIM(C994),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95" spans="1:8" x14ac:dyDescent="0.25">
      <c r="A995">
        <v>2022</v>
      </c>
      <c r="B995" t="s">
        <v>46</v>
      </c>
      <c r="C995" t="s">
        <v>6</v>
      </c>
      <c r="E995">
        <v>11856247</v>
      </c>
      <c r="F995" t="s">
        <v>110</v>
      </c>
      <c r="G995" t="str" cm="1">
        <f t="array" ref="G995">_xlfn.LET(
    _xlpm.r, TRIM(B995),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95" t="str" cm="1">
        <f t="array" ref="H995">_xlfn.LET(
     _xlpm.r, TRIM(C995),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96" spans="1:8" x14ac:dyDescent="0.25">
      <c r="A996">
        <v>2022</v>
      </c>
      <c r="B996" t="s">
        <v>46</v>
      </c>
      <c r="C996" t="s">
        <v>6</v>
      </c>
      <c r="E996">
        <v>14093460</v>
      </c>
      <c r="F996" t="s">
        <v>110</v>
      </c>
      <c r="G996" t="str" cm="1">
        <f t="array" ref="G996">_xlfn.LET(
    _xlpm.r, TRIM(B996),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96" t="str" cm="1">
        <f t="array" ref="H996">_xlfn.LET(
     _xlpm.r, TRIM(C996),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97" spans="1:8" x14ac:dyDescent="0.25">
      <c r="A997">
        <v>2022</v>
      </c>
      <c r="B997" t="s">
        <v>46</v>
      </c>
      <c r="C997" t="s">
        <v>6</v>
      </c>
      <c r="E997">
        <v>33869045</v>
      </c>
      <c r="F997" t="s">
        <v>110</v>
      </c>
      <c r="G997" t="str" cm="1">
        <f t="array" ref="G997">_xlfn.LET(
    _xlpm.r, TRIM(B997),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97" t="str" cm="1">
        <f t="array" ref="H997">_xlfn.LET(
     _xlpm.r, TRIM(C997),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98" spans="1:8" x14ac:dyDescent="0.25">
      <c r="A998">
        <v>2022</v>
      </c>
      <c r="B998" t="s">
        <v>46</v>
      </c>
      <c r="C998" t="s">
        <v>6</v>
      </c>
      <c r="E998">
        <v>9918803</v>
      </c>
      <c r="F998" t="s">
        <v>110</v>
      </c>
      <c r="G998" t="str" cm="1">
        <f t="array" ref="G998">_xlfn.LET(
    _xlpm.r, TRIM(B998),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98" t="str" cm="1">
        <f t="array" ref="H998">_xlfn.LET(
     _xlpm.r, TRIM(C998),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999" spans="1:8" x14ac:dyDescent="0.25">
      <c r="A999">
        <v>2022</v>
      </c>
      <c r="B999" t="s">
        <v>46</v>
      </c>
      <c r="C999" t="s">
        <v>6</v>
      </c>
      <c r="E999">
        <v>1167062</v>
      </c>
      <c r="F999" t="s">
        <v>110</v>
      </c>
      <c r="G999" t="str" cm="1">
        <f t="array" ref="G999">_xlfn.LET(
    _xlpm.r, TRIM(B999),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999" t="str" cm="1">
        <f t="array" ref="H999">_xlfn.LET(
     _xlpm.r, TRIM(C999),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00" spans="1:8" x14ac:dyDescent="0.25">
      <c r="A1000">
        <v>2022</v>
      </c>
      <c r="B1000" t="s">
        <v>46</v>
      </c>
      <c r="C1000" t="s">
        <v>6</v>
      </c>
      <c r="E1000">
        <v>688376</v>
      </c>
      <c r="F1000" t="s">
        <v>110</v>
      </c>
      <c r="G1000" t="str" cm="1">
        <f t="array" ref="G1000">_xlfn.LET(
    _xlpm.r, TRIM(B1000),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000" t="str" cm="1">
        <f t="array" ref="H1000">_xlfn.LET(
     _xlpm.r, TRIM(C1000),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01" spans="1:8" x14ac:dyDescent="0.25">
      <c r="A1001">
        <v>2022</v>
      </c>
      <c r="B1001" t="s">
        <v>46</v>
      </c>
      <c r="C1001" t="s">
        <v>8</v>
      </c>
      <c r="E1001">
        <v>1818000</v>
      </c>
      <c r="F1001" t="s">
        <v>110</v>
      </c>
      <c r="G1001" t="str" cm="1">
        <f t="array" ref="G1001">_xlfn.LET(
    _xlpm.r, TRIM(B1001),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001" t="str" cm="1">
        <f t="array" ref="H1001">_xlfn.LET(
     _xlpm.r, TRIM(C1001),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02" spans="1:8" x14ac:dyDescent="0.25">
      <c r="A1002">
        <v>2022</v>
      </c>
      <c r="B1002" t="s">
        <v>46</v>
      </c>
      <c r="C1002" t="s">
        <v>8</v>
      </c>
      <c r="E1002">
        <v>200000</v>
      </c>
      <c r="F1002" t="s">
        <v>110</v>
      </c>
      <c r="G1002" t="str" cm="1">
        <f t="array" ref="G1002">_xlfn.LET(
    _xlpm.r, TRIM(B1002),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002" t="str" cm="1">
        <f t="array" ref="H1002">_xlfn.LET(
     _xlpm.r, TRIM(C1002),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03" spans="1:8" x14ac:dyDescent="0.25">
      <c r="A1003">
        <v>2022</v>
      </c>
      <c r="B1003" t="s">
        <v>47</v>
      </c>
      <c r="C1003" t="s">
        <v>5</v>
      </c>
      <c r="E1003">
        <v>55000</v>
      </c>
      <c r="F1003" t="s">
        <v>111</v>
      </c>
      <c r="G1003" t="str" cm="1">
        <f t="array" ref="G1003">_xlfn.LET(
    _xlpm.r, TRIM(B1003),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1003" t="str" cm="1">
        <f t="array" ref="H1003">_xlfn.LET(
     _xlpm.r, TRIM(C1003),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04" spans="1:8" x14ac:dyDescent="0.25">
      <c r="A1004">
        <v>2022</v>
      </c>
      <c r="B1004" t="s">
        <v>47</v>
      </c>
      <c r="C1004" t="s">
        <v>5</v>
      </c>
      <c r="E1004">
        <v>4848661</v>
      </c>
      <c r="F1004" t="s">
        <v>111</v>
      </c>
      <c r="G1004" t="str" cm="1">
        <f t="array" ref="G1004">_xlfn.LET(
    _xlpm.r, TRIM(B1004),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1004" t="str" cm="1">
        <f t="array" ref="H1004">_xlfn.LET(
     _xlpm.r, TRIM(C1004),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05" spans="1:8" x14ac:dyDescent="0.25">
      <c r="A1005">
        <v>2022</v>
      </c>
      <c r="B1005" t="s">
        <v>47</v>
      </c>
      <c r="C1005" t="s">
        <v>5</v>
      </c>
      <c r="E1005">
        <v>51304339</v>
      </c>
      <c r="F1005" t="s">
        <v>111</v>
      </c>
      <c r="G1005" t="str" cm="1">
        <f t="array" ref="G1005">_xlfn.LET(
    _xlpm.r, TRIM(B1005),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1005" t="str" cm="1">
        <f t="array" ref="H1005">_xlfn.LET(
     _xlpm.r, TRIM(C1005),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06" spans="1:8" x14ac:dyDescent="0.25">
      <c r="A1006">
        <v>2022</v>
      </c>
      <c r="B1006" t="s">
        <v>47</v>
      </c>
      <c r="C1006" t="s">
        <v>6</v>
      </c>
      <c r="E1006">
        <v>16437000</v>
      </c>
      <c r="F1006" t="s">
        <v>111</v>
      </c>
      <c r="G1006" t="str" cm="1">
        <f t="array" ref="G1006">_xlfn.LET(
    _xlpm.r, TRIM(B1006),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1006" t="str" cm="1">
        <f t="array" ref="H1006">_xlfn.LET(
     _xlpm.r, TRIM(C1006),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07" spans="1:8" x14ac:dyDescent="0.25">
      <c r="A1007">
        <v>2022</v>
      </c>
      <c r="B1007" t="s">
        <v>47</v>
      </c>
      <c r="C1007" t="s">
        <v>8</v>
      </c>
      <c r="E1007">
        <v>600000</v>
      </c>
      <c r="F1007" t="s">
        <v>111</v>
      </c>
      <c r="G1007" t="str" cm="1">
        <f t="array" ref="G1007">_xlfn.LET(
    _xlpm.r, TRIM(B1007),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1007" t="str" cm="1">
        <f t="array" ref="H1007">_xlfn.LET(
     _xlpm.r, TRIM(C1007),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08" spans="1:8" x14ac:dyDescent="0.25">
      <c r="A1008">
        <v>2022</v>
      </c>
      <c r="B1008" t="s">
        <v>48</v>
      </c>
      <c r="C1008" t="s">
        <v>5</v>
      </c>
      <c r="E1008">
        <v>916830000</v>
      </c>
      <c r="F1008" t="s">
        <v>112</v>
      </c>
      <c r="G1008" t="str" cm="1">
        <f t="array" ref="G1008">_xlfn.LET(
    _xlpm.r, TRIM(B1008),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الإمارات العربية المتحدة</v>
      </c>
      <c r="H1008" t="str" cm="1">
        <f t="array" ref="H1008">_xlfn.LET(
     _xlpm.r, TRIM(C1008),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09" spans="1:8" x14ac:dyDescent="0.25">
      <c r="A1009">
        <v>2022</v>
      </c>
      <c r="B1009" t="s">
        <v>48</v>
      </c>
      <c r="C1009" t="s">
        <v>6</v>
      </c>
      <c r="E1009">
        <v>405730000</v>
      </c>
      <c r="F1009" t="s">
        <v>112</v>
      </c>
      <c r="G1009" t="str" cm="1">
        <f t="array" ref="G1009">_xlfn.LET(
    _xlpm.r, TRIM(B1009),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الإمارات العربية المتحدة</v>
      </c>
      <c r="H1009" t="str" cm="1">
        <f t="array" ref="H1009">_xlfn.LET(
     _xlpm.r, TRIM(C1009),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10" spans="1:8" x14ac:dyDescent="0.25">
      <c r="A1010">
        <v>2022</v>
      </c>
      <c r="B1010" t="s">
        <v>48</v>
      </c>
      <c r="C1010" t="s">
        <v>19</v>
      </c>
      <c r="E1010">
        <v>60000</v>
      </c>
      <c r="F1010" t="s">
        <v>112</v>
      </c>
      <c r="G1010" t="str" cm="1">
        <f t="array" ref="G1010">_xlfn.LET(
    _xlpm.r, TRIM(B1010),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الإمارات العربية المتحدة</v>
      </c>
      <c r="H1010" t="str" cm="1">
        <f t="array" ref="H1010">_xlfn.LET(
     _xlpm.r, TRIM(C1010),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011" spans="1:8" x14ac:dyDescent="0.25">
      <c r="A1011">
        <v>2022</v>
      </c>
      <c r="B1011" t="s">
        <v>48</v>
      </c>
      <c r="C1011" t="s">
        <v>8</v>
      </c>
      <c r="E1011">
        <v>57949000</v>
      </c>
      <c r="F1011" t="s">
        <v>112</v>
      </c>
      <c r="G1011" t="str" cm="1">
        <f t="array" ref="G1011">_xlfn.LET(
    _xlpm.r, TRIM(B1011),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الإمارات العربية المتحدة</v>
      </c>
      <c r="H1011" t="str" cm="1">
        <f t="array" ref="H1011">_xlfn.LET(
     _xlpm.r, TRIM(C1011),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12" spans="1:8" x14ac:dyDescent="0.25">
      <c r="A1012">
        <v>2022</v>
      </c>
      <c r="B1012" t="s">
        <v>49</v>
      </c>
      <c r="C1012" t="s">
        <v>5</v>
      </c>
      <c r="E1012">
        <v>10000</v>
      </c>
      <c r="F1012" t="s">
        <v>113</v>
      </c>
      <c r="G1012" t="str" cm="1">
        <f t="array" ref="G1012">_xlfn.LET(
    _xlpm.r, TRIM(B1012),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012" t="str" cm="1">
        <f t="array" ref="H1012">_xlfn.LET(
     _xlpm.r, TRIM(C1012),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13" spans="1:8" x14ac:dyDescent="0.25">
      <c r="A1013">
        <v>2022</v>
      </c>
      <c r="B1013" t="s">
        <v>49</v>
      </c>
      <c r="C1013" t="s">
        <v>5</v>
      </c>
      <c r="E1013">
        <v>332152876</v>
      </c>
      <c r="F1013" t="s">
        <v>113</v>
      </c>
      <c r="G1013" t="str" cm="1">
        <f t="array" ref="G1013">_xlfn.LET(
    _xlpm.r, TRIM(B1013),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013" t="str" cm="1">
        <f t="array" ref="H1013">_xlfn.LET(
     _xlpm.r, TRIM(C1013),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14" spans="1:8" x14ac:dyDescent="0.25">
      <c r="A1014">
        <v>2022</v>
      </c>
      <c r="B1014" t="s">
        <v>49</v>
      </c>
      <c r="C1014" t="s">
        <v>5</v>
      </c>
      <c r="E1014">
        <v>131502564</v>
      </c>
      <c r="F1014" t="s">
        <v>113</v>
      </c>
      <c r="G1014" t="str" cm="1">
        <f t="array" ref="G1014">_xlfn.LET(
    _xlpm.r, TRIM(B1014),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014" t="str" cm="1">
        <f t="array" ref="H1014">_xlfn.LET(
     _xlpm.r, TRIM(C1014),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15" spans="1:8" x14ac:dyDescent="0.25">
      <c r="A1015">
        <v>2022</v>
      </c>
      <c r="B1015" t="s">
        <v>49</v>
      </c>
      <c r="C1015" t="s">
        <v>5</v>
      </c>
      <c r="E1015">
        <v>123765264</v>
      </c>
      <c r="F1015" t="s">
        <v>113</v>
      </c>
      <c r="G1015" t="str" cm="1">
        <f t="array" ref="G1015">_xlfn.LET(
    _xlpm.r, TRIM(B1015),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015" t="str" cm="1">
        <f t="array" ref="H1015">_xlfn.LET(
     _xlpm.r, TRIM(C1015),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16" spans="1:8" x14ac:dyDescent="0.25">
      <c r="A1016">
        <v>2022</v>
      </c>
      <c r="B1016" t="s">
        <v>49</v>
      </c>
      <c r="C1016" t="s">
        <v>5</v>
      </c>
      <c r="E1016">
        <v>68501748</v>
      </c>
      <c r="F1016" t="s">
        <v>113</v>
      </c>
      <c r="G1016" t="str" cm="1">
        <f t="array" ref="G1016">_xlfn.LET(
    _xlpm.r, TRIM(B1016),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016" t="str" cm="1">
        <f t="array" ref="H1016">_xlfn.LET(
     _xlpm.r, TRIM(C1016),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17" spans="1:8" x14ac:dyDescent="0.25">
      <c r="A1017">
        <v>2022</v>
      </c>
      <c r="B1017" t="s">
        <v>49</v>
      </c>
      <c r="C1017" t="s">
        <v>5</v>
      </c>
      <c r="E1017">
        <v>74647248</v>
      </c>
      <c r="F1017" t="s">
        <v>113</v>
      </c>
      <c r="G1017" t="str" cm="1">
        <f t="array" ref="G1017">_xlfn.LET(
    _xlpm.r, TRIM(B1017),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017" t="str" cm="1">
        <f t="array" ref="H1017">_xlfn.LET(
     _xlpm.r, TRIM(C1017),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18" spans="1:8" x14ac:dyDescent="0.25">
      <c r="A1018">
        <v>2022</v>
      </c>
      <c r="B1018" t="s">
        <v>49</v>
      </c>
      <c r="C1018" t="s">
        <v>5</v>
      </c>
      <c r="E1018">
        <v>60797604</v>
      </c>
      <c r="F1018" t="s">
        <v>113</v>
      </c>
      <c r="G1018" t="str" cm="1">
        <f t="array" ref="G1018">_xlfn.LET(
    _xlpm.r, TRIM(B1018),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018" t="str" cm="1">
        <f t="array" ref="H1018">_xlfn.LET(
     _xlpm.r, TRIM(C1018),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19" spans="1:8" x14ac:dyDescent="0.25">
      <c r="A1019">
        <v>2022</v>
      </c>
      <c r="B1019" t="s">
        <v>49</v>
      </c>
      <c r="C1019" t="s">
        <v>5</v>
      </c>
      <c r="E1019">
        <v>26670696</v>
      </c>
      <c r="F1019" t="s">
        <v>113</v>
      </c>
      <c r="G1019" t="str" cm="1">
        <f t="array" ref="G1019">_xlfn.LET(
    _xlpm.r, TRIM(B1019),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019" t="str" cm="1">
        <f t="array" ref="H1019">_xlfn.LET(
     _xlpm.r, TRIM(C1019),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20" spans="1:8" x14ac:dyDescent="0.25">
      <c r="A1020">
        <v>2022</v>
      </c>
      <c r="B1020" t="s">
        <v>49</v>
      </c>
      <c r="C1020" t="s">
        <v>6</v>
      </c>
      <c r="E1020">
        <v>129974000</v>
      </c>
      <c r="F1020" t="s">
        <v>113</v>
      </c>
      <c r="G1020" t="str" cm="1">
        <f t="array" ref="G1020">_xlfn.LET(
    _xlpm.r, TRIM(B1020),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020" t="str" cm="1">
        <f t="array" ref="H1020">_xlfn.LET(
     _xlpm.r, TRIM(C1020),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21" spans="1:8" x14ac:dyDescent="0.25">
      <c r="A1021">
        <v>2022</v>
      </c>
      <c r="B1021" t="s">
        <v>49</v>
      </c>
      <c r="C1021" t="s">
        <v>8</v>
      </c>
      <c r="E1021">
        <v>16875000</v>
      </c>
      <c r="F1021" t="s">
        <v>113</v>
      </c>
      <c r="G1021" t="str" cm="1">
        <f t="array" ref="G1021">_xlfn.LET(
    _xlpm.r, TRIM(B1021),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021" t="str" cm="1">
        <f t="array" ref="H1021">_xlfn.LET(
     _xlpm.r, TRIM(C1021),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22" spans="1:8" x14ac:dyDescent="0.25">
      <c r="A1022">
        <v>2022</v>
      </c>
      <c r="B1022" t="s">
        <v>50</v>
      </c>
      <c r="C1022" t="s">
        <v>5</v>
      </c>
      <c r="E1022">
        <v>237024611</v>
      </c>
      <c r="F1022" t="s">
        <v>114</v>
      </c>
      <c r="G1022" t="str" cm="1">
        <f t="array" ref="G1022">_xlfn.LET(
    _xlpm.r, TRIM(B1022),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زايد</v>
      </c>
      <c r="H1022" t="str" cm="1">
        <f t="array" ref="H1022">_xlfn.LET(
     _xlpm.r, TRIM(C1022),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23" spans="1:8" x14ac:dyDescent="0.25">
      <c r="A1023">
        <v>2022</v>
      </c>
      <c r="B1023" t="s">
        <v>50</v>
      </c>
      <c r="C1023" t="s">
        <v>5</v>
      </c>
      <c r="E1023">
        <v>224575389</v>
      </c>
      <c r="F1023" t="s">
        <v>114</v>
      </c>
      <c r="G1023" t="str" cm="1">
        <f t="array" ref="G1023">_xlfn.LET(
    _xlpm.r, TRIM(B1023),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زايد</v>
      </c>
      <c r="H1023" t="str" cm="1">
        <f t="array" ref="H1023">_xlfn.LET(
     _xlpm.r, TRIM(C1023),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24" spans="1:8" x14ac:dyDescent="0.25">
      <c r="A1024">
        <v>2022</v>
      </c>
      <c r="B1024" t="s">
        <v>50</v>
      </c>
      <c r="C1024" t="s">
        <v>6</v>
      </c>
      <c r="E1024">
        <v>3221355</v>
      </c>
      <c r="F1024" t="s">
        <v>114</v>
      </c>
      <c r="G1024" t="str" cm="1">
        <f t="array" ref="G1024">_xlfn.LET(
    _xlpm.r, TRIM(B1024),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زايد</v>
      </c>
      <c r="H1024" t="str" cm="1">
        <f t="array" ref="H1024">_xlfn.LET(
     _xlpm.r, TRIM(C1024),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25" spans="1:8" x14ac:dyDescent="0.25">
      <c r="A1025">
        <v>2022</v>
      </c>
      <c r="B1025" t="s">
        <v>50</v>
      </c>
      <c r="C1025" t="s">
        <v>6</v>
      </c>
      <c r="E1025">
        <v>3656645</v>
      </c>
      <c r="F1025" t="s">
        <v>114</v>
      </c>
      <c r="G1025" t="str" cm="1">
        <f t="array" ref="G1025">_xlfn.LET(
    _xlpm.r, TRIM(B1025),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زايد</v>
      </c>
      <c r="H1025" t="str" cm="1">
        <f t="array" ref="H1025">_xlfn.LET(
     _xlpm.r, TRIM(C1025),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26" spans="1:8" x14ac:dyDescent="0.25">
      <c r="A1026">
        <v>2022</v>
      </c>
      <c r="B1026" t="s">
        <v>50</v>
      </c>
      <c r="C1026" t="s">
        <v>8</v>
      </c>
      <c r="E1026">
        <v>310943</v>
      </c>
      <c r="F1026" t="s">
        <v>114</v>
      </c>
      <c r="G1026" t="str" cm="1">
        <f t="array" ref="G1026">_xlfn.LET(
    _xlpm.r, TRIM(B1026),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زايد</v>
      </c>
      <c r="H1026" t="str" cm="1">
        <f t="array" ref="H1026">_xlfn.LET(
     _xlpm.r, TRIM(C1026),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27" spans="1:8" x14ac:dyDescent="0.25">
      <c r="A1027">
        <v>2022</v>
      </c>
      <c r="B1027" t="s">
        <v>50</v>
      </c>
      <c r="C1027" t="s">
        <v>8</v>
      </c>
      <c r="E1027">
        <v>311057</v>
      </c>
      <c r="F1027" t="s">
        <v>114</v>
      </c>
      <c r="G1027" t="str" cm="1">
        <f t="array" ref="G1027">_xlfn.LET(
    _xlpm.r, TRIM(B1027),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زايد</v>
      </c>
      <c r="H1027" t="str" cm="1">
        <f t="array" ref="H1027">_xlfn.LET(
     _xlpm.r, TRIM(C1027),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28" spans="1:8" x14ac:dyDescent="0.25">
      <c r="A1028">
        <v>2022</v>
      </c>
      <c r="B1028" t="s">
        <v>51</v>
      </c>
      <c r="C1028" t="s">
        <v>5</v>
      </c>
      <c r="E1028">
        <v>19359000</v>
      </c>
      <c r="F1028" t="s">
        <v>115</v>
      </c>
      <c r="G1028" t="str" cm="1">
        <f t="array" ref="G1028">_xlfn.LET(
    _xlpm.r, TRIM(B1028),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صندوق الزكاة</v>
      </c>
      <c r="H1028" t="str" cm="1">
        <f t="array" ref="H1028">_xlfn.LET(
     _xlpm.r, TRIM(C1028),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29" spans="1:8" x14ac:dyDescent="0.25">
      <c r="A1029">
        <v>2022</v>
      </c>
      <c r="B1029" t="s">
        <v>51</v>
      </c>
      <c r="C1029" t="s">
        <v>6</v>
      </c>
      <c r="E1029">
        <v>6802000</v>
      </c>
      <c r="F1029" t="s">
        <v>115</v>
      </c>
      <c r="G1029" t="str" cm="1">
        <f t="array" ref="G1029">_xlfn.LET(
    _xlpm.r, TRIM(B1029),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صندوق الزكاة</v>
      </c>
      <c r="H1029" t="str" cm="1">
        <f t="array" ref="H1029">_xlfn.LET(
     _xlpm.r, TRIM(C1029),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30" spans="1:8" x14ac:dyDescent="0.25">
      <c r="A1030">
        <v>2022</v>
      </c>
      <c r="B1030" t="s">
        <v>51</v>
      </c>
      <c r="C1030" t="s">
        <v>8</v>
      </c>
      <c r="E1030">
        <v>934000</v>
      </c>
      <c r="F1030" t="s">
        <v>115</v>
      </c>
      <c r="G1030" t="str" cm="1">
        <f t="array" ref="G1030">_xlfn.LET(
    _xlpm.r, TRIM(B1030),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صندوق الزكاة</v>
      </c>
      <c r="H1030" t="str" cm="1">
        <f t="array" ref="H1030">_xlfn.LET(
     _xlpm.r, TRIM(C1030),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31" spans="1:8" x14ac:dyDescent="0.25">
      <c r="A1031">
        <v>2022</v>
      </c>
      <c r="B1031" t="s">
        <v>52</v>
      </c>
      <c r="C1031" t="s">
        <v>5</v>
      </c>
      <c r="E1031">
        <v>1166899</v>
      </c>
      <c r="F1031" t="s">
        <v>116</v>
      </c>
      <c r="G1031" t="str" cm="1">
        <f t="array" ref="G1031">_xlfn.LET(
    _xlpm.r, TRIM(B1031),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031" t="str" cm="1">
        <f t="array" ref="H1031">_xlfn.LET(
     _xlpm.r, TRIM(C1031),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32" spans="1:8" x14ac:dyDescent="0.25">
      <c r="A1032">
        <v>2022</v>
      </c>
      <c r="B1032" t="s">
        <v>52</v>
      </c>
      <c r="C1032" t="s">
        <v>5</v>
      </c>
      <c r="E1032">
        <v>81870426</v>
      </c>
      <c r="F1032" t="s">
        <v>116</v>
      </c>
      <c r="G1032" t="str" cm="1">
        <f t="array" ref="G1032">_xlfn.LET(
    _xlpm.r, TRIM(B1032),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032" t="str" cm="1">
        <f t="array" ref="H1032">_xlfn.LET(
     _xlpm.r, TRIM(C1032),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33" spans="1:8" x14ac:dyDescent="0.25">
      <c r="A1033">
        <v>2022</v>
      </c>
      <c r="B1033" t="s">
        <v>52</v>
      </c>
      <c r="C1033" t="s">
        <v>5</v>
      </c>
      <c r="E1033">
        <v>71176675</v>
      </c>
      <c r="F1033" t="s">
        <v>116</v>
      </c>
      <c r="G1033" t="str" cm="1">
        <f t="array" ref="G1033">_xlfn.LET(
    _xlpm.r, TRIM(B1033),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033" t="str" cm="1">
        <f t="array" ref="H1033">_xlfn.LET(
     _xlpm.r, TRIM(C1033),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34" spans="1:8" x14ac:dyDescent="0.25">
      <c r="A1034">
        <v>2022</v>
      </c>
      <c r="B1034" t="s">
        <v>52</v>
      </c>
      <c r="C1034" t="s">
        <v>6</v>
      </c>
      <c r="E1034">
        <v>7385000</v>
      </c>
      <c r="F1034" t="s">
        <v>116</v>
      </c>
      <c r="G1034" t="str" cm="1">
        <f t="array" ref="G1034">_xlfn.LET(
    _xlpm.r, TRIM(B1034),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034" t="str" cm="1">
        <f t="array" ref="H1034">_xlfn.LET(
     _xlpm.r, TRIM(C1034),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35" spans="1:8" x14ac:dyDescent="0.25">
      <c r="A1035">
        <v>2022</v>
      </c>
      <c r="B1035" t="s">
        <v>52</v>
      </c>
      <c r="C1035" t="s">
        <v>6</v>
      </c>
      <c r="E1035">
        <v>5215000</v>
      </c>
      <c r="F1035" t="s">
        <v>116</v>
      </c>
      <c r="G1035" t="str" cm="1">
        <f t="array" ref="G1035">_xlfn.LET(
    _xlpm.r, TRIM(B1035),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035" t="str" cm="1">
        <f t="array" ref="H1035">_xlfn.LET(
     _xlpm.r, TRIM(C1035),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36" spans="1:8" x14ac:dyDescent="0.25">
      <c r="A1036">
        <v>2022</v>
      </c>
      <c r="B1036" t="s">
        <v>52</v>
      </c>
      <c r="C1036" t="s">
        <v>19</v>
      </c>
      <c r="E1036">
        <v>386000</v>
      </c>
      <c r="F1036" t="s">
        <v>116</v>
      </c>
      <c r="G1036" t="str" cm="1">
        <f t="array" ref="G1036">_xlfn.LET(
    _xlpm.r, TRIM(B1036),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036" t="str" cm="1">
        <f t="array" ref="H1036">_xlfn.LET(
     _xlpm.r, TRIM(C1036),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037" spans="1:8" x14ac:dyDescent="0.25">
      <c r="A1037">
        <v>2022</v>
      </c>
      <c r="B1037" t="s">
        <v>52</v>
      </c>
      <c r="C1037" t="s">
        <v>8</v>
      </c>
      <c r="E1037">
        <v>1500000</v>
      </c>
      <c r="F1037" t="s">
        <v>116</v>
      </c>
      <c r="G1037" t="str" cm="1">
        <f t="array" ref="G1037">_xlfn.LET(
    _xlpm.r, TRIM(B1037),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037" t="str" cm="1">
        <f t="array" ref="H1037">_xlfn.LET(
     _xlpm.r, TRIM(C1037),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38" spans="1:8" x14ac:dyDescent="0.25">
      <c r="A1038">
        <v>2022</v>
      </c>
      <c r="B1038" t="s">
        <v>52</v>
      </c>
      <c r="C1038" t="s">
        <v>8</v>
      </c>
      <c r="E1038">
        <v>1300000</v>
      </c>
      <c r="F1038" t="s">
        <v>116</v>
      </c>
      <c r="G1038" t="str" cm="1">
        <f t="array" ref="G1038">_xlfn.LET(
    _xlpm.r, TRIM(B1038),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038" t="str" cm="1">
        <f t="array" ref="H1038">_xlfn.LET(
     _xlpm.r, TRIM(C1038),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39" spans="1:8" x14ac:dyDescent="0.25">
      <c r="A1039">
        <v>2022</v>
      </c>
      <c r="B1039" t="s">
        <v>53</v>
      </c>
      <c r="C1039" t="s">
        <v>5</v>
      </c>
      <c r="E1039">
        <v>42278000</v>
      </c>
      <c r="F1039" t="s">
        <v>117</v>
      </c>
      <c r="G1039" t="str" cm="1">
        <f t="array" ref="G1039">_xlfn.LET(
    _xlpm.r, TRIM(B1039),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الاتحادي للسكان</v>
      </c>
      <c r="H1039" t="str" cm="1">
        <f t="array" ref="H1039">_xlfn.LET(
     _xlpm.r, TRIM(C1039),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40" spans="1:8" x14ac:dyDescent="0.25">
      <c r="A1040">
        <v>2022</v>
      </c>
      <c r="B1040" t="s">
        <v>53</v>
      </c>
      <c r="C1040" t="s">
        <v>6</v>
      </c>
      <c r="E1040">
        <v>22611000</v>
      </c>
      <c r="F1040" t="s">
        <v>117</v>
      </c>
      <c r="G1040" t="str" cm="1">
        <f t="array" ref="G1040">_xlfn.LET(
    _xlpm.r, TRIM(B1040),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الاتحادي للسكان</v>
      </c>
      <c r="H1040" t="str" cm="1">
        <f t="array" ref="H1040">_xlfn.LET(
     _xlpm.r, TRIM(C1040),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41" spans="1:8" x14ac:dyDescent="0.25">
      <c r="A1041">
        <v>2022</v>
      </c>
      <c r="B1041" t="s">
        <v>53</v>
      </c>
      <c r="C1041" t="s">
        <v>8</v>
      </c>
      <c r="E1041">
        <v>100000</v>
      </c>
      <c r="F1041" t="s">
        <v>117</v>
      </c>
      <c r="G1041" t="str" cm="1">
        <f t="array" ref="G1041">_xlfn.LET(
    _xlpm.r, TRIM(B1041),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الاتحادي للسكان</v>
      </c>
      <c r="H1041" t="str" cm="1">
        <f t="array" ref="H1041">_xlfn.LET(
     _xlpm.r, TRIM(C1041),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42" spans="1:8" x14ac:dyDescent="0.25">
      <c r="A1042">
        <v>2023</v>
      </c>
      <c r="B1042" t="s">
        <v>4</v>
      </c>
      <c r="C1042" t="s">
        <v>5</v>
      </c>
      <c r="E1042">
        <v>2553151</v>
      </c>
      <c r="F1042" t="s">
        <v>76</v>
      </c>
      <c r="G1042" t="str" cm="1">
        <f t="array" ref="G1042">_xlfn.LET(
    _xlpm.r, TRIM(B1042),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42" t="str" cm="1">
        <f t="array" ref="H1042">_xlfn.LET(
     _xlpm.r, TRIM(C1042),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43" spans="1:8" x14ac:dyDescent="0.25">
      <c r="A1043">
        <v>2023</v>
      </c>
      <c r="B1043" t="s">
        <v>4</v>
      </c>
      <c r="C1043" t="s">
        <v>5</v>
      </c>
      <c r="E1043">
        <v>56602653</v>
      </c>
      <c r="F1043" t="s">
        <v>76</v>
      </c>
      <c r="G1043" t="str" cm="1">
        <f t="array" ref="G1043">_xlfn.LET(
    _xlpm.r, TRIM(B1043),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43" t="str" cm="1">
        <f t="array" ref="H1043">_xlfn.LET(
     _xlpm.r, TRIM(C1043),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44" spans="1:8" x14ac:dyDescent="0.25">
      <c r="A1044">
        <v>2023</v>
      </c>
      <c r="B1044" t="s">
        <v>4</v>
      </c>
      <c r="C1044" t="s">
        <v>5</v>
      </c>
      <c r="E1044">
        <v>188391000</v>
      </c>
      <c r="F1044" t="s">
        <v>76</v>
      </c>
      <c r="G1044" t="str" cm="1">
        <f t="array" ref="G1044">_xlfn.LET(
    _xlpm.r, TRIM(B1044),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44" t="str" cm="1">
        <f t="array" ref="H1044">_xlfn.LET(
     _xlpm.r, TRIM(C1044),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45" spans="1:8" x14ac:dyDescent="0.25">
      <c r="A1045">
        <v>2023</v>
      </c>
      <c r="B1045" t="s">
        <v>4</v>
      </c>
      <c r="C1045" t="s">
        <v>5</v>
      </c>
      <c r="E1045">
        <v>20897489</v>
      </c>
      <c r="F1045" t="s">
        <v>76</v>
      </c>
      <c r="G1045" t="str" cm="1">
        <f t="array" ref="G1045">_xlfn.LET(
    _xlpm.r, TRIM(B1045),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45" t="str" cm="1">
        <f t="array" ref="H1045">_xlfn.LET(
     _xlpm.r, TRIM(C1045),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46" spans="1:8" x14ac:dyDescent="0.25">
      <c r="A1046">
        <v>2023</v>
      </c>
      <c r="B1046" t="s">
        <v>4</v>
      </c>
      <c r="C1046" t="s">
        <v>5</v>
      </c>
      <c r="E1046">
        <v>27017727</v>
      </c>
      <c r="F1046" t="s">
        <v>76</v>
      </c>
      <c r="G1046" t="str" cm="1">
        <f t="array" ref="G1046">_xlfn.LET(
    _xlpm.r, TRIM(B1046),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46" t="str" cm="1">
        <f t="array" ref="H1046">_xlfn.LET(
     _xlpm.r, TRIM(C1046),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47" spans="1:8" x14ac:dyDescent="0.25">
      <c r="A1047">
        <v>2023</v>
      </c>
      <c r="B1047" t="s">
        <v>4</v>
      </c>
      <c r="C1047" t="s">
        <v>5</v>
      </c>
      <c r="E1047">
        <v>26403516</v>
      </c>
      <c r="F1047" t="s">
        <v>76</v>
      </c>
      <c r="G1047" t="str" cm="1">
        <f t="array" ref="G1047">_xlfn.LET(
    _xlpm.r, TRIM(B1047),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47" t="str" cm="1">
        <f t="array" ref="H1047">_xlfn.LET(
     _xlpm.r, TRIM(C1047),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48" spans="1:8" x14ac:dyDescent="0.25">
      <c r="A1048">
        <v>2023</v>
      </c>
      <c r="B1048" t="s">
        <v>4</v>
      </c>
      <c r="C1048" t="s">
        <v>5</v>
      </c>
      <c r="E1048">
        <v>571464</v>
      </c>
      <c r="F1048" t="s">
        <v>76</v>
      </c>
      <c r="G1048" t="str" cm="1">
        <f t="array" ref="G1048">_xlfn.LET(
    _xlpm.r, TRIM(B1048),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48" t="str" cm="1">
        <f t="array" ref="H1048">_xlfn.LET(
     _xlpm.r, TRIM(C1048),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49" spans="1:8" x14ac:dyDescent="0.25">
      <c r="A1049">
        <v>2023</v>
      </c>
      <c r="B1049" t="s">
        <v>4</v>
      </c>
      <c r="C1049" t="s">
        <v>6</v>
      </c>
      <c r="E1049">
        <v>12800000</v>
      </c>
      <c r="F1049" t="s">
        <v>76</v>
      </c>
      <c r="G1049" t="str" cm="1">
        <f t="array" ref="G1049">_xlfn.LET(
    _xlpm.r, TRIM(B1049),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49" t="str" cm="1">
        <f t="array" ref="H1049">_xlfn.LET(
     _xlpm.r, TRIM(C1049),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50" spans="1:8" x14ac:dyDescent="0.25">
      <c r="A1050">
        <v>2023</v>
      </c>
      <c r="B1050" t="s">
        <v>4</v>
      </c>
      <c r="C1050" t="s">
        <v>6</v>
      </c>
      <c r="E1050">
        <v>104720000</v>
      </c>
      <c r="F1050" t="s">
        <v>76</v>
      </c>
      <c r="G1050" t="str" cm="1">
        <f t="array" ref="G1050">_xlfn.LET(
    _xlpm.r, TRIM(B1050),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50" t="str" cm="1">
        <f t="array" ref="H1050">_xlfn.LET(
     _xlpm.r, TRIM(C1050),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51" spans="1:8" x14ac:dyDescent="0.25">
      <c r="A1051">
        <v>2023</v>
      </c>
      <c r="B1051" t="s">
        <v>4</v>
      </c>
      <c r="C1051" t="s">
        <v>6</v>
      </c>
      <c r="E1051">
        <v>100000</v>
      </c>
      <c r="F1051" t="s">
        <v>76</v>
      </c>
      <c r="G1051" t="str" cm="1">
        <f t="array" ref="G1051">_xlfn.LET(
    _xlpm.r, TRIM(B1051),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51" t="str" cm="1">
        <f t="array" ref="H1051">_xlfn.LET(
     _xlpm.r, TRIM(C1051),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52" spans="1:8" x14ac:dyDescent="0.25">
      <c r="A1052">
        <v>2023</v>
      </c>
      <c r="B1052" t="s">
        <v>4</v>
      </c>
      <c r="C1052" t="s">
        <v>7</v>
      </c>
      <c r="E1052">
        <v>200000000</v>
      </c>
      <c r="F1052" t="s">
        <v>76</v>
      </c>
      <c r="G1052" t="str" cm="1">
        <f t="array" ref="G1052">_xlfn.LET(
    _xlpm.r, TRIM(B1052),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52" t="str" cm="1">
        <f t="array" ref="H1052">_xlfn.LET(
     _xlpm.r, TRIM(C1052),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1053" spans="1:8" x14ac:dyDescent="0.25">
      <c r="A1053">
        <v>2023</v>
      </c>
      <c r="B1053" t="s">
        <v>4</v>
      </c>
      <c r="C1053" t="s">
        <v>19</v>
      </c>
      <c r="E1053">
        <v>40000</v>
      </c>
      <c r="F1053" t="s">
        <v>76</v>
      </c>
      <c r="G1053" t="str" cm="1">
        <f t="array" ref="G1053">_xlfn.LET(
    _xlpm.r, TRIM(B1053),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53" t="str" cm="1">
        <f t="array" ref="H1053">_xlfn.LET(
     _xlpm.r, TRIM(C1053),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054" spans="1:8" x14ac:dyDescent="0.25">
      <c r="A1054">
        <v>2023</v>
      </c>
      <c r="B1054" t="s">
        <v>4</v>
      </c>
      <c r="C1054" t="s">
        <v>8</v>
      </c>
      <c r="E1054">
        <v>580964000</v>
      </c>
      <c r="F1054" t="s">
        <v>76</v>
      </c>
      <c r="G1054" t="str" cm="1">
        <f t="array" ref="G1054">_xlfn.LET(
    _xlpm.r, TRIM(B1054),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54" t="str" cm="1">
        <f t="array" ref="H1054">_xlfn.LET(
     _xlpm.r, TRIM(C1054),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55" spans="1:8" x14ac:dyDescent="0.25">
      <c r="A1055">
        <v>2023</v>
      </c>
      <c r="B1055" t="s">
        <v>4</v>
      </c>
      <c r="C1055" t="s">
        <v>8</v>
      </c>
      <c r="E1055">
        <v>2000000</v>
      </c>
      <c r="F1055" t="s">
        <v>76</v>
      </c>
      <c r="G1055" t="str" cm="1">
        <f t="array" ref="G1055">_xlfn.LET(
    _xlpm.r, TRIM(B1055),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55" t="str" cm="1">
        <f t="array" ref="H1055">_xlfn.LET(
     _xlpm.r, TRIM(C1055),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56" spans="1:8" x14ac:dyDescent="0.25">
      <c r="A1056">
        <v>2023</v>
      </c>
      <c r="B1056" t="s">
        <v>4</v>
      </c>
      <c r="C1056" t="s">
        <v>8</v>
      </c>
      <c r="E1056">
        <v>15758000</v>
      </c>
      <c r="F1056" t="s">
        <v>76</v>
      </c>
      <c r="G1056" t="str" cm="1">
        <f t="array" ref="G1056">_xlfn.LET(
    _xlpm.r, TRIM(B1056),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الطاقة والبنية التحتية</v>
      </c>
      <c r="H1056" t="str" cm="1">
        <f t="array" ref="H1056">_xlfn.LET(
     _xlpm.r, TRIM(C1056),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57" spans="1:8" x14ac:dyDescent="0.25">
      <c r="A1057">
        <v>2023</v>
      </c>
      <c r="B1057" t="s">
        <v>9</v>
      </c>
      <c r="C1057" t="s">
        <v>5</v>
      </c>
      <c r="E1057">
        <v>650956</v>
      </c>
      <c r="F1057" t="s">
        <v>77</v>
      </c>
      <c r="G1057" t="str" cm="1">
        <f t="array" ref="G1057">_xlfn.LET(
    _xlpm.r, TRIM(B1057),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57" t="str" cm="1">
        <f t="array" ref="H1057">_xlfn.LET(
     _xlpm.r, TRIM(C1057),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58" spans="1:8" x14ac:dyDescent="0.25">
      <c r="A1058">
        <v>2023</v>
      </c>
      <c r="B1058" t="s">
        <v>9</v>
      </c>
      <c r="C1058" t="s">
        <v>5</v>
      </c>
      <c r="E1058">
        <v>130584844</v>
      </c>
      <c r="F1058" t="s">
        <v>77</v>
      </c>
      <c r="G1058" t="str" cm="1">
        <f t="array" ref="G1058">_xlfn.LET(
    _xlpm.r, TRIM(B1058),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58" t="str" cm="1">
        <f t="array" ref="H1058">_xlfn.LET(
     _xlpm.r, TRIM(C1058),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59" spans="1:8" x14ac:dyDescent="0.25">
      <c r="A1059">
        <v>2023</v>
      </c>
      <c r="B1059" t="s">
        <v>9</v>
      </c>
      <c r="C1059" t="s">
        <v>5</v>
      </c>
      <c r="E1059">
        <v>25845144</v>
      </c>
      <c r="F1059" t="s">
        <v>77</v>
      </c>
      <c r="G1059" t="str" cm="1">
        <f t="array" ref="G1059">_xlfn.LET(
    _xlpm.r, TRIM(B1059),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59" t="str" cm="1">
        <f t="array" ref="H1059">_xlfn.LET(
     _xlpm.r, TRIM(C1059),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60" spans="1:8" x14ac:dyDescent="0.25">
      <c r="A1060">
        <v>2023</v>
      </c>
      <c r="B1060" t="s">
        <v>9</v>
      </c>
      <c r="C1060" t="s">
        <v>5</v>
      </c>
      <c r="E1060">
        <v>4605324</v>
      </c>
      <c r="F1060" t="s">
        <v>77</v>
      </c>
      <c r="G1060" t="str" cm="1">
        <f t="array" ref="G1060">_xlfn.LET(
    _xlpm.r, TRIM(B1060),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60" t="str" cm="1">
        <f t="array" ref="H1060">_xlfn.LET(
     _xlpm.r, TRIM(C1060),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61" spans="1:8" x14ac:dyDescent="0.25">
      <c r="A1061">
        <v>2023</v>
      </c>
      <c r="B1061" t="s">
        <v>9</v>
      </c>
      <c r="C1061" t="s">
        <v>5</v>
      </c>
      <c r="E1061">
        <v>1556340</v>
      </c>
      <c r="F1061" t="s">
        <v>77</v>
      </c>
      <c r="G1061" t="str" cm="1">
        <f t="array" ref="G1061">_xlfn.LET(
    _xlpm.r, TRIM(B1061),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61" t="str" cm="1">
        <f t="array" ref="H1061">_xlfn.LET(
     _xlpm.r, TRIM(C1061),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62" spans="1:8" x14ac:dyDescent="0.25">
      <c r="A1062">
        <v>2023</v>
      </c>
      <c r="B1062" t="s">
        <v>9</v>
      </c>
      <c r="C1062" t="s">
        <v>5</v>
      </c>
      <c r="E1062">
        <v>9481704</v>
      </c>
      <c r="F1062" t="s">
        <v>77</v>
      </c>
      <c r="G1062" t="str" cm="1">
        <f t="array" ref="G1062">_xlfn.LET(
    _xlpm.r, TRIM(B1062),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62" t="str" cm="1">
        <f t="array" ref="H1062">_xlfn.LET(
     _xlpm.r, TRIM(C1062),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63" spans="1:8" x14ac:dyDescent="0.25">
      <c r="A1063">
        <v>2023</v>
      </c>
      <c r="B1063" t="s">
        <v>9</v>
      </c>
      <c r="C1063" t="s">
        <v>5</v>
      </c>
      <c r="E1063">
        <v>7860684</v>
      </c>
      <c r="F1063" t="s">
        <v>77</v>
      </c>
      <c r="G1063" t="str" cm="1">
        <f t="array" ref="G1063">_xlfn.LET(
    _xlpm.r, TRIM(B1063),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63" t="str" cm="1">
        <f t="array" ref="H1063">_xlfn.LET(
     _xlpm.r, TRIM(C1063),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64" spans="1:8" x14ac:dyDescent="0.25">
      <c r="A1064">
        <v>2023</v>
      </c>
      <c r="B1064" t="s">
        <v>9</v>
      </c>
      <c r="C1064" t="s">
        <v>5</v>
      </c>
      <c r="E1064">
        <v>7929024</v>
      </c>
      <c r="F1064" t="s">
        <v>77</v>
      </c>
      <c r="G1064" t="str" cm="1">
        <f t="array" ref="G1064">_xlfn.LET(
    _xlpm.r, TRIM(B1064),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64" t="str" cm="1">
        <f t="array" ref="H1064">_xlfn.LET(
     _xlpm.r, TRIM(C1064),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65" spans="1:8" x14ac:dyDescent="0.25">
      <c r="A1065">
        <v>2023</v>
      </c>
      <c r="B1065" t="s">
        <v>9</v>
      </c>
      <c r="C1065" t="s">
        <v>5</v>
      </c>
      <c r="E1065">
        <v>2262780</v>
      </c>
      <c r="F1065" t="s">
        <v>77</v>
      </c>
      <c r="G1065" t="str" cm="1">
        <f t="array" ref="G1065">_xlfn.LET(
    _xlpm.r, TRIM(B1065),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65" t="str" cm="1">
        <f t="array" ref="H1065">_xlfn.LET(
     _xlpm.r, TRIM(C1065),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66" spans="1:8" x14ac:dyDescent="0.25">
      <c r="A1066">
        <v>2023</v>
      </c>
      <c r="B1066" t="s">
        <v>9</v>
      </c>
      <c r="C1066" t="s">
        <v>5</v>
      </c>
      <c r="E1066">
        <v>802200</v>
      </c>
      <c r="F1066" t="s">
        <v>77</v>
      </c>
      <c r="G1066" t="str" cm="1">
        <f t="array" ref="G1066">_xlfn.LET(
    _xlpm.r, TRIM(B1066),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66" t="str" cm="1">
        <f t="array" ref="H1066">_xlfn.LET(
     _xlpm.r, TRIM(C1066),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67" spans="1:8" x14ac:dyDescent="0.25">
      <c r="A1067">
        <v>2023</v>
      </c>
      <c r="B1067" t="s">
        <v>9</v>
      </c>
      <c r="C1067" t="s">
        <v>6</v>
      </c>
      <c r="E1067">
        <v>112288000</v>
      </c>
      <c r="F1067" t="s">
        <v>77</v>
      </c>
      <c r="G1067" t="str" cm="1">
        <f t="array" ref="G1067">_xlfn.LET(
    _xlpm.r, TRIM(B1067),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67" t="str" cm="1">
        <f t="array" ref="H1067">_xlfn.LET(
     _xlpm.r, TRIM(C1067),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068" spans="1:8" x14ac:dyDescent="0.25">
      <c r="A1068">
        <v>2023</v>
      </c>
      <c r="B1068" t="s">
        <v>9</v>
      </c>
      <c r="C1068" t="s">
        <v>7</v>
      </c>
      <c r="E1068">
        <v>4550000</v>
      </c>
      <c r="F1068" t="s">
        <v>77</v>
      </c>
      <c r="G1068" t="str" cm="1">
        <f t="array" ref="G1068">_xlfn.LET(
    _xlpm.r, TRIM(B1068),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68" t="str" cm="1">
        <f t="array" ref="H1068">_xlfn.LET(
     _xlpm.r, TRIM(C1068),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1069" spans="1:8" x14ac:dyDescent="0.25">
      <c r="A1069">
        <v>2023</v>
      </c>
      <c r="B1069" t="s">
        <v>9</v>
      </c>
      <c r="C1069" t="s">
        <v>19</v>
      </c>
      <c r="E1069">
        <v>500000</v>
      </c>
      <c r="F1069" t="s">
        <v>77</v>
      </c>
      <c r="G1069" t="str" cm="1">
        <f t="array" ref="G1069">_xlfn.LET(
    _xlpm.r, TRIM(B1069),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69" t="str" cm="1">
        <f t="array" ref="H1069">_xlfn.LET(
     _xlpm.r, TRIM(C1069),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070" spans="1:8" x14ac:dyDescent="0.25">
      <c r="A1070">
        <v>2023</v>
      </c>
      <c r="B1070" t="s">
        <v>9</v>
      </c>
      <c r="C1070" t="s">
        <v>8</v>
      </c>
      <c r="E1070">
        <v>5750000</v>
      </c>
      <c r="F1070" t="s">
        <v>77</v>
      </c>
      <c r="G1070" t="str" cm="1">
        <f t="array" ref="G1070">_xlfn.LET(
    _xlpm.r, TRIM(B1070),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الثقافة والشباب</v>
      </c>
      <c r="H1070" t="str" cm="1">
        <f t="array" ref="H1070">_xlfn.LET(
     _xlpm.r, TRIM(C1070),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071" spans="1:8" x14ac:dyDescent="0.25">
      <c r="A1071">
        <v>2023</v>
      </c>
      <c r="B1071" t="s">
        <v>10</v>
      </c>
      <c r="C1071" t="s">
        <v>5</v>
      </c>
      <c r="E1071">
        <v>5242000</v>
      </c>
      <c r="F1071" t="s">
        <v>78</v>
      </c>
      <c r="G1071" t="str" cm="1">
        <f t="array" ref="G1071">_xlfn.LET(
    _xlpm.r, TRIM(B1071),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71" t="str" cm="1">
        <f t="array" ref="H1071">_xlfn.LET(
     _xlpm.r, TRIM(C1071),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72" spans="1:8" x14ac:dyDescent="0.25">
      <c r="A1072">
        <v>2023</v>
      </c>
      <c r="B1072" t="s">
        <v>10</v>
      </c>
      <c r="C1072" t="s">
        <v>5</v>
      </c>
      <c r="E1072">
        <v>1243291328</v>
      </c>
      <c r="F1072" t="s">
        <v>78</v>
      </c>
      <c r="G1072" t="str" cm="1">
        <f t="array" ref="G1072">_xlfn.LET(
    _xlpm.r, TRIM(B1072),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72" t="str" cm="1">
        <f t="array" ref="H1072">_xlfn.LET(
     _xlpm.r, TRIM(C1072),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73" spans="1:8" x14ac:dyDescent="0.25">
      <c r="A1073">
        <v>2023</v>
      </c>
      <c r="B1073" t="s">
        <v>10</v>
      </c>
      <c r="C1073" t="s">
        <v>5</v>
      </c>
      <c r="E1073">
        <v>6816968</v>
      </c>
      <c r="F1073" t="s">
        <v>78</v>
      </c>
      <c r="G1073" t="str" cm="1">
        <f t="array" ref="G1073">_xlfn.LET(
    _xlpm.r, TRIM(B1073),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73" t="str" cm="1">
        <f t="array" ref="H1073">_xlfn.LET(
     _xlpm.r, TRIM(C1073),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74" spans="1:8" x14ac:dyDescent="0.25">
      <c r="A1074">
        <v>2023</v>
      </c>
      <c r="B1074" t="s">
        <v>10</v>
      </c>
      <c r="C1074" t="s">
        <v>5</v>
      </c>
      <c r="E1074">
        <v>2977124</v>
      </c>
      <c r="F1074" t="s">
        <v>78</v>
      </c>
      <c r="G1074" t="str" cm="1">
        <f t="array" ref="G1074">_xlfn.LET(
    _xlpm.r, TRIM(B1074),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74" t="str" cm="1">
        <f t="array" ref="H1074">_xlfn.LET(
     _xlpm.r, TRIM(C1074),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75" spans="1:8" x14ac:dyDescent="0.25">
      <c r="A1075">
        <v>2023</v>
      </c>
      <c r="B1075" t="s">
        <v>10</v>
      </c>
      <c r="C1075" t="s">
        <v>5</v>
      </c>
      <c r="E1075">
        <v>358752</v>
      </c>
      <c r="F1075" t="s">
        <v>78</v>
      </c>
      <c r="G1075" t="str" cm="1">
        <f t="array" ref="G1075">_xlfn.LET(
    _xlpm.r, TRIM(B1075),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75" t="str" cm="1">
        <f t="array" ref="H1075">_xlfn.LET(
     _xlpm.r, TRIM(C1075),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76" spans="1:8" x14ac:dyDescent="0.25">
      <c r="A1076">
        <v>2023</v>
      </c>
      <c r="B1076" t="s">
        <v>10</v>
      </c>
      <c r="C1076" t="s">
        <v>5</v>
      </c>
      <c r="E1076">
        <v>756228</v>
      </c>
      <c r="F1076" t="s">
        <v>78</v>
      </c>
      <c r="G1076" t="str" cm="1">
        <f t="array" ref="G1076">_xlfn.LET(
    _xlpm.r, TRIM(B1076),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76" t="str" cm="1">
        <f t="array" ref="H1076">_xlfn.LET(
     _xlpm.r, TRIM(C1076),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77" spans="1:8" x14ac:dyDescent="0.25">
      <c r="A1077">
        <v>2023</v>
      </c>
      <c r="B1077" t="s">
        <v>10</v>
      </c>
      <c r="C1077" t="s">
        <v>5</v>
      </c>
      <c r="E1077">
        <v>493788</v>
      </c>
      <c r="F1077" t="s">
        <v>78</v>
      </c>
      <c r="G1077" t="str" cm="1">
        <f t="array" ref="G1077">_xlfn.LET(
    _xlpm.r, TRIM(B1077),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77" t="str" cm="1">
        <f t="array" ref="H1077">_xlfn.LET(
     _xlpm.r, TRIM(C1077),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78" spans="1:8" x14ac:dyDescent="0.25">
      <c r="A1078">
        <v>2023</v>
      </c>
      <c r="B1078" t="s">
        <v>10</v>
      </c>
      <c r="C1078" t="s">
        <v>5</v>
      </c>
      <c r="E1078">
        <v>360000</v>
      </c>
      <c r="F1078" t="s">
        <v>78</v>
      </c>
      <c r="G1078" t="str" cm="1">
        <f t="array" ref="G1078">_xlfn.LET(
    _xlpm.r, TRIM(B1078),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78" t="str" cm="1">
        <f t="array" ref="H1078">_xlfn.LET(
     _xlpm.r, TRIM(C1078),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79" spans="1:8" x14ac:dyDescent="0.25">
      <c r="A1079">
        <v>2023</v>
      </c>
      <c r="B1079" t="s">
        <v>10</v>
      </c>
      <c r="C1079" t="s">
        <v>5</v>
      </c>
      <c r="E1079">
        <v>3929688</v>
      </c>
      <c r="F1079" t="s">
        <v>78</v>
      </c>
      <c r="G1079" t="str" cm="1">
        <f t="array" ref="G1079">_xlfn.LET(
    _xlpm.r, TRIM(B1079),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79" t="str" cm="1">
        <f t="array" ref="H1079">_xlfn.LET(
     _xlpm.r, TRIM(C1079),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80" spans="1:8" x14ac:dyDescent="0.25">
      <c r="A1080">
        <v>2023</v>
      </c>
      <c r="B1080" t="s">
        <v>10</v>
      </c>
      <c r="C1080" t="s">
        <v>5</v>
      </c>
      <c r="E1080">
        <v>3956524</v>
      </c>
      <c r="F1080" t="s">
        <v>78</v>
      </c>
      <c r="G1080" t="str" cm="1">
        <f t="array" ref="G1080">_xlfn.LET(
    _xlpm.r, TRIM(B1080),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80" t="str" cm="1">
        <f t="array" ref="H1080">_xlfn.LET(
     _xlpm.r, TRIM(C1080),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81" spans="1:8" x14ac:dyDescent="0.25">
      <c r="A1081">
        <v>2023</v>
      </c>
      <c r="B1081" t="s">
        <v>10</v>
      </c>
      <c r="C1081" t="s">
        <v>5</v>
      </c>
      <c r="E1081">
        <v>625000</v>
      </c>
      <c r="F1081" t="s">
        <v>78</v>
      </c>
      <c r="G1081" t="str" cm="1">
        <f t="array" ref="G1081">_xlfn.LET(
    _xlpm.r, TRIM(B1081),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81" t="str" cm="1">
        <f t="array" ref="H1081">_xlfn.LET(
     _xlpm.r, TRIM(C1081),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82" spans="1:8" x14ac:dyDescent="0.25">
      <c r="A1082">
        <v>2023</v>
      </c>
      <c r="B1082" t="s">
        <v>10</v>
      </c>
      <c r="C1082" t="s">
        <v>5</v>
      </c>
      <c r="E1082">
        <v>2872000</v>
      </c>
      <c r="F1082" t="s">
        <v>78</v>
      </c>
      <c r="G1082" t="str" cm="1">
        <f t="array" ref="G1082">_xlfn.LET(
    _xlpm.r, TRIM(B1082),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82" t="str" cm="1">
        <f t="array" ref="H1082">_xlfn.LET(
     _xlpm.r, TRIM(C1082),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83" spans="1:8" x14ac:dyDescent="0.25">
      <c r="A1083">
        <v>2023</v>
      </c>
      <c r="B1083" t="s">
        <v>10</v>
      </c>
      <c r="C1083" t="s">
        <v>5</v>
      </c>
      <c r="E1083">
        <v>61000</v>
      </c>
      <c r="F1083" t="s">
        <v>78</v>
      </c>
      <c r="G1083" t="str" cm="1">
        <f t="array" ref="G1083">_xlfn.LET(
    _xlpm.r, TRIM(B1083),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83" t="str" cm="1">
        <f t="array" ref="H1083">_xlfn.LET(
     _xlpm.r, TRIM(C1083),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84" spans="1:8" x14ac:dyDescent="0.25">
      <c r="A1084">
        <v>2023</v>
      </c>
      <c r="B1084" t="s">
        <v>10</v>
      </c>
      <c r="C1084" t="s">
        <v>5</v>
      </c>
      <c r="E1084">
        <v>865672</v>
      </c>
      <c r="F1084" t="s">
        <v>78</v>
      </c>
      <c r="G1084" t="str" cm="1">
        <f t="array" ref="G1084">_xlfn.LET(
    _xlpm.r, TRIM(B1084),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84" t="str" cm="1">
        <f t="array" ref="H1084">_xlfn.LET(
     _xlpm.r, TRIM(C1084),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85" spans="1:8" x14ac:dyDescent="0.25">
      <c r="A1085">
        <v>2023</v>
      </c>
      <c r="B1085" t="s">
        <v>10</v>
      </c>
      <c r="C1085" t="s">
        <v>5</v>
      </c>
      <c r="E1085">
        <v>3143480</v>
      </c>
      <c r="F1085" t="s">
        <v>78</v>
      </c>
      <c r="G1085" t="str" cm="1">
        <f t="array" ref="G1085">_xlfn.LET(
    _xlpm.r, TRIM(B1085),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85" t="str" cm="1">
        <f t="array" ref="H1085">_xlfn.LET(
     _xlpm.r, TRIM(C1085),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86" spans="1:8" x14ac:dyDescent="0.25">
      <c r="A1086">
        <v>2023</v>
      </c>
      <c r="B1086" t="s">
        <v>10</v>
      </c>
      <c r="C1086" t="s">
        <v>5</v>
      </c>
      <c r="E1086">
        <v>1015620</v>
      </c>
      <c r="F1086" t="s">
        <v>78</v>
      </c>
      <c r="G1086" t="str" cm="1">
        <f t="array" ref="G1086">_xlfn.LET(
    _xlpm.r, TRIM(B1086),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86" t="str" cm="1">
        <f t="array" ref="H1086">_xlfn.LET(
     _xlpm.r, TRIM(C1086),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87" spans="1:8" x14ac:dyDescent="0.25">
      <c r="A1087">
        <v>2023</v>
      </c>
      <c r="B1087" t="s">
        <v>10</v>
      </c>
      <c r="C1087" t="s">
        <v>5</v>
      </c>
      <c r="E1087">
        <v>917000</v>
      </c>
      <c r="F1087" t="s">
        <v>78</v>
      </c>
      <c r="G1087" t="str" cm="1">
        <f t="array" ref="G1087">_xlfn.LET(
    _xlpm.r, TRIM(B1087),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87" t="str" cm="1">
        <f t="array" ref="H1087">_xlfn.LET(
     _xlpm.r, TRIM(C1087),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88" spans="1:8" x14ac:dyDescent="0.25">
      <c r="A1088">
        <v>2023</v>
      </c>
      <c r="B1088" t="s">
        <v>10</v>
      </c>
      <c r="C1088" t="s">
        <v>5</v>
      </c>
      <c r="E1088">
        <v>2080712</v>
      </c>
      <c r="F1088" t="s">
        <v>78</v>
      </c>
      <c r="G1088" t="str" cm="1">
        <f t="array" ref="G1088">_xlfn.LET(
    _xlpm.r, TRIM(B1088),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88" t="str" cm="1">
        <f t="array" ref="H1088">_xlfn.LET(
     _xlpm.r, TRIM(C1088),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89" spans="1:8" x14ac:dyDescent="0.25">
      <c r="A1089">
        <v>2023</v>
      </c>
      <c r="B1089" t="s">
        <v>10</v>
      </c>
      <c r="C1089" t="s">
        <v>5</v>
      </c>
      <c r="E1089">
        <v>1113736</v>
      </c>
      <c r="F1089" t="s">
        <v>78</v>
      </c>
      <c r="G1089" t="str" cm="1">
        <f t="array" ref="G1089">_xlfn.LET(
    _xlpm.r, TRIM(B1089),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89" t="str" cm="1">
        <f t="array" ref="H1089">_xlfn.LET(
     _xlpm.r, TRIM(C1089),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90" spans="1:8" x14ac:dyDescent="0.25">
      <c r="A1090">
        <v>2023</v>
      </c>
      <c r="B1090" t="s">
        <v>10</v>
      </c>
      <c r="C1090" t="s">
        <v>5</v>
      </c>
      <c r="E1090">
        <v>1103492</v>
      </c>
      <c r="F1090" t="s">
        <v>78</v>
      </c>
      <c r="G1090" t="str" cm="1">
        <f t="array" ref="G1090">_xlfn.LET(
    _xlpm.r, TRIM(B1090),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90" t="str" cm="1">
        <f t="array" ref="H1090">_xlfn.LET(
     _xlpm.r, TRIM(C1090),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91" spans="1:8" x14ac:dyDescent="0.25">
      <c r="A1091">
        <v>2023</v>
      </c>
      <c r="B1091" t="s">
        <v>10</v>
      </c>
      <c r="C1091" t="s">
        <v>5</v>
      </c>
      <c r="E1091">
        <v>3913676</v>
      </c>
      <c r="F1091" t="s">
        <v>78</v>
      </c>
      <c r="G1091" t="str" cm="1">
        <f t="array" ref="G1091">_xlfn.LET(
    _xlpm.r, TRIM(B1091),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91" t="str" cm="1">
        <f t="array" ref="H1091">_xlfn.LET(
     _xlpm.r, TRIM(C1091),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92" spans="1:8" x14ac:dyDescent="0.25">
      <c r="A1092">
        <v>2023</v>
      </c>
      <c r="B1092" t="s">
        <v>10</v>
      </c>
      <c r="C1092" t="s">
        <v>5</v>
      </c>
      <c r="E1092">
        <v>3156380</v>
      </c>
      <c r="F1092" t="s">
        <v>78</v>
      </c>
      <c r="G1092" t="str" cm="1">
        <f t="array" ref="G1092">_xlfn.LET(
    _xlpm.r, TRIM(B1092),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92" t="str" cm="1">
        <f t="array" ref="H1092">_xlfn.LET(
     _xlpm.r, TRIM(C1092),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93" spans="1:8" x14ac:dyDescent="0.25">
      <c r="A1093">
        <v>2023</v>
      </c>
      <c r="B1093" t="s">
        <v>10</v>
      </c>
      <c r="C1093" t="s">
        <v>5</v>
      </c>
      <c r="E1093">
        <v>1335200</v>
      </c>
      <c r="F1093" t="s">
        <v>78</v>
      </c>
      <c r="G1093" t="str" cm="1">
        <f t="array" ref="G1093">_xlfn.LET(
    _xlpm.r, TRIM(B1093),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93" t="str" cm="1">
        <f t="array" ref="H1093">_xlfn.LET(
     _xlpm.r, TRIM(C1093),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94" spans="1:8" x14ac:dyDescent="0.25">
      <c r="A1094">
        <v>2023</v>
      </c>
      <c r="B1094" t="s">
        <v>10</v>
      </c>
      <c r="C1094" t="s">
        <v>5</v>
      </c>
      <c r="E1094">
        <v>2447000</v>
      </c>
      <c r="F1094" t="s">
        <v>78</v>
      </c>
      <c r="G1094" t="str" cm="1">
        <f t="array" ref="G1094">_xlfn.LET(
    _xlpm.r, TRIM(B1094),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94" t="str" cm="1">
        <f t="array" ref="H1094">_xlfn.LET(
     _xlpm.r, TRIM(C1094),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95" spans="1:8" x14ac:dyDescent="0.25">
      <c r="A1095">
        <v>2023</v>
      </c>
      <c r="B1095" t="s">
        <v>10</v>
      </c>
      <c r="C1095" t="s">
        <v>5</v>
      </c>
      <c r="E1095">
        <v>1957432</v>
      </c>
      <c r="F1095" t="s">
        <v>78</v>
      </c>
      <c r="G1095" t="str" cm="1">
        <f t="array" ref="G1095">_xlfn.LET(
    _xlpm.r, TRIM(B1095),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95" t="str" cm="1">
        <f t="array" ref="H1095">_xlfn.LET(
     _xlpm.r, TRIM(C1095),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96" spans="1:8" x14ac:dyDescent="0.25">
      <c r="A1096">
        <v>2023</v>
      </c>
      <c r="B1096" t="s">
        <v>10</v>
      </c>
      <c r="C1096" t="s">
        <v>5</v>
      </c>
      <c r="E1096">
        <v>1563492</v>
      </c>
      <c r="F1096" t="s">
        <v>78</v>
      </c>
      <c r="G1096" t="str" cm="1">
        <f t="array" ref="G1096">_xlfn.LET(
    _xlpm.r, TRIM(B1096),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96" t="str" cm="1">
        <f t="array" ref="H1096">_xlfn.LET(
     _xlpm.r, TRIM(C1096),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97" spans="1:8" x14ac:dyDescent="0.25">
      <c r="A1097">
        <v>2023</v>
      </c>
      <c r="B1097" t="s">
        <v>10</v>
      </c>
      <c r="C1097" t="s">
        <v>5</v>
      </c>
      <c r="E1097">
        <v>4034748</v>
      </c>
      <c r="F1097" t="s">
        <v>78</v>
      </c>
      <c r="G1097" t="str" cm="1">
        <f t="array" ref="G1097">_xlfn.LET(
    _xlpm.r, TRIM(B1097),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97" t="str" cm="1">
        <f t="array" ref="H1097">_xlfn.LET(
     _xlpm.r, TRIM(C1097),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98" spans="1:8" x14ac:dyDescent="0.25">
      <c r="A1098">
        <v>2023</v>
      </c>
      <c r="B1098" t="s">
        <v>10</v>
      </c>
      <c r="C1098" t="s">
        <v>5</v>
      </c>
      <c r="E1098">
        <v>1351952</v>
      </c>
      <c r="F1098" t="s">
        <v>78</v>
      </c>
      <c r="G1098" t="str" cm="1">
        <f t="array" ref="G1098">_xlfn.LET(
    _xlpm.r, TRIM(B1098),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98" t="str" cm="1">
        <f t="array" ref="H1098">_xlfn.LET(
     _xlpm.r, TRIM(C1098),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099" spans="1:8" x14ac:dyDescent="0.25">
      <c r="A1099">
        <v>2023</v>
      </c>
      <c r="B1099" t="s">
        <v>10</v>
      </c>
      <c r="C1099" t="s">
        <v>5</v>
      </c>
      <c r="E1099">
        <v>2868476</v>
      </c>
      <c r="F1099" t="s">
        <v>78</v>
      </c>
      <c r="G1099" t="str" cm="1">
        <f t="array" ref="G1099">_xlfn.LET(
    _xlpm.r, TRIM(B1099),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099" t="str" cm="1">
        <f t="array" ref="H1099">_xlfn.LET(
     _xlpm.r, TRIM(C1099),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00" spans="1:8" x14ac:dyDescent="0.25">
      <c r="A1100">
        <v>2023</v>
      </c>
      <c r="B1100" t="s">
        <v>10</v>
      </c>
      <c r="C1100" t="s">
        <v>5</v>
      </c>
      <c r="E1100">
        <v>275000</v>
      </c>
      <c r="F1100" t="s">
        <v>78</v>
      </c>
      <c r="G1100" t="str" cm="1">
        <f t="array" ref="G1100">_xlfn.LET(
    _xlpm.r, TRIM(B1100),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00" t="str" cm="1">
        <f t="array" ref="H1100">_xlfn.LET(
     _xlpm.r, TRIM(C1100),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01" spans="1:8" x14ac:dyDescent="0.25">
      <c r="A1101">
        <v>2023</v>
      </c>
      <c r="B1101" t="s">
        <v>10</v>
      </c>
      <c r="C1101" t="s">
        <v>5</v>
      </c>
      <c r="E1101">
        <v>2376792</v>
      </c>
      <c r="F1101" t="s">
        <v>78</v>
      </c>
      <c r="G1101" t="str" cm="1">
        <f t="array" ref="G1101">_xlfn.LET(
    _xlpm.r, TRIM(B1101),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01" t="str" cm="1">
        <f t="array" ref="H1101">_xlfn.LET(
     _xlpm.r, TRIM(C1101),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02" spans="1:8" x14ac:dyDescent="0.25">
      <c r="A1102">
        <v>2023</v>
      </c>
      <c r="B1102" t="s">
        <v>10</v>
      </c>
      <c r="C1102" t="s">
        <v>5</v>
      </c>
      <c r="E1102">
        <v>692800</v>
      </c>
      <c r="F1102" t="s">
        <v>78</v>
      </c>
      <c r="G1102" t="str" cm="1">
        <f t="array" ref="G1102">_xlfn.LET(
    _xlpm.r, TRIM(B1102),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02" t="str" cm="1">
        <f t="array" ref="H1102">_xlfn.LET(
     _xlpm.r, TRIM(C1102),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03" spans="1:8" x14ac:dyDescent="0.25">
      <c r="A1103">
        <v>2023</v>
      </c>
      <c r="B1103" t="s">
        <v>10</v>
      </c>
      <c r="C1103" t="s">
        <v>5</v>
      </c>
      <c r="E1103">
        <v>2120000</v>
      </c>
      <c r="F1103" t="s">
        <v>78</v>
      </c>
      <c r="G1103" t="str" cm="1">
        <f t="array" ref="G1103">_xlfn.LET(
    _xlpm.r, TRIM(B1103),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03" t="str" cm="1">
        <f t="array" ref="H1103">_xlfn.LET(
     _xlpm.r, TRIM(C1103),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04" spans="1:8" x14ac:dyDescent="0.25">
      <c r="A1104">
        <v>2023</v>
      </c>
      <c r="B1104" t="s">
        <v>10</v>
      </c>
      <c r="C1104" t="s">
        <v>5</v>
      </c>
      <c r="E1104">
        <v>2830000</v>
      </c>
      <c r="F1104" t="s">
        <v>78</v>
      </c>
      <c r="G1104" t="str" cm="1">
        <f t="array" ref="G1104">_xlfn.LET(
    _xlpm.r, TRIM(B1104),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04" t="str" cm="1">
        <f t="array" ref="H1104">_xlfn.LET(
     _xlpm.r, TRIM(C1104),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05" spans="1:8" x14ac:dyDescent="0.25">
      <c r="A1105">
        <v>2023</v>
      </c>
      <c r="B1105" t="s">
        <v>10</v>
      </c>
      <c r="C1105" t="s">
        <v>5</v>
      </c>
      <c r="E1105">
        <v>1497996</v>
      </c>
      <c r="F1105" t="s">
        <v>78</v>
      </c>
      <c r="G1105" t="str" cm="1">
        <f t="array" ref="G1105">_xlfn.LET(
    _xlpm.r, TRIM(B1105),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05" t="str" cm="1">
        <f t="array" ref="H1105">_xlfn.LET(
     _xlpm.r, TRIM(C1105),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06" spans="1:8" x14ac:dyDescent="0.25">
      <c r="A1106">
        <v>2023</v>
      </c>
      <c r="B1106" t="s">
        <v>10</v>
      </c>
      <c r="C1106" t="s">
        <v>5</v>
      </c>
      <c r="E1106">
        <v>3706540</v>
      </c>
      <c r="F1106" t="s">
        <v>78</v>
      </c>
      <c r="G1106" t="str" cm="1">
        <f t="array" ref="G1106">_xlfn.LET(
    _xlpm.r, TRIM(B1106),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06" t="str" cm="1">
        <f t="array" ref="H1106">_xlfn.LET(
     _xlpm.r, TRIM(C1106),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07" spans="1:8" x14ac:dyDescent="0.25">
      <c r="A1107">
        <v>2023</v>
      </c>
      <c r="B1107" t="s">
        <v>10</v>
      </c>
      <c r="C1107" t="s">
        <v>5</v>
      </c>
      <c r="E1107">
        <v>2696212</v>
      </c>
      <c r="F1107" t="s">
        <v>78</v>
      </c>
      <c r="G1107" t="str" cm="1">
        <f t="array" ref="G1107">_xlfn.LET(
    _xlpm.r, TRIM(B1107),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07" t="str" cm="1">
        <f t="array" ref="H1107">_xlfn.LET(
     _xlpm.r, TRIM(C1107),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08" spans="1:8" x14ac:dyDescent="0.25">
      <c r="A1108">
        <v>2023</v>
      </c>
      <c r="B1108" t="s">
        <v>10</v>
      </c>
      <c r="C1108" t="s">
        <v>5</v>
      </c>
      <c r="E1108">
        <v>270000</v>
      </c>
      <c r="F1108" t="s">
        <v>78</v>
      </c>
      <c r="G1108" t="str" cm="1">
        <f t="array" ref="G1108">_xlfn.LET(
    _xlpm.r, TRIM(B1108),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08" t="str" cm="1">
        <f t="array" ref="H1108">_xlfn.LET(
     _xlpm.r, TRIM(C1108),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09" spans="1:8" x14ac:dyDescent="0.25">
      <c r="A1109">
        <v>2023</v>
      </c>
      <c r="B1109" t="s">
        <v>10</v>
      </c>
      <c r="C1109" t="s">
        <v>5</v>
      </c>
      <c r="E1109">
        <v>3072084</v>
      </c>
      <c r="F1109" t="s">
        <v>78</v>
      </c>
      <c r="G1109" t="str" cm="1">
        <f t="array" ref="G1109">_xlfn.LET(
    _xlpm.r, TRIM(B1109),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09" t="str" cm="1">
        <f t="array" ref="H1109">_xlfn.LET(
     _xlpm.r, TRIM(C1109),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10" spans="1:8" x14ac:dyDescent="0.25">
      <c r="A1110">
        <v>2023</v>
      </c>
      <c r="B1110" t="s">
        <v>10</v>
      </c>
      <c r="C1110" t="s">
        <v>5</v>
      </c>
      <c r="E1110">
        <v>1330000</v>
      </c>
      <c r="F1110" t="s">
        <v>78</v>
      </c>
      <c r="G1110" t="str" cm="1">
        <f t="array" ref="G1110">_xlfn.LET(
    _xlpm.r, TRIM(B1110),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10" t="str" cm="1">
        <f t="array" ref="H1110">_xlfn.LET(
     _xlpm.r, TRIM(C1110),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11" spans="1:8" x14ac:dyDescent="0.25">
      <c r="A1111">
        <v>2023</v>
      </c>
      <c r="B1111" t="s">
        <v>10</v>
      </c>
      <c r="C1111" t="s">
        <v>5</v>
      </c>
      <c r="E1111">
        <v>410000</v>
      </c>
      <c r="F1111" t="s">
        <v>78</v>
      </c>
      <c r="G1111" t="str" cm="1">
        <f t="array" ref="G1111">_xlfn.LET(
    _xlpm.r, TRIM(B1111),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11" t="str" cm="1">
        <f t="array" ref="H1111">_xlfn.LET(
     _xlpm.r, TRIM(C1111),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12" spans="1:8" x14ac:dyDescent="0.25">
      <c r="A1112">
        <v>2023</v>
      </c>
      <c r="B1112" t="s">
        <v>10</v>
      </c>
      <c r="C1112" t="s">
        <v>5</v>
      </c>
      <c r="E1112">
        <v>240000</v>
      </c>
      <c r="F1112" t="s">
        <v>78</v>
      </c>
      <c r="G1112" t="str" cm="1">
        <f t="array" ref="G1112">_xlfn.LET(
    _xlpm.r, TRIM(B1112),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12" t="str" cm="1">
        <f t="array" ref="H1112">_xlfn.LET(
     _xlpm.r, TRIM(C1112),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13" spans="1:8" x14ac:dyDescent="0.25">
      <c r="A1113">
        <v>2023</v>
      </c>
      <c r="B1113" t="s">
        <v>10</v>
      </c>
      <c r="C1113" t="s">
        <v>5</v>
      </c>
      <c r="E1113">
        <v>1330052</v>
      </c>
      <c r="F1113" t="s">
        <v>78</v>
      </c>
      <c r="G1113" t="str" cm="1">
        <f t="array" ref="G1113">_xlfn.LET(
    _xlpm.r, TRIM(B1113),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13" t="str" cm="1">
        <f t="array" ref="H1113">_xlfn.LET(
     _xlpm.r, TRIM(C1113),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14" spans="1:8" x14ac:dyDescent="0.25">
      <c r="A1114">
        <v>2023</v>
      </c>
      <c r="B1114" t="s">
        <v>10</v>
      </c>
      <c r="C1114" t="s">
        <v>5</v>
      </c>
      <c r="E1114">
        <v>492001</v>
      </c>
      <c r="F1114" t="s">
        <v>78</v>
      </c>
      <c r="G1114" t="str" cm="1">
        <f t="array" ref="G1114">_xlfn.LET(
    _xlpm.r, TRIM(B1114),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14" t="str" cm="1">
        <f t="array" ref="H1114">_xlfn.LET(
     _xlpm.r, TRIM(C1114),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15" spans="1:8" x14ac:dyDescent="0.25">
      <c r="A1115">
        <v>2023</v>
      </c>
      <c r="B1115" t="s">
        <v>10</v>
      </c>
      <c r="C1115" t="s">
        <v>5</v>
      </c>
      <c r="E1115">
        <v>1166488</v>
      </c>
      <c r="F1115" t="s">
        <v>78</v>
      </c>
      <c r="G1115" t="str" cm="1">
        <f t="array" ref="G1115">_xlfn.LET(
    _xlpm.r, TRIM(B1115),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15" t="str" cm="1">
        <f t="array" ref="H1115">_xlfn.LET(
     _xlpm.r, TRIM(C1115),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16" spans="1:8" x14ac:dyDescent="0.25">
      <c r="A1116">
        <v>2023</v>
      </c>
      <c r="B1116" t="s">
        <v>10</v>
      </c>
      <c r="C1116" t="s">
        <v>5</v>
      </c>
      <c r="E1116">
        <v>155000</v>
      </c>
      <c r="F1116" t="s">
        <v>78</v>
      </c>
      <c r="G1116" t="str" cm="1">
        <f t="array" ref="G1116">_xlfn.LET(
    _xlpm.r, TRIM(B1116),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16" t="str" cm="1">
        <f t="array" ref="H1116">_xlfn.LET(
     _xlpm.r, TRIM(C1116),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17" spans="1:8" x14ac:dyDescent="0.25">
      <c r="A1117">
        <v>2023</v>
      </c>
      <c r="B1117" t="s">
        <v>10</v>
      </c>
      <c r="C1117" t="s">
        <v>5</v>
      </c>
      <c r="E1117">
        <v>497500</v>
      </c>
      <c r="F1117" t="s">
        <v>78</v>
      </c>
      <c r="G1117" t="str" cm="1">
        <f t="array" ref="G1117">_xlfn.LET(
    _xlpm.r, TRIM(B1117),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17" t="str" cm="1">
        <f t="array" ref="H1117">_xlfn.LET(
     _xlpm.r, TRIM(C1117),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18" spans="1:8" x14ac:dyDescent="0.25">
      <c r="A1118">
        <v>2023</v>
      </c>
      <c r="B1118" t="s">
        <v>10</v>
      </c>
      <c r="C1118" t="s">
        <v>5</v>
      </c>
      <c r="E1118">
        <v>300000</v>
      </c>
      <c r="F1118" t="s">
        <v>78</v>
      </c>
      <c r="G1118" t="str" cm="1">
        <f t="array" ref="G1118">_xlfn.LET(
    _xlpm.r, TRIM(B1118),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18" t="str" cm="1">
        <f t="array" ref="H1118">_xlfn.LET(
     _xlpm.r, TRIM(C1118),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19" spans="1:8" x14ac:dyDescent="0.25">
      <c r="A1119">
        <v>2023</v>
      </c>
      <c r="B1119" t="s">
        <v>10</v>
      </c>
      <c r="C1119" t="s">
        <v>5</v>
      </c>
      <c r="E1119">
        <v>130000</v>
      </c>
      <c r="F1119" t="s">
        <v>78</v>
      </c>
      <c r="G1119" t="str" cm="1">
        <f t="array" ref="G1119">_xlfn.LET(
    _xlpm.r, TRIM(B1119),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19" t="str" cm="1">
        <f t="array" ref="H1119">_xlfn.LET(
     _xlpm.r, TRIM(C1119),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20" spans="1:8" x14ac:dyDescent="0.25">
      <c r="A1120">
        <v>2023</v>
      </c>
      <c r="B1120" t="s">
        <v>10</v>
      </c>
      <c r="C1120" t="s">
        <v>5</v>
      </c>
      <c r="E1120">
        <v>645000</v>
      </c>
      <c r="F1120" t="s">
        <v>78</v>
      </c>
      <c r="G1120" t="str" cm="1">
        <f t="array" ref="G1120">_xlfn.LET(
    _xlpm.r, TRIM(B1120),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20" t="str" cm="1">
        <f t="array" ref="H1120">_xlfn.LET(
     _xlpm.r, TRIM(C1120),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21" spans="1:8" x14ac:dyDescent="0.25">
      <c r="A1121">
        <v>2023</v>
      </c>
      <c r="B1121" t="s">
        <v>10</v>
      </c>
      <c r="C1121" t="s">
        <v>5</v>
      </c>
      <c r="E1121">
        <v>222000</v>
      </c>
      <c r="F1121" t="s">
        <v>78</v>
      </c>
      <c r="G1121" t="str" cm="1">
        <f t="array" ref="G1121">_xlfn.LET(
    _xlpm.r, TRIM(B1121),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21" t="str" cm="1">
        <f t="array" ref="H1121">_xlfn.LET(
     _xlpm.r, TRIM(C1121),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22" spans="1:8" x14ac:dyDescent="0.25">
      <c r="A1122">
        <v>2023</v>
      </c>
      <c r="B1122" t="s">
        <v>10</v>
      </c>
      <c r="C1122" t="s">
        <v>5</v>
      </c>
      <c r="E1122">
        <v>260000</v>
      </c>
      <c r="F1122" t="s">
        <v>78</v>
      </c>
      <c r="G1122" t="str" cm="1">
        <f t="array" ref="G1122">_xlfn.LET(
    _xlpm.r, TRIM(B1122),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22" t="str" cm="1">
        <f t="array" ref="H1122">_xlfn.LET(
     _xlpm.r, TRIM(C1122),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23" spans="1:8" x14ac:dyDescent="0.25">
      <c r="A1123">
        <v>2023</v>
      </c>
      <c r="B1123" t="s">
        <v>10</v>
      </c>
      <c r="C1123" t="s">
        <v>5</v>
      </c>
      <c r="E1123">
        <v>1320000</v>
      </c>
      <c r="F1123" t="s">
        <v>78</v>
      </c>
      <c r="G1123" t="str" cm="1">
        <f t="array" ref="G1123">_xlfn.LET(
    _xlpm.r, TRIM(B1123),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23" t="str" cm="1">
        <f t="array" ref="H1123">_xlfn.LET(
     _xlpm.r, TRIM(C1123),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24" spans="1:8" x14ac:dyDescent="0.25">
      <c r="A1124">
        <v>2023</v>
      </c>
      <c r="B1124" t="s">
        <v>10</v>
      </c>
      <c r="C1124" t="s">
        <v>5</v>
      </c>
      <c r="E1124">
        <v>403696</v>
      </c>
      <c r="F1124" t="s">
        <v>78</v>
      </c>
      <c r="G1124" t="str" cm="1">
        <f t="array" ref="G1124">_xlfn.LET(
    _xlpm.r, TRIM(B1124),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24" t="str" cm="1">
        <f t="array" ref="H1124">_xlfn.LET(
     _xlpm.r, TRIM(C1124),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25" spans="1:8" x14ac:dyDescent="0.25">
      <c r="A1125">
        <v>2023</v>
      </c>
      <c r="B1125" t="s">
        <v>10</v>
      </c>
      <c r="C1125" t="s">
        <v>5</v>
      </c>
      <c r="E1125">
        <v>20000</v>
      </c>
      <c r="F1125" t="s">
        <v>78</v>
      </c>
      <c r="G1125" t="str" cm="1">
        <f t="array" ref="G1125">_xlfn.LET(
    _xlpm.r, TRIM(B1125),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25" t="str" cm="1">
        <f t="array" ref="H1125">_xlfn.LET(
     _xlpm.r, TRIM(C1125),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26" spans="1:8" x14ac:dyDescent="0.25">
      <c r="A1126">
        <v>2023</v>
      </c>
      <c r="B1126" t="s">
        <v>10</v>
      </c>
      <c r="C1126" t="s">
        <v>5</v>
      </c>
      <c r="E1126">
        <v>1952460</v>
      </c>
      <c r="F1126" t="s">
        <v>78</v>
      </c>
      <c r="G1126" t="str" cm="1">
        <f t="array" ref="G1126">_xlfn.LET(
    _xlpm.r, TRIM(B1126),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26" t="str" cm="1">
        <f t="array" ref="H1126">_xlfn.LET(
     _xlpm.r, TRIM(C1126),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27" spans="1:8" x14ac:dyDescent="0.25">
      <c r="A1127">
        <v>2023</v>
      </c>
      <c r="B1127" t="s">
        <v>10</v>
      </c>
      <c r="C1127" t="s">
        <v>5</v>
      </c>
      <c r="E1127">
        <v>470000</v>
      </c>
      <c r="F1127" t="s">
        <v>78</v>
      </c>
      <c r="G1127" t="str" cm="1">
        <f t="array" ref="G1127">_xlfn.LET(
    _xlpm.r, TRIM(B1127),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27" t="str" cm="1">
        <f t="array" ref="H1127">_xlfn.LET(
     _xlpm.r, TRIM(C1127),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28" spans="1:8" x14ac:dyDescent="0.25">
      <c r="A1128">
        <v>2023</v>
      </c>
      <c r="B1128" t="s">
        <v>10</v>
      </c>
      <c r="C1128" t="s">
        <v>5</v>
      </c>
      <c r="E1128">
        <v>1814572</v>
      </c>
      <c r="F1128" t="s">
        <v>78</v>
      </c>
      <c r="G1128" t="str" cm="1">
        <f t="array" ref="G1128">_xlfn.LET(
    _xlpm.r, TRIM(B1128),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28" t="str" cm="1">
        <f t="array" ref="H1128">_xlfn.LET(
     _xlpm.r, TRIM(C1128),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29" spans="1:8" x14ac:dyDescent="0.25">
      <c r="A1129">
        <v>2023</v>
      </c>
      <c r="B1129" t="s">
        <v>10</v>
      </c>
      <c r="C1129" t="s">
        <v>5</v>
      </c>
      <c r="E1129">
        <v>975352</v>
      </c>
      <c r="F1129" t="s">
        <v>78</v>
      </c>
      <c r="G1129" t="str" cm="1">
        <f t="array" ref="G1129">_xlfn.LET(
    _xlpm.r, TRIM(B1129),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29" t="str" cm="1">
        <f t="array" ref="H1129">_xlfn.LET(
     _xlpm.r, TRIM(C1129),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30" spans="1:8" x14ac:dyDescent="0.25">
      <c r="A1130">
        <v>2023</v>
      </c>
      <c r="B1130" t="s">
        <v>10</v>
      </c>
      <c r="C1130" t="s">
        <v>5</v>
      </c>
      <c r="E1130">
        <v>3596356</v>
      </c>
      <c r="F1130" t="s">
        <v>78</v>
      </c>
      <c r="G1130" t="str" cm="1">
        <f t="array" ref="G1130">_xlfn.LET(
    _xlpm.r, TRIM(B1130),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30" t="str" cm="1">
        <f t="array" ref="H1130">_xlfn.LET(
     _xlpm.r, TRIM(C1130),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31" spans="1:8" x14ac:dyDescent="0.25">
      <c r="A1131">
        <v>2023</v>
      </c>
      <c r="B1131" t="s">
        <v>10</v>
      </c>
      <c r="C1131" t="s">
        <v>5</v>
      </c>
      <c r="E1131">
        <v>1163776</v>
      </c>
      <c r="F1131" t="s">
        <v>78</v>
      </c>
      <c r="G1131" t="str" cm="1">
        <f t="array" ref="G1131">_xlfn.LET(
    _xlpm.r, TRIM(B1131),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31" t="str" cm="1">
        <f t="array" ref="H1131">_xlfn.LET(
     _xlpm.r, TRIM(C1131),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32" spans="1:8" x14ac:dyDescent="0.25">
      <c r="A1132">
        <v>2023</v>
      </c>
      <c r="B1132" t="s">
        <v>10</v>
      </c>
      <c r="C1132" t="s">
        <v>5</v>
      </c>
      <c r="E1132">
        <v>2293272</v>
      </c>
      <c r="F1132" t="s">
        <v>78</v>
      </c>
      <c r="G1132" t="str" cm="1">
        <f t="array" ref="G1132">_xlfn.LET(
    _xlpm.r, TRIM(B1132),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32" t="str" cm="1">
        <f t="array" ref="H1132">_xlfn.LET(
     _xlpm.r, TRIM(C1132),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33" spans="1:8" x14ac:dyDescent="0.25">
      <c r="A1133">
        <v>2023</v>
      </c>
      <c r="B1133" t="s">
        <v>10</v>
      </c>
      <c r="C1133" t="s">
        <v>5</v>
      </c>
      <c r="E1133">
        <v>420000</v>
      </c>
      <c r="F1133" t="s">
        <v>78</v>
      </c>
      <c r="G1133" t="str" cm="1">
        <f t="array" ref="G1133">_xlfn.LET(
    _xlpm.r, TRIM(B1133),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33" t="str" cm="1">
        <f t="array" ref="H1133">_xlfn.LET(
     _xlpm.r, TRIM(C1133),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34" spans="1:8" x14ac:dyDescent="0.25">
      <c r="A1134">
        <v>2023</v>
      </c>
      <c r="B1134" t="s">
        <v>10</v>
      </c>
      <c r="C1134" t="s">
        <v>5</v>
      </c>
      <c r="E1134">
        <v>850000</v>
      </c>
      <c r="F1134" t="s">
        <v>78</v>
      </c>
      <c r="G1134" t="str" cm="1">
        <f t="array" ref="G1134">_xlfn.LET(
    _xlpm.r, TRIM(B1134),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34" t="str" cm="1">
        <f t="array" ref="H1134">_xlfn.LET(
     _xlpm.r, TRIM(C1134),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35" spans="1:8" x14ac:dyDescent="0.25">
      <c r="A1135">
        <v>2023</v>
      </c>
      <c r="B1135" t="s">
        <v>10</v>
      </c>
      <c r="C1135" t="s">
        <v>5</v>
      </c>
      <c r="E1135">
        <v>2036944</v>
      </c>
      <c r="F1135" t="s">
        <v>78</v>
      </c>
      <c r="G1135" t="str" cm="1">
        <f t="array" ref="G1135">_xlfn.LET(
    _xlpm.r, TRIM(B1135),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35" t="str" cm="1">
        <f t="array" ref="H1135">_xlfn.LET(
     _xlpm.r, TRIM(C1135),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36" spans="1:8" x14ac:dyDescent="0.25">
      <c r="A1136">
        <v>2023</v>
      </c>
      <c r="B1136" t="s">
        <v>10</v>
      </c>
      <c r="C1136" t="s">
        <v>5</v>
      </c>
      <c r="E1136">
        <v>1017208</v>
      </c>
      <c r="F1136" t="s">
        <v>78</v>
      </c>
      <c r="G1136" t="str" cm="1">
        <f t="array" ref="G1136">_xlfn.LET(
    _xlpm.r, TRIM(B1136),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36" t="str" cm="1">
        <f t="array" ref="H1136">_xlfn.LET(
     _xlpm.r, TRIM(C1136),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37" spans="1:8" x14ac:dyDescent="0.25">
      <c r="A1137">
        <v>2023</v>
      </c>
      <c r="B1137" t="s">
        <v>10</v>
      </c>
      <c r="C1137" t="s">
        <v>5</v>
      </c>
      <c r="E1137">
        <v>1080212</v>
      </c>
      <c r="F1137" t="s">
        <v>78</v>
      </c>
      <c r="G1137" t="str" cm="1">
        <f t="array" ref="G1137">_xlfn.LET(
    _xlpm.r, TRIM(B1137),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37" t="str" cm="1">
        <f t="array" ref="H1137">_xlfn.LET(
     _xlpm.r, TRIM(C1137),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38" spans="1:8" x14ac:dyDescent="0.25">
      <c r="A1138">
        <v>2023</v>
      </c>
      <c r="B1138" t="s">
        <v>10</v>
      </c>
      <c r="C1138" t="s">
        <v>5</v>
      </c>
      <c r="E1138">
        <v>253000</v>
      </c>
      <c r="F1138" t="s">
        <v>78</v>
      </c>
      <c r="G1138" t="str" cm="1">
        <f t="array" ref="G1138">_xlfn.LET(
    _xlpm.r, TRIM(B1138),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38" t="str" cm="1">
        <f t="array" ref="H1138">_xlfn.LET(
     _xlpm.r, TRIM(C1138),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39" spans="1:8" x14ac:dyDescent="0.25">
      <c r="A1139">
        <v>2023</v>
      </c>
      <c r="B1139" t="s">
        <v>10</v>
      </c>
      <c r="C1139" t="s">
        <v>5</v>
      </c>
      <c r="E1139">
        <v>1324744</v>
      </c>
      <c r="F1139" t="s">
        <v>78</v>
      </c>
      <c r="G1139" t="str" cm="1">
        <f t="array" ref="G1139">_xlfn.LET(
    _xlpm.r, TRIM(B1139),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39" t="str" cm="1">
        <f t="array" ref="H1139">_xlfn.LET(
     _xlpm.r, TRIM(C1139),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40" spans="1:8" x14ac:dyDescent="0.25">
      <c r="A1140">
        <v>2023</v>
      </c>
      <c r="B1140" t="s">
        <v>10</v>
      </c>
      <c r="C1140" t="s">
        <v>5</v>
      </c>
      <c r="E1140">
        <v>1531669</v>
      </c>
      <c r="F1140" t="s">
        <v>78</v>
      </c>
      <c r="G1140" t="str" cm="1">
        <f t="array" ref="G1140">_xlfn.LET(
    _xlpm.r, TRIM(B1140),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40" t="str" cm="1">
        <f t="array" ref="H1140">_xlfn.LET(
     _xlpm.r, TRIM(C1140),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41" spans="1:8" x14ac:dyDescent="0.25">
      <c r="A1141">
        <v>2023</v>
      </c>
      <c r="B1141" t="s">
        <v>10</v>
      </c>
      <c r="C1141" t="s">
        <v>5</v>
      </c>
      <c r="E1141">
        <v>4073360</v>
      </c>
      <c r="F1141" t="s">
        <v>78</v>
      </c>
      <c r="G1141" t="str" cm="1">
        <f t="array" ref="G1141">_xlfn.LET(
    _xlpm.r, TRIM(B1141),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41" t="str" cm="1">
        <f t="array" ref="H1141">_xlfn.LET(
     _xlpm.r, TRIM(C1141),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42" spans="1:8" x14ac:dyDescent="0.25">
      <c r="A1142">
        <v>2023</v>
      </c>
      <c r="B1142" t="s">
        <v>10</v>
      </c>
      <c r="C1142" t="s">
        <v>5</v>
      </c>
      <c r="E1142">
        <v>2000</v>
      </c>
      <c r="F1142" t="s">
        <v>78</v>
      </c>
      <c r="G1142" t="str" cm="1">
        <f t="array" ref="G1142">_xlfn.LET(
    _xlpm.r, TRIM(B1142),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42" t="str" cm="1">
        <f t="array" ref="H1142">_xlfn.LET(
     _xlpm.r, TRIM(C1142),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43" spans="1:8" x14ac:dyDescent="0.25">
      <c r="A1143">
        <v>2023</v>
      </c>
      <c r="B1143" t="s">
        <v>10</v>
      </c>
      <c r="C1143" t="s">
        <v>5</v>
      </c>
      <c r="E1143">
        <v>12000</v>
      </c>
      <c r="F1143" t="s">
        <v>78</v>
      </c>
      <c r="G1143" t="str" cm="1">
        <f t="array" ref="G1143">_xlfn.LET(
    _xlpm.r, TRIM(B1143),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43" t="str" cm="1">
        <f t="array" ref="H1143">_xlfn.LET(
     _xlpm.r, TRIM(C1143),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44" spans="1:8" x14ac:dyDescent="0.25">
      <c r="A1144">
        <v>2023</v>
      </c>
      <c r="B1144" t="s">
        <v>10</v>
      </c>
      <c r="C1144" t="s">
        <v>5</v>
      </c>
      <c r="E1144">
        <v>15000</v>
      </c>
      <c r="F1144" t="s">
        <v>78</v>
      </c>
      <c r="G1144" t="str" cm="1">
        <f t="array" ref="G1144">_xlfn.LET(
    _xlpm.r, TRIM(B1144),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44" t="str" cm="1">
        <f t="array" ref="H1144">_xlfn.LET(
     _xlpm.r, TRIM(C1144),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45" spans="1:8" x14ac:dyDescent="0.25">
      <c r="A1145">
        <v>2023</v>
      </c>
      <c r="B1145" t="s">
        <v>10</v>
      </c>
      <c r="C1145" t="s">
        <v>5</v>
      </c>
      <c r="E1145">
        <v>187000</v>
      </c>
      <c r="F1145" t="s">
        <v>78</v>
      </c>
      <c r="G1145" t="str" cm="1">
        <f t="array" ref="G1145">_xlfn.LET(
    _xlpm.r, TRIM(B1145),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45" t="str" cm="1">
        <f t="array" ref="H1145">_xlfn.LET(
     _xlpm.r, TRIM(C1145),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46" spans="1:8" x14ac:dyDescent="0.25">
      <c r="A1146">
        <v>2023</v>
      </c>
      <c r="B1146" t="s">
        <v>10</v>
      </c>
      <c r="C1146" t="s">
        <v>5</v>
      </c>
      <c r="E1146">
        <v>12000</v>
      </c>
      <c r="F1146" t="s">
        <v>78</v>
      </c>
      <c r="G1146" t="str" cm="1">
        <f t="array" ref="G1146">_xlfn.LET(
    _xlpm.r, TRIM(B1146),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46" t="str" cm="1">
        <f t="array" ref="H1146">_xlfn.LET(
     _xlpm.r, TRIM(C1146),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47" spans="1:8" x14ac:dyDescent="0.25">
      <c r="A1147">
        <v>2023</v>
      </c>
      <c r="B1147" t="s">
        <v>10</v>
      </c>
      <c r="C1147" t="s">
        <v>5</v>
      </c>
      <c r="E1147">
        <v>165000</v>
      </c>
      <c r="F1147" t="s">
        <v>78</v>
      </c>
      <c r="G1147" t="str" cm="1">
        <f t="array" ref="G1147">_xlfn.LET(
    _xlpm.r, TRIM(B1147),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47" t="str" cm="1">
        <f t="array" ref="H1147">_xlfn.LET(
     _xlpm.r, TRIM(C1147),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48" spans="1:8" x14ac:dyDescent="0.25">
      <c r="A1148">
        <v>2023</v>
      </c>
      <c r="B1148" t="s">
        <v>10</v>
      </c>
      <c r="C1148" t="s">
        <v>5</v>
      </c>
      <c r="E1148">
        <v>406000</v>
      </c>
      <c r="F1148" t="s">
        <v>78</v>
      </c>
      <c r="G1148" t="str" cm="1">
        <f t="array" ref="G1148">_xlfn.LET(
    _xlpm.r, TRIM(B1148),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48" t="str" cm="1">
        <f t="array" ref="H1148">_xlfn.LET(
     _xlpm.r, TRIM(C1148),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49" spans="1:8" x14ac:dyDescent="0.25">
      <c r="A1149">
        <v>2023</v>
      </c>
      <c r="B1149" t="s">
        <v>10</v>
      </c>
      <c r="C1149" t="s">
        <v>5</v>
      </c>
      <c r="E1149">
        <v>462000</v>
      </c>
      <c r="F1149" t="s">
        <v>78</v>
      </c>
      <c r="G1149" t="str" cm="1">
        <f t="array" ref="G1149">_xlfn.LET(
    _xlpm.r, TRIM(B1149),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49" t="str" cm="1">
        <f t="array" ref="H1149">_xlfn.LET(
     _xlpm.r, TRIM(C1149),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50" spans="1:8" x14ac:dyDescent="0.25">
      <c r="A1150">
        <v>2023</v>
      </c>
      <c r="B1150" t="s">
        <v>10</v>
      </c>
      <c r="C1150" t="s">
        <v>5</v>
      </c>
      <c r="E1150">
        <v>416000</v>
      </c>
      <c r="F1150" t="s">
        <v>78</v>
      </c>
      <c r="G1150" t="str" cm="1">
        <f t="array" ref="G1150">_xlfn.LET(
    _xlpm.r, TRIM(B1150),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50" t="str" cm="1">
        <f t="array" ref="H1150">_xlfn.LET(
     _xlpm.r, TRIM(C1150),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51" spans="1:8" x14ac:dyDescent="0.25">
      <c r="A1151">
        <v>2023</v>
      </c>
      <c r="B1151" t="s">
        <v>10</v>
      </c>
      <c r="C1151" t="s">
        <v>5</v>
      </c>
      <c r="E1151">
        <v>362000</v>
      </c>
      <c r="F1151" t="s">
        <v>78</v>
      </c>
      <c r="G1151" t="str" cm="1">
        <f t="array" ref="G1151">_xlfn.LET(
    _xlpm.r, TRIM(B1151),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51" t="str" cm="1">
        <f t="array" ref="H1151">_xlfn.LET(
     _xlpm.r, TRIM(C1151),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52" spans="1:8" x14ac:dyDescent="0.25">
      <c r="A1152">
        <v>2023</v>
      </c>
      <c r="B1152" t="s">
        <v>10</v>
      </c>
      <c r="C1152" t="s">
        <v>5</v>
      </c>
      <c r="E1152">
        <v>120000</v>
      </c>
      <c r="F1152" t="s">
        <v>78</v>
      </c>
      <c r="G1152" t="str" cm="1">
        <f t="array" ref="G1152">_xlfn.LET(
    _xlpm.r, TRIM(B1152),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52" t="str" cm="1">
        <f t="array" ref="H1152">_xlfn.LET(
     _xlpm.r, TRIM(C1152),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53" spans="1:8" x14ac:dyDescent="0.25">
      <c r="A1153">
        <v>2023</v>
      </c>
      <c r="B1153" t="s">
        <v>10</v>
      </c>
      <c r="C1153" t="s">
        <v>5</v>
      </c>
      <c r="E1153">
        <v>1770000</v>
      </c>
      <c r="F1153" t="s">
        <v>78</v>
      </c>
      <c r="G1153" t="str" cm="1">
        <f t="array" ref="G1153">_xlfn.LET(
    _xlpm.r, TRIM(B1153),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53" t="str" cm="1">
        <f t="array" ref="H1153">_xlfn.LET(
     _xlpm.r, TRIM(C1153),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54" spans="1:8" x14ac:dyDescent="0.25">
      <c r="A1154">
        <v>2023</v>
      </c>
      <c r="B1154" t="s">
        <v>10</v>
      </c>
      <c r="C1154" t="s">
        <v>5</v>
      </c>
      <c r="E1154">
        <v>252000</v>
      </c>
      <c r="F1154" t="s">
        <v>78</v>
      </c>
      <c r="G1154" t="str" cm="1">
        <f t="array" ref="G1154">_xlfn.LET(
    _xlpm.r, TRIM(B1154),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54" t="str" cm="1">
        <f t="array" ref="H1154">_xlfn.LET(
     _xlpm.r, TRIM(C1154),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55" spans="1:8" x14ac:dyDescent="0.25">
      <c r="A1155">
        <v>2023</v>
      </c>
      <c r="B1155" t="s">
        <v>10</v>
      </c>
      <c r="C1155" t="s">
        <v>5</v>
      </c>
      <c r="E1155">
        <v>120000</v>
      </c>
      <c r="F1155" t="s">
        <v>78</v>
      </c>
      <c r="G1155" t="str" cm="1">
        <f t="array" ref="G1155">_xlfn.LET(
    _xlpm.r, TRIM(B1155),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55" t="str" cm="1">
        <f t="array" ref="H1155">_xlfn.LET(
     _xlpm.r, TRIM(C1155),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56" spans="1:8" x14ac:dyDescent="0.25">
      <c r="A1156">
        <v>2023</v>
      </c>
      <c r="B1156" t="s">
        <v>10</v>
      </c>
      <c r="C1156" t="s">
        <v>5</v>
      </c>
      <c r="E1156">
        <v>220380</v>
      </c>
      <c r="F1156" t="s">
        <v>78</v>
      </c>
      <c r="G1156" t="str" cm="1">
        <f t="array" ref="G1156">_xlfn.LET(
    _xlpm.r, TRIM(B1156),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56" t="str" cm="1">
        <f t="array" ref="H1156">_xlfn.LET(
     _xlpm.r, TRIM(C1156),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57" spans="1:8" x14ac:dyDescent="0.25">
      <c r="A1157">
        <v>2023</v>
      </c>
      <c r="B1157" t="s">
        <v>10</v>
      </c>
      <c r="C1157" t="s">
        <v>5</v>
      </c>
      <c r="E1157">
        <v>868696</v>
      </c>
      <c r="F1157" t="s">
        <v>78</v>
      </c>
      <c r="G1157" t="str" cm="1">
        <f t="array" ref="G1157">_xlfn.LET(
    _xlpm.r, TRIM(B1157),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57" t="str" cm="1">
        <f t="array" ref="H1157">_xlfn.LET(
     _xlpm.r, TRIM(C1157),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58" spans="1:8" x14ac:dyDescent="0.25">
      <c r="A1158">
        <v>2023</v>
      </c>
      <c r="B1158" t="s">
        <v>10</v>
      </c>
      <c r="C1158" t="s">
        <v>5</v>
      </c>
      <c r="E1158">
        <v>1847580</v>
      </c>
      <c r="F1158" t="s">
        <v>78</v>
      </c>
      <c r="G1158" t="str" cm="1">
        <f t="array" ref="G1158">_xlfn.LET(
    _xlpm.r, TRIM(B1158),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58" t="str" cm="1">
        <f t="array" ref="H1158">_xlfn.LET(
     _xlpm.r, TRIM(C1158),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59" spans="1:8" x14ac:dyDescent="0.25">
      <c r="A1159">
        <v>2023</v>
      </c>
      <c r="B1159" t="s">
        <v>10</v>
      </c>
      <c r="C1159" t="s">
        <v>5</v>
      </c>
      <c r="E1159">
        <v>2394628</v>
      </c>
      <c r="F1159" t="s">
        <v>78</v>
      </c>
      <c r="G1159" t="str" cm="1">
        <f t="array" ref="G1159">_xlfn.LET(
    _xlpm.r, TRIM(B1159),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59" t="str" cm="1">
        <f t="array" ref="H1159">_xlfn.LET(
     _xlpm.r, TRIM(C1159),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60" spans="1:8" x14ac:dyDescent="0.25">
      <c r="A1160">
        <v>2023</v>
      </c>
      <c r="B1160" t="s">
        <v>10</v>
      </c>
      <c r="C1160" t="s">
        <v>5</v>
      </c>
      <c r="E1160">
        <v>1487360</v>
      </c>
      <c r="F1160" t="s">
        <v>78</v>
      </c>
      <c r="G1160" t="str" cm="1">
        <f t="array" ref="G1160">_xlfn.LET(
    _xlpm.r, TRIM(B1160),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60" t="str" cm="1">
        <f t="array" ref="H1160">_xlfn.LET(
     _xlpm.r, TRIM(C1160),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61" spans="1:8" x14ac:dyDescent="0.25">
      <c r="A1161">
        <v>2023</v>
      </c>
      <c r="B1161" t="s">
        <v>10</v>
      </c>
      <c r="C1161" t="s">
        <v>5</v>
      </c>
      <c r="E1161">
        <v>205000</v>
      </c>
      <c r="F1161" t="s">
        <v>78</v>
      </c>
      <c r="G1161" t="str" cm="1">
        <f t="array" ref="G1161">_xlfn.LET(
    _xlpm.r, TRIM(B1161),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61" t="str" cm="1">
        <f t="array" ref="H1161">_xlfn.LET(
     _xlpm.r, TRIM(C1161),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62" spans="1:8" x14ac:dyDescent="0.25">
      <c r="A1162">
        <v>2023</v>
      </c>
      <c r="B1162" t="s">
        <v>10</v>
      </c>
      <c r="C1162" t="s">
        <v>5</v>
      </c>
      <c r="E1162">
        <v>5461452</v>
      </c>
      <c r="F1162" t="s">
        <v>78</v>
      </c>
      <c r="G1162" t="str" cm="1">
        <f t="array" ref="G1162">_xlfn.LET(
    _xlpm.r, TRIM(B1162),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62" t="str" cm="1">
        <f t="array" ref="H1162">_xlfn.LET(
     _xlpm.r, TRIM(C1162),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63" spans="1:8" x14ac:dyDescent="0.25">
      <c r="A1163">
        <v>2023</v>
      </c>
      <c r="B1163" t="s">
        <v>10</v>
      </c>
      <c r="C1163" t="s">
        <v>5</v>
      </c>
      <c r="E1163">
        <v>4516264</v>
      </c>
      <c r="F1163" t="s">
        <v>78</v>
      </c>
      <c r="G1163" t="str" cm="1">
        <f t="array" ref="G1163">_xlfn.LET(
    _xlpm.r, TRIM(B1163),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63" t="str" cm="1">
        <f t="array" ref="H1163">_xlfn.LET(
     _xlpm.r, TRIM(C1163),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64" spans="1:8" x14ac:dyDescent="0.25">
      <c r="A1164">
        <v>2023</v>
      </c>
      <c r="B1164" t="s">
        <v>10</v>
      </c>
      <c r="C1164" t="s">
        <v>5</v>
      </c>
      <c r="E1164">
        <v>3557564</v>
      </c>
      <c r="F1164" t="s">
        <v>78</v>
      </c>
      <c r="G1164" t="str" cm="1">
        <f t="array" ref="G1164">_xlfn.LET(
    _xlpm.r, TRIM(B1164),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64" t="str" cm="1">
        <f t="array" ref="H1164">_xlfn.LET(
     _xlpm.r, TRIM(C1164),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65" spans="1:8" x14ac:dyDescent="0.25">
      <c r="A1165">
        <v>2023</v>
      </c>
      <c r="B1165" t="s">
        <v>10</v>
      </c>
      <c r="C1165" t="s">
        <v>5</v>
      </c>
      <c r="E1165">
        <v>1006512</v>
      </c>
      <c r="F1165" t="s">
        <v>78</v>
      </c>
      <c r="G1165" t="str" cm="1">
        <f t="array" ref="G1165">_xlfn.LET(
    _xlpm.r, TRIM(B1165),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65" t="str" cm="1">
        <f t="array" ref="H1165">_xlfn.LET(
     _xlpm.r, TRIM(C1165),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66" spans="1:8" x14ac:dyDescent="0.25">
      <c r="A1166">
        <v>2023</v>
      </c>
      <c r="B1166" t="s">
        <v>10</v>
      </c>
      <c r="C1166" t="s">
        <v>5</v>
      </c>
      <c r="E1166">
        <v>957000</v>
      </c>
      <c r="F1166" t="s">
        <v>78</v>
      </c>
      <c r="G1166" t="str" cm="1">
        <f t="array" ref="G1166">_xlfn.LET(
    _xlpm.r, TRIM(B1166),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66" t="str" cm="1">
        <f t="array" ref="H1166">_xlfn.LET(
     _xlpm.r, TRIM(C1166),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67" spans="1:8" x14ac:dyDescent="0.25">
      <c r="A1167">
        <v>2023</v>
      </c>
      <c r="B1167" t="s">
        <v>10</v>
      </c>
      <c r="C1167" t="s">
        <v>5</v>
      </c>
      <c r="E1167">
        <v>985628</v>
      </c>
      <c r="F1167" t="s">
        <v>78</v>
      </c>
      <c r="G1167" t="str" cm="1">
        <f t="array" ref="G1167">_xlfn.LET(
    _xlpm.r, TRIM(B1167),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67" t="str" cm="1">
        <f t="array" ref="H1167">_xlfn.LET(
     _xlpm.r, TRIM(C1167),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68" spans="1:8" x14ac:dyDescent="0.25">
      <c r="A1168">
        <v>2023</v>
      </c>
      <c r="B1168" t="s">
        <v>10</v>
      </c>
      <c r="C1168" t="s">
        <v>5</v>
      </c>
      <c r="E1168">
        <v>3219692</v>
      </c>
      <c r="F1168" t="s">
        <v>78</v>
      </c>
      <c r="G1168" t="str" cm="1">
        <f t="array" ref="G1168">_xlfn.LET(
    _xlpm.r, TRIM(B1168),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68" t="str" cm="1">
        <f t="array" ref="H1168">_xlfn.LET(
     _xlpm.r, TRIM(C1168),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69" spans="1:8" x14ac:dyDescent="0.25">
      <c r="A1169">
        <v>2023</v>
      </c>
      <c r="B1169" t="s">
        <v>10</v>
      </c>
      <c r="C1169" t="s">
        <v>5</v>
      </c>
      <c r="E1169">
        <v>240000</v>
      </c>
      <c r="F1169" t="s">
        <v>78</v>
      </c>
      <c r="G1169" t="str" cm="1">
        <f t="array" ref="G1169">_xlfn.LET(
    _xlpm.r, TRIM(B1169),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69" t="str" cm="1">
        <f t="array" ref="H1169">_xlfn.LET(
     _xlpm.r, TRIM(C1169),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70" spans="1:8" x14ac:dyDescent="0.25">
      <c r="A1170">
        <v>2023</v>
      </c>
      <c r="B1170" t="s">
        <v>10</v>
      </c>
      <c r="C1170" t="s">
        <v>5</v>
      </c>
      <c r="E1170">
        <v>4437516</v>
      </c>
      <c r="F1170" t="s">
        <v>78</v>
      </c>
      <c r="G1170" t="str" cm="1">
        <f t="array" ref="G1170">_xlfn.LET(
    _xlpm.r, TRIM(B1170),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70" t="str" cm="1">
        <f t="array" ref="H1170">_xlfn.LET(
     _xlpm.r, TRIM(C1170),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71" spans="1:8" x14ac:dyDescent="0.25">
      <c r="A1171">
        <v>2023</v>
      </c>
      <c r="B1171" t="s">
        <v>10</v>
      </c>
      <c r="C1171" t="s">
        <v>5</v>
      </c>
      <c r="E1171">
        <v>796000</v>
      </c>
      <c r="F1171" t="s">
        <v>78</v>
      </c>
      <c r="G1171" t="str" cm="1">
        <f t="array" ref="G1171">_xlfn.LET(
    _xlpm.r, TRIM(B1171),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71" t="str" cm="1">
        <f t="array" ref="H1171">_xlfn.LET(
     _xlpm.r, TRIM(C1171),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72" spans="1:8" x14ac:dyDescent="0.25">
      <c r="A1172">
        <v>2023</v>
      </c>
      <c r="B1172" t="s">
        <v>10</v>
      </c>
      <c r="C1172" t="s">
        <v>5</v>
      </c>
      <c r="E1172">
        <v>775000</v>
      </c>
      <c r="F1172" t="s">
        <v>78</v>
      </c>
      <c r="G1172" t="str" cm="1">
        <f t="array" ref="G1172">_xlfn.LET(
    _xlpm.r, TRIM(B1172),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72" t="str" cm="1">
        <f t="array" ref="H1172">_xlfn.LET(
     _xlpm.r, TRIM(C1172),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73" spans="1:8" x14ac:dyDescent="0.25">
      <c r="A1173">
        <v>2023</v>
      </c>
      <c r="B1173" t="s">
        <v>10</v>
      </c>
      <c r="C1173" t="s">
        <v>5</v>
      </c>
      <c r="E1173">
        <v>805368</v>
      </c>
      <c r="F1173" t="s">
        <v>78</v>
      </c>
      <c r="G1173" t="str" cm="1">
        <f t="array" ref="G1173">_xlfn.LET(
    _xlpm.r, TRIM(B1173),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73" t="str" cm="1">
        <f t="array" ref="H1173">_xlfn.LET(
     _xlpm.r, TRIM(C1173),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74" spans="1:8" x14ac:dyDescent="0.25">
      <c r="A1174">
        <v>2023</v>
      </c>
      <c r="B1174" t="s">
        <v>10</v>
      </c>
      <c r="C1174" t="s">
        <v>5</v>
      </c>
      <c r="E1174">
        <v>1603548</v>
      </c>
      <c r="F1174" t="s">
        <v>78</v>
      </c>
      <c r="G1174" t="str" cm="1">
        <f t="array" ref="G1174">_xlfn.LET(
    _xlpm.r, TRIM(B1174),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74" t="str" cm="1">
        <f t="array" ref="H1174">_xlfn.LET(
     _xlpm.r, TRIM(C1174),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75" spans="1:8" x14ac:dyDescent="0.25">
      <c r="A1175">
        <v>2023</v>
      </c>
      <c r="B1175" t="s">
        <v>10</v>
      </c>
      <c r="C1175" t="s">
        <v>5</v>
      </c>
      <c r="E1175">
        <v>600000</v>
      </c>
      <c r="F1175" t="s">
        <v>78</v>
      </c>
      <c r="G1175" t="str" cm="1">
        <f t="array" ref="G1175">_xlfn.LET(
    _xlpm.r, TRIM(B1175),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75" t="str" cm="1">
        <f t="array" ref="H1175">_xlfn.LET(
     _xlpm.r, TRIM(C1175),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76" spans="1:8" x14ac:dyDescent="0.25">
      <c r="A1176">
        <v>2023</v>
      </c>
      <c r="B1176" t="s">
        <v>10</v>
      </c>
      <c r="C1176" t="s">
        <v>5</v>
      </c>
      <c r="E1176">
        <v>1820212</v>
      </c>
      <c r="F1176" t="s">
        <v>78</v>
      </c>
      <c r="G1176" t="str" cm="1">
        <f t="array" ref="G1176">_xlfn.LET(
    _xlpm.r, TRIM(B1176),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76" t="str" cm="1">
        <f t="array" ref="H1176">_xlfn.LET(
     _xlpm.r, TRIM(C1176),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77" spans="1:8" x14ac:dyDescent="0.25">
      <c r="A1177">
        <v>2023</v>
      </c>
      <c r="B1177" t="s">
        <v>10</v>
      </c>
      <c r="C1177" t="s">
        <v>5</v>
      </c>
      <c r="E1177">
        <v>787272</v>
      </c>
      <c r="F1177" t="s">
        <v>78</v>
      </c>
      <c r="G1177" t="str" cm="1">
        <f t="array" ref="G1177">_xlfn.LET(
    _xlpm.r, TRIM(B1177),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77" t="str" cm="1">
        <f t="array" ref="H1177">_xlfn.LET(
     _xlpm.r, TRIM(C1177),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78" spans="1:8" x14ac:dyDescent="0.25">
      <c r="A1178">
        <v>2023</v>
      </c>
      <c r="B1178" t="s">
        <v>10</v>
      </c>
      <c r="C1178" t="s">
        <v>5</v>
      </c>
      <c r="E1178">
        <v>420000</v>
      </c>
      <c r="F1178" t="s">
        <v>78</v>
      </c>
      <c r="G1178" t="str" cm="1">
        <f t="array" ref="G1178">_xlfn.LET(
    _xlpm.r, TRIM(B1178),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78" t="str" cm="1">
        <f t="array" ref="H1178">_xlfn.LET(
     _xlpm.r, TRIM(C1178),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79" spans="1:8" x14ac:dyDescent="0.25">
      <c r="A1179">
        <v>2023</v>
      </c>
      <c r="B1179" t="s">
        <v>10</v>
      </c>
      <c r="C1179" t="s">
        <v>5</v>
      </c>
      <c r="E1179">
        <v>4599376</v>
      </c>
      <c r="F1179" t="s">
        <v>78</v>
      </c>
      <c r="G1179" t="str" cm="1">
        <f t="array" ref="G1179">_xlfn.LET(
    _xlpm.r, TRIM(B1179),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79" t="str" cm="1">
        <f t="array" ref="H1179">_xlfn.LET(
     _xlpm.r, TRIM(C1179),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80" spans="1:8" x14ac:dyDescent="0.25">
      <c r="A1180">
        <v>2023</v>
      </c>
      <c r="B1180" t="s">
        <v>10</v>
      </c>
      <c r="C1180" t="s">
        <v>5</v>
      </c>
      <c r="E1180">
        <v>330000</v>
      </c>
      <c r="F1180" t="s">
        <v>78</v>
      </c>
      <c r="G1180" t="str" cm="1">
        <f t="array" ref="G1180">_xlfn.LET(
    _xlpm.r, TRIM(B1180),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80" t="str" cm="1">
        <f t="array" ref="H1180">_xlfn.LET(
     _xlpm.r, TRIM(C1180),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81" spans="1:8" x14ac:dyDescent="0.25">
      <c r="A1181">
        <v>2023</v>
      </c>
      <c r="B1181" t="s">
        <v>10</v>
      </c>
      <c r="C1181" t="s">
        <v>5</v>
      </c>
      <c r="E1181">
        <v>2617432</v>
      </c>
      <c r="F1181" t="s">
        <v>78</v>
      </c>
      <c r="G1181" t="str" cm="1">
        <f t="array" ref="G1181">_xlfn.LET(
    _xlpm.r, TRIM(B1181),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81" t="str" cm="1">
        <f t="array" ref="H1181">_xlfn.LET(
     _xlpm.r, TRIM(C1181),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82" spans="1:8" x14ac:dyDescent="0.25">
      <c r="A1182">
        <v>2023</v>
      </c>
      <c r="B1182" t="s">
        <v>10</v>
      </c>
      <c r="C1182" t="s">
        <v>5</v>
      </c>
      <c r="E1182">
        <v>1585000</v>
      </c>
      <c r="F1182" t="s">
        <v>78</v>
      </c>
      <c r="G1182" t="str" cm="1">
        <f t="array" ref="G1182">_xlfn.LET(
    _xlpm.r, TRIM(B1182),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82" t="str" cm="1">
        <f t="array" ref="H1182">_xlfn.LET(
     _xlpm.r, TRIM(C1182),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83" spans="1:8" x14ac:dyDescent="0.25">
      <c r="A1183">
        <v>2023</v>
      </c>
      <c r="B1183" t="s">
        <v>10</v>
      </c>
      <c r="C1183" t="s">
        <v>5</v>
      </c>
      <c r="E1183">
        <v>827480</v>
      </c>
      <c r="F1183" t="s">
        <v>78</v>
      </c>
      <c r="G1183" t="str" cm="1">
        <f t="array" ref="G1183">_xlfn.LET(
    _xlpm.r, TRIM(B1183),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83" t="str" cm="1">
        <f t="array" ref="H1183">_xlfn.LET(
     _xlpm.r, TRIM(C1183),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84" spans="1:8" x14ac:dyDescent="0.25">
      <c r="A1184">
        <v>2023</v>
      </c>
      <c r="B1184" t="s">
        <v>10</v>
      </c>
      <c r="C1184" t="s">
        <v>5</v>
      </c>
      <c r="E1184">
        <v>500000</v>
      </c>
      <c r="F1184" t="s">
        <v>78</v>
      </c>
      <c r="G1184" t="str" cm="1">
        <f t="array" ref="G1184">_xlfn.LET(
    _xlpm.r, TRIM(B1184),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84" t="str" cm="1">
        <f t="array" ref="H1184">_xlfn.LET(
     _xlpm.r, TRIM(C1184),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85" spans="1:8" x14ac:dyDescent="0.25">
      <c r="A1185">
        <v>2023</v>
      </c>
      <c r="B1185" t="s">
        <v>10</v>
      </c>
      <c r="C1185" t="s">
        <v>5</v>
      </c>
      <c r="E1185">
        <v>497000</v>
      </c>
      <c r="F1185" t="s">
        <v>78</v>
      </c>
      <c r="G1185" t="str" cm="1">
        <f t="array" ref="G1185">_xlfn.LET(
    _xlpm.r, TRIM(B1185),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85" t="str" cm="1">
        <f t="array" ref="H1185">_xlfn.LET(
     _xlpm.r, TRIM(C1185),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86" spans="1:8" x14ac:dyDescent="0.25">
      <c r="A1186">
        <v>2023</v>
      </c>
      <c r="B1186" t="s">
        <v>10</v>
      </c>
      <c r="C1186" t="s">
        <v>5</v>
      </c>
      <c r="E1186">
        <v>620000</v>
      </c>
      <c r="F1186" t="s">
        <v>78</v>
      </c>
      <c r="G1186" t="str" cm="1">
        <f t="array" ref="G1186">_xlfn.LET(
    _xlpm.r, TRIM(B1186),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86" t="str" cm="1">
        <f t="array" ref="H1186">_xlfn.LET(
     _xlpm.r, TRIM(C1186),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87" spans="1:8" x14ac:dyDescent="0.25">
      <c r="A1187">
        <v>2023</v>
      </c>
      <c r="B1187" t="s">
        <v>10</v>
      </c>
      <c r="C1187" t="s">
        <v>5</v>
      </c>
      <c r="E1187">
        <v>840000</v>
      </c>
      <c r="F1187" t="s">
        <v>78</v>
      </c>
      <c r="G1187" t="str" cm="1">
        <f t="array" ref="G1187">_xlfn.LET(
    _xlpm.r, TRIM(B1187),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87" t="str" cm="1">
        <f t="array" ref="H1187">_xlfn.LET(
     _xlpm.r, TRIM(C1187),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88" spans="1:8" x14ac:dyDescent="0.25">
      <c r="A1188">
        <v>2023</v>
      </c>
      <c r="B1188" t="s">
        <v>10</v>
      </c>
      <c r="C1188" t="s">
        <v>5</v>
      </c>
      <c r="E1188">
        <v>300000</v>
      </c>
      <c r="F1188" t="s">
        <v>78</v>
      </c>
      <c r="G1188" t="str" cm="1">
        <f t="array" ref="G1188">_xlfn.LET(
    _xlpm.r, TRIM(B1188),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88" t="str" cm="1">
        <f t="array" ref="H1188">_xlfn.LET(
     _xlpm.r, TRIM(C1188),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89" spans="1:8" x14ac:dyDescent="0.25">
      <c r="A1189">
        <v>2023</v>
      </c>
      <c r="B1189" t="s">
        <v>10</v>
      </c>
      <c r="C1189" t="s">
        <v>5</v>
      </c>
      <c r="E1189">
        <v>180000</v>
      </c>
      <c r="F1189" t="s">
        <v>78</v>
      </c>
      <c r="G1189" t="str" cm="1">
        <f t="array" ref="G1189">_xlfn.LET(
    _xlpm.r, TRIM(B1189),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89" t="str" cm="1">
        <f t="array" ref="H1189">_xlfn.LET(
     _xlpm.r, TRIM(C1189),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90" spans="1:8" x14ac:dyDescent="0.25">
      <c r="A1190">
        <v>2023</v>
      </c>
      <c r="B1190" t="s">
        <v>10</v>
      </c>
      <c r="C1190" t="s">
        <v>5</v>
      </c>
      <c r="E1190">
        <v>3600000</v>
      </c>
      <c r="F1190" t="s">
        <v>78</v>
      </c>
      <c r="G1190" t="str" cm="1">
        <f t="array" ref="G1190">_xlfn.LET(
    _xlpm.r, TRIM(B1190),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90" t="str" cm="1">
        <f t="array" ref="H1190">_xlfn.LET(
     _xlpm.r, TRIM(C1190),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91" spans="1:8" x14ac:dyDescent="0.25">
      <c r="A1191">
        <v>2023</v>
      </c>
      <c r="B1191" t="s">
        <v>10</v>
      </c>
      <c r="C1191" t="s">
        <v>5</v>
      </c>
      <c r="E1191">
        <v>1514852</v>
      </c>
      <c r="F1191" t="s">
        <v>78</v>
      </c>
      <c r="G1191" t="str" cm="1">
        <f t="array" ref="G1191">_xlfn.LET(
    _xlpm.r, TRIM(B1191),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91" t="str" cm="1">
        <f t="array" ref="H1191">_xlfn.LET(
     _xlpm.r, TRIM(C1191),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92" spans="1:8" x14ac:dyDescent="0.25">
      <c r="A1192">
        <v>2023</v>
      </c>
      <c r="B1192" t="s">
        <v>10</v>
      </c>
      <c r="C1192" t="s">
        <v>5</v>
      </c>
      <c r="E1192">
        <v>1051884</v>
      </c>
      <c r="F1192" t="s">
        <v>78</v>
      </c>
      <c r="G1192" t="str" cm="1">
        <f t="array" ref="G1192">_xlfn.LET(
    _xlpm.r, TRIM(B1192),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92" t="str" cm="1">
        <f t="array" ref="H1192">_xlfn.LET(
     _xlpm.r, TRIM(C1192),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93" spans="1:8" x14ac:dyDescent="0.25">
      <c r="A1193">
        <v>2023</v>
      </c>
      <c r="B1193" t="s">
        <v>10</v>
      </c>
      <c r="C1193" t="s">
        <v>5</v>
      </c>
      <c r="E1193">
        <v>20806712</v>
      </c>
      <c r="F1193" t="s">
        <v>78</v>
      </c>
      <c r="G1193" t="str" cm="1">
        <f t="array" ref="G1193">_xlfn.LET(
    _xlpm.r, TRIM(B1193),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93" t="str" cm="1">
        <f t="array" ref="H1193">_xlfn.LET(
     _xlpm.r, TRIM(C1193),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94" spans="1:8" x14ac:dyDescent="0.25">
      <c r="A1194">
        <v>2023</v>
      </c>
      <c r="B1194" t="s">
        <v>10</v>
      </c>
      <c r="C1194" t="s">
        <v>5</v>
      </c>
      <c r="E1194">
        <v>22346696</v>
      </c>
      <c r="F1194" t="s">
        <v>78</v>
      </c>
      <c r="G1194" t="str" cm="1">
        <f t="array" ref="G1194">_xlfn.LET(
    _xlpm.r, TRIM(B1194),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94" t="str" cm="1">
        <f t="array" ref="H1194">_xlfn.LET(
     _xlpm.r, TRIM(C1194),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95" spans="1:8" x14ac:dyDescent="0.25">
      <c r="A1195">
        <v>2023</v>
      </c>
      <c r="B1195" t="s">
        <v>10</v>
      </c>
      <c r="C1195" t="s">
        <v>5</v>
      </c>
      <c r="E1195">
        <v>300000</v>
      </c>
      <c r="F1195" t="s">
        <v>78</v>
      </c>
      <c r="G1195" t="str" cm="1">
        <f t="array" ref="G1195">_xlfn.LET(
    _xlpm.r, TRIM(B1195),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95" t="str" cm="1">
        <f t="array" ref="H1195">_xlfn.LET(
     _xlpm.r, TRIM(C1195),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96" spans="1:8" x14ac:dyDescent="0.25">
      <c r="A1196">
        <v>2023</v>
      </c>
      <c r="B1196" t="s">
        <v>10</v>
      </c>
      <c r="C1196" t="s">
        <v>5</v>
      </c>
      <c r="E1196">
        <v>355000</v>
      </c>
      <c r="F1196" t="s">
        <v>78</v>
      </c>
      <c r="G1196" t="str" cm="1">
        <f t="array" ref="G1196">_xlfn.LET(
    _xlpm.r, TRIM(B1196),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96" t="str" cm="1">
        <f t="array" ref="H1196">_xlfn.LET(
     _xlpm.r, TRIM(C1196),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97" spans="1:8" x14ac:dyDescent="0.25">
      <c r="A1197">
        <v>2023</v>
      </c>
      <c r="B1197" t="s">
        <v>10</v>
      </c>
      <c r="C1197" t="s">
        <v>5</v>
      </c>
      <c r="E1197">
        <v>2380052</v>
      </c>
      <c r="F1197" t="s">
        <v>78</v>
      </c>
      <c r="G1197" t="str" cm="1">
        <f t="array" ref="G1197">_xlfn.LET(
    _xlpm.r, TRIM(B1197),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97" t="str" cm="1">
        <f t="array" ref="H1197">_xlfn.LET(
     _xlpm.r, TRIM(C1197),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98" spans="1:8" x14ac:dyDescent="0.25">
      <c r="A1198">
        <v>2023</v>
      </c>
      <c r="B1198" t="s">
        <v>10</v>
      </c>
      <c r="C1198" t="s">
        <v>5</v>
      </c>
      <c r="E1198">
        <v>270000</v>
      </c>
      <c r="F1198" t="s">
        <v>78</v>
      </c>
      <c r="G1198" t="str" cm="1">
        <f t="array" ref="G1198">_xlfn.LET(
    _xlpm.r, TRIM(B1198),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98" t="str" cm="1">
        <f t="array" ref="H1198">_xlfn.LET(
     _xlpm.r, TRIM(C1198),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199" spans="1:8" x14ac:dyDescent="0.25">
      <c r="A1199">
        <v>2023</v>
      </c>
      <c r="B1199" t="s">
        <v>10</v>
      </c>
      <c r="C1199" t="s">
        <v>5</v>
      </c>
      <c r="E1199">
        <v>1150000</v>
      </c>
      <c r="F1199" t="s">
        <v>78</v>
      </c>
      <c r="G1199" t="str" cm="1">
        <f t="array" ref="G1199">_xlfn.LET(
    _xlpm.r, TRIM(B1199),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199" t="str" cm="1">
        <f t="array" ref="H1199">_xlfn.LET(
     _xlpm.r, TRIM(C1199),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00" spans="1:8" x14ac:dyDescent="0.25">
      <c r="A1200">
        <v>2023</v>
      </c>
      <c r="B1200" t="s">
        <v>10</v>
      </c>
      <c r="C1200" t="s">
        <v>5</v>
      </c>
      <c r="E1200">
        <v>4426236</v>
      </c>
      <c r="F1200" t="s">
        <v>78</v>
      </c>
      <c r="G1200" t="str" cm="1">
        <f t="array" ref="G1200">_xlfn.LET(
    _xlpm.r, TRIM(B1200),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00" t="str" cm="1">
        <f t="array" ref="H1200">_xlfn.LET(
     _xlpm.r, TRIM(C1200),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01" spans="1:8" x14ac:dyDescent="0.25">
      <c r="A1201">
        <v>2023</v>
      </c>
      <c r="B1201" t="s">
        <v>10</v>
      </c>
      <c r="C1201" t="s">
        <v>5</v>
      </c>
      <c r="E1201">
        <v>430000</v>
      </c>
      <c r="F1201" t="s">
        <v>78</v>
      </c>
      <c r="G1201" t="str" cm="1">
        <f t="array" ref="G1201">_xlfn.LET(
    _xlpm.r, TRIM(B1201),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01" t="str" cm="1">
        <f t="array" ref="H1201">_xlfn.LET(
     _xlpm.r, TRIM(C1201),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02" spans="1:8" x14ac:dyDescent="0.25">
      <c r="A1202">
        <v>2023</v>
      </c>
      <c r="B1202" t="s">
        <v>10</v>
      </c>
      <c r="C1202" t="s">
        <v>5</v>
      </c>
      <c r="E1202">
        <v>100000</v>
      </c>
      <c r="F1202" t="s">
        <v>78</v>
      </c>
      <c r="G1202" t="str" cm="1">
        <f t="array" ref="G1202">_xlfn.LET(
    _xlpm.r, TRIM(B1202),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02" t="str" cm="1">
        <f t="array" ref="H1202">_xlfn.LET(
     _xlpm.r, TRIM(C1202),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03" spans="1:8" x14ac:dyDescent="0.25">
      <c r="A1203">
        <v>2023</v>
      </c>
      <c r="B1203" t="s">
        <v>10</v>
      </c>
      <c r="C1203" t="s">
        <v>5</v>
      </c>
      <c r="E1203">
        <v>266000</v>
      </c>
      <c r="F1203" t="s">
        <v>78</v>
      </c>
      <c r="G1203" t="str" cm="1">
        <f t="array" ref="G1203">_xlfn.LET(
    _xlpm.r, TRIM(B1203),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03" t="str" cm="1">
        <f t="array" ref="H1203">_xlfn.LET(
     _xlpm.r, TRIM(C1203),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04" spans="1:8" x14ac:dyDescent="0.25">
      <c r="A1204">
        <v>2023</v>
      </c>
      <c r="B1204" t="s">
        <v>10</v>
      </c>
      <c r="C1204" t="s">
        <v>5</v>
      </c>
      <c r="E1204">
        <v>450000</v>
      </c>
      <c r="F1204" t="s">
        <v>78</v>
      </c>
      <c r="G1204" t="str" cm="1">
        <f t="array" ref="G1204">_xlfn.LET(
    _xlpm.r, TRIM(B1204),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04" t="str" cm="1">
        <f t="array" ref="H1204">_xlfn.LET(
     _xlpm.r, TRIM(C1204),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05" spans="1:8" x14ac:dyDescent="0.25">
      <c r="A1205">
        <v>2023</v>
      </c>
      <c r="B1205" t="s">
        <v>10</v>
      </c>
      <c r="C1205" t="s">
        <v>5</v>
      </c>
      <c r="E1205">
        <v>415000</v>
      </c>
      <c r="F1205" t="s">
        <v>78</v>
      </c>
      <c r="G1205" t="str" cm="1">
        <f t="array" ref="G1205">_xlfn.LET(
    _xlpm.r, TRIM(B1205),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05" t="str" cm="1">
        <f t="array" ref="H1205">_xlfn.LET(
     _xlpm.r, TRIM(C1205),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06" spans="1:8" x14ac:dyDescent="0.25">
      <c r="A1206">
        <v>2023</v>
      </c>
      <c r="B1206" t="s">
        <v>10</v>
      </c>
      <c r="C1206" t="s">
        <v>5</v>
      </c>
      <c r="E1206">
        <v>250000</v>
      </c>
      <c r="F1206" t="s">
        <v>78</v>
      </c>
      <c r="G1206" t="str" cm="1">
        <f t="array" ref="G1206">_xlfn.LET(
    _xlpm.r, TRIM(B1206),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06" t="str" cm="1">
        <f t="array" ref="H1206">_xlfn.LET(
     _xlpm.r, TRIM(C1206),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07" spans="1:8" x14ac:dyDescent="0.25">
      <c r="A1207">
        <v>2023</v>
      </c>
      <c r="B1207" t="s">
        <v>10</v>
      </c>
      <c r="C1207" t="s">
        <v>5</v>
      </c>
      <c r="E1207">
        <v>488696</v>
      </c>
      <c r="F1207" t="s">
        <v>78</v>
      </c>
      <c r="G1207" t="str" cm="1">
        <f t="array" ref="G1207">_xlfn.LET(
    _xlpm.r, TRIM(B1207),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07" t="str" cm="1">
        <f t="array" ref="H1207">_xlfn.LET(
     _xlpm.r, TRIM(C1207),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08" spans="1:8" x14ac:dyDescent="0.25">
      <c r="A1208">
        <v>2023</v>
      </c>
      <c r="B1208" t="s">
        <v>10</v>
      </c>
      <c r="C1208" t="s">
        <v>5</v>
      </c>
      <c r="E1208">
        <v>373696</v>
      </c>
      <c r="F1208" t="s">
        <v>78</v>
      </c>
      <c r="G1208" t="str" cm="1">
        <f t="array" ref="G1208">_xlfn.LET(
    _xlpm.r, TRIM(B1208),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08" t="str" cm="1">
        <f t="array" ref="H1208">_xlfn.LET(
     _xlpm.r, TRIM(C1208),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09" spans="1:8" x14ac:dyDescent="0.25">
      <c r="A1209">
        <v>2023</v>
      </c>
      <c r="B1209" t="s">
        <v>10</v>
      </c>
      <c r="C1209" t="s">
        <v>5</v>
      </c>
      <c r="E1209">
        <v>1246696</v>
      </c>
      <c r="F1209" t="s">
        <v>78</v>
      </c>
      <c r="G1209" t="str" cm="1">
        <f t="array" ref="G1209">_xlfn.LET(
    _xlpm.r, TRIM(B1209),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09" t="str" cm="1">
        <f t="array" ref="H1209">_xlfn.LET(
     _xlpm.r, TRIM(C1209),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10" spans="1:8" x14ac:dyDescent="0.25">
      <c r="A1210">
        <v>2023</v>
      </c>
      <c r="B1210" t="s">
        <v>10</v>
      </c>
      <c r="C1210" t="s">
        <v>5</v>
      </c>
      <c r="E1210">
        <v>311696</v>
      </c>
      <c r="F1210" t="s">
        <v>78</v>
      </c>
      <c r="G1210" t="str" cm="1">
        <f t="array" ref="G1210">_xlfn.LET(
    _xlpm.r, TRIM(B1210),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10" t="str" cm="1">
        <f t="array" ref="H1210">_xlfn.LET(
     _xlpm.r, TRIM(C1210),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11" spans="1:8" x14ac:dyDescent="0.25">
      <c r="A1211">
        <v>2023</v>
      </c>
      <c r="B1211" t="s">
        <v>10</v>
      </c>
      <c r="C1211" t="s">
        <v>5</v>
      </c>
      <c r="E1211">
        <v>753696</v>
      </c>
      <c r="F1211" t="s">
        <v>78</v>
      </c>
      <c r="G1211" t="str" cm="1">
        <f t="array" ref="G1211">_xlfn.LET(
    _xlpm.r, TRIM(B1211),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11" t="str" cm="1">
        <f t="array" ref="H1211">_xlfn.LET(
     _xlpm.r, TRIM(C1211),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12" spans="1:8" x14ac:dyDescent="0.25">
      <c r="A1212">
        <v>2023</v>
      </c>
      <c r="B1212" t="s">
        <v>10</v>
      </c>
      <c r="C1212" t="s">
        <v>5</v>
      </c>
      <c r="E1212">
        <v>676696</v>
      </c>
      <c r="F1212" t="s">
        <v>78</v>
      </c>
      <c r="G1212" t="str" cm="1">
        <f t="array" ref="G1212">_xlfn.LET(
    _xlpm.r, TRIM(B1212),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12" t="str" cm="1">
        <f t="array" ref="H1212">_xlfn.LET(
     _xlpm.r, TRIM(C1212),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13" spans="1:8" x14ac:dyDescent="0.25">
      <c r="A1213">
        <v>2023</v>
      </c>
      <c r="B1213" t="s">
        <v>10</v>
      </c>
      <c r="C1213" t="s">
        <v>5</v>
      </c>
      <c r="E1213">
        <v>908696</v>
      </c>
      <c r="F1213" t="s">
        <v>78</v>
      </c>
      <c r="G1213" t="str" cm="1">
        <f t="array" ref="G1213">_xlfn.LET(
    _xlpm.r, TRIM(B1213),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13" t="str" cm="1">
        <f t="array" ref="H1213">_xlfn.LET(
     _xlpm.r, TRIM(C1213),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14" spans="1:8" x14ac:dyDescent="0.25">
      <c r="A1214">
        <v>2023</v>
      </c>
      <c r="B1214" t="s">
        <v>10</v>
      </c>
      <c r="C1214" t="s">
        <v>5</v>
      </c>
      <c r="E1214">
        <v>693697</v>
      </c>
      <c r="F1214" t="s">
        <v>78</v>
      </c>
      <c r="G1214" t="str" cm="1">
        <f t="array" ref="G1214">_xlfn.LET(
    _xlpm.r, TRIM(B1214),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14" t="str" cm="1">
        <f t="array" ref="H1214">_xlfn.LET(
     _xlpm.r, TRIM(C1214),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15" spans="1:8" x14ac:dyDescent="0.25">
      <c r="A1215">
        <v>2023</v>
      </c>
      <c r="B1215" t="s">
        <v>10</v>
      </c>
      <c r="C1215" t="s">
        <v>5</v>
      </c>
      <c r="E1215">
        <v>778697</v>
      </c>
      <c r="F1215" t="s">
        <v>78</v>
      </c>
      <c r="G1215" t="str" cm="1">
        <f t="array" ref="G1215">_xlfn.LET(
    _xlpm.r, TRIM(B1215),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15" t="str" cm="1">
        <f t="array" ref="H1215">_xlfn.LET(
     _xlpm.r, TRIM(C1215),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16" spans="1:8" x14ac:dyDescent="0.25">
      <c r="A1216">
        <v>2023</v>
      </c>
      <c r="B1216" t="s">
        <v>10</v>
      </c>
      <c r="C1216" t="s">
        <v>5</v>
      </c>
      <c r="E1216">
        <v>843697</v>
      </c>
      <c r="F1216" t="s">
        <v>78</v>
      </c>
      <c r="G1216" t="str" cm="1">
        <f t="array" ref="G1216">_xlfn.LET(
    _xlpm.r, TRIM(B1216),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16" t="str" cm="1">
        <f t="array" ref="H1216">_xlfn.LET(
     _xlpm.r, TRIM(C1216),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17" spans="1:8" x14ac:dyDescent="0.25">
      <c r="A1217">
        <v>2023</v>
      </c>
      <c r="B1217" t="s">
        <v>10</v>
      </c>
      <c r="C1217" t="s">
        <v>5</v>
      </c>
      <c r="E1217">
        <v>678697</v>
      </c>
      <c r="F1217" t="s">
        <v>78</v>
      </c>
      <c r="G1217" t="str" cm="1">
        <f t="array" ref="G1217">_xlfn.LET(
    _xlpm.r, TRIM(B1217),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17" t="str" cm="1">
        <f t="array" ref="H1217">_xlfn.LET(
     _xlpm.r, TRIM(C1217),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18" spans="1:8" x14ac:dyDescent="0.25">
      <c r="A1218">
        <v>2023</v>
      </c>
      <c r="B1218" t="s">
        <v>10</v>
      </c>
      <c r="C1218" t="s">
        <v>5</v>
      </c>
      <c r="E1218">
        <v>463697</v>
      </c>
      <c r="F1218" t="s">
        <v>78</v>
      </c>
      <c r="G1218" t="str" cm="1">
        <f t="array" ref="G1218">_xlfn.LET(
    _xlpm.r, TRIM(B1218),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18" t="str" cm="1">
        <f t="array" ref="H1218">_xlfn.LET(
     _xlpm.r, TRIM(C1218),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19" spans="1:8" x14ac:dyDescent="0.25">
      <c r="A1219">
        <v>2023</v>
      </c>
      <c r="B1219" t="s">
        <v>10</v>
      </c>
      <c r="C1219" t="s">
        <v>5</v>
      </c>
      <c r="E1219">
        <v>821697</v>
      </c>
      <c r="F1219" t="s">
        <v>78</v>
      </c>
      <c r="G1219" t="str" cm="1">
        <f t="array" ref="G1219">_xlfn.LET(
    _xlpm.r, TRIM(B1219),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19" t="str" cm="1">
        <f t="array" ref="H1219">_xlfn.LET(
     _xlpm.r, TRIM(C1219),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220" spans="1:8" x14ac:dyDescent="0.25">
      <c r="A1220">
        <v>2023</v>
      </c>
      <c r="B1220" t="s">
        <v>10</v>
      </c>
      <c r="C1220" t="s">
        <v>6</v>
      </c>
      <c r="E1220">
        <v>485458099</v>
      </c>
      <c r="F1220" t="s">
        <v>78</v>
      </c>
      <c r="G1220" t="str" cm="1">
        <f t="array" ref="G1220">_xlfn.LET(
    _xlpm.r, TRIM(B1220),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20" t="str" cm="1">
        <f t="array" ref="H1220">_xlfn.LET(
     _xlpm.r, TRIM(C1220),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21" spans="1:8" x14ac:dyDescent="0.25">
      <c r="A1221">
        <v>2023</v>
      </c>
      <c r="B1221" t="s">
        <v>10</v>
      </c>
      <c r="C1221" t="s">
        <v>6</v>
      </c>
      <c r="E1221">
        <v>1885000</v>
      </c>
      <c r="F1221" t="s">
        <v>78</v>
      </c>
      <c r="G1221" t="str" cm="1">
        <f t="array" ref="G1221">_xlfn.LET(
    _xlpm.r, TRIM(B1221),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21" t="str" cm="1">
        <f t="array" ref="H1221">_xlfn.LET(
     _xlpm.r, TRIM(C1221),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22" spans="1:8" x14ac:dyDescent="0.25">
      <c r="A1222">
        <v>2023</v>
      </c>
      <c r="B1222" t="s">
        <v>10</v>
      </c>
      <c r="C1222" t="s">
        <v>6</v>
      </c>
      <c r="E1222">
        <v>3176000</v>
      </c>
      <c r="F1222" t="s">
        <v>78</v>
      </c>
      <c r="G1222" t="str" cm="1">
        <f t="array" ref="G1222">_xlfn.LET(
    _xlpm.r, TRIM(B1222),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22" t="str" cm="1">
        <f t="array" ref="H1222">_xlfn.LET(
     _xlpm.r, TRIM(C1222),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23" spans="1:8" x14ac:dyDescent="0.25">
      <c r="A1223">
        <v>2023</v>
      </c>
      <c r="B1223" t="s">
        <v>10</v>
      </c>
      <c r="C1223" t="s">
        <v>6</v>
      </c>
      <c r="E1223">
        <v>1987800</v>
      </c>
      <c r="F1223" t="s">
        <v>78</v>
      </c>
      <c r="G1223" t="str" cm="1">
        <f t="array" ref="G1223">_xlfn.LET(
    _xlpm.r, TRIM(B1223),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23" t="str" cm="1">
        <f t="array" ref="H1223">_xlfn.LET(
     _xlpm.r, TRIM(C1223),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24" spans="1:8" x14ac:dyDescent="0.25">
      <c r="A1224">
        <v>2023</v>
      </c>
      <c r="B1224" t="s">
        <v>10</v>
      </c>
      <c r="C1224" t="s">
        <v>6</v>
      </c>
      <c r="E1224">
        <v>3105000</v>
      </c>
      <c r="F1224" t="s">
        <v>78</v>
      </c>
      <c r="G1224" t="str" cm="1">
        <f t="array" ref="G1224">_xlfn.LET(
    _xlpm.r, TRIM(B1224),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24" t="str" cm="1">
        <f t="array" ref="H1224">_xlfn.LET(
     _xlpm.r, TRIM(C1224),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25" spans="1:8" x14ac:dyDescent="0.25">
      <c r="A1225">
        <v>2023</v>
      </c>
      <c r="B1225" t="s">
        <v>10</v>
      </c>
      <c r="C1225" t="s">
        <v>6</v>
      </c>
      <c r="E1225">
        <v>3006200</v>
      </c>
      <c r="F1225" t="s">
        <v>78</v>
      </c>
      <c r="G1225" t="str" cm="1">
        <f t="array" ref="G1225">_xlfn.LET(
    _xlpm.r, TRIM(B1225),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25" t="str" cm="1">
        <f t="array" ref="H1225">_xlfn.LET(
     _xlpm.r, TRIM(C1225),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26" spans="1:8" x14ac:dyDescent="0.25">
      <c r="A1226">
        <v>2023</v>
      </c>
      <c r="B1226" t="s">
        <v>10</v>
      </c>
      <c r="C1226" t="s">
        <v>6</v>
      </c>
      <c r="E1226">
        <v>2403400</v>
      </c>
      <c r="F1226" t="s">
        <v>78</v>
      </c>
      <c r="G1226" t="str" cm="1">
        <f t="array" ref="G1226">_xlfn.LET(
    _xlpm.r, TRIM(B1226),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26" t="str" cm="1">
        <f t="array" ref="H1226">_xlfn.LET(
     _xlpm.r, TRIM(C1226),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27" spans="1:8" x14ac:dyDescent="0.25">
      <c r="A1227">
        <v>2023</v>
      </c>
      <c r="B1227" t="s">
        <v>10</v>
      </c>
      <c r="C1227" t="s">
        <v>6</v>
      </c>
      <c r="E1227">
        <v>512000</v>
      </c>
      <c r="F1227" t="s">
        <v>78</v>
      </c>
      <c r="G1227" t="str" cm="1">
        <f t="array" ref="G1227">_xlfn.LET(
    _xlpm.r, TRIM(B1227),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27" t="str" cm="1">
        <f t="array" ref="H1227">_xlfn.LET(
     _xlpm.r, TRIM(C1227),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28" spans="1:8" x14ac:dyDescent="0.25">
      <c r="A1228">
        <v>2023</v>
      </c>
      <c r="B1228" t="s">
        <v>10</v>
      </c>
      <c r="C1228" t="s">
        <v>6</v>
      </c>
      <c r="E1228">
        <v>1722000</v>
      </c>
      <c r="F1228" t="s">
        <v>78</v>
      </c>
      <c r="G1228" t="str" cm="1">
        <f t="array" ref="G1228">_xlfn.LET(
    _xlpm.r, TRIM(B1228),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28" t="str" cm="1">
        <f t="array" ref="H1228">_xlfn.LET(
     _xlpm.r, TRIM(C1228),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29" spans="1:8" x14ac:dyDescent="0.25">
      <c r="A1229">
        <v>2023</v>
      </c>
      <c r="B1229" t="s">
        <v>10</v>
      </c>
      <c r="C1229" t="s">
        <v>6</v>
      </c>
      <c r="E1229">
        <v>815000</v>
      </c>
      <c r="F1229" t="s">
        <v>78</v>
      </c>
      <c r="G1229" t="str" cm="1">
        <f t="array" ref="G1229">_xlfn.LET(
    _xlpm.r, TRIM(B1229),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29" t="str" cm="1">
        <f t="array" ref="H1229">_xlfn.LET(
     _xlpm.r, TRIM(C1229),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30" spans="1:8" x14ac:dyDescent="0.25">
      <c r="A1230">
        <v>2023</v>
      </c>
      <c r="B1230" t="s">
        <v>10</v>
      </c>
      <c r="C1230" t="s">
        <v>6</v>
      </c>
      <c r="E1230">
        <v>1014301</v>
      </c>
      <c r="F1230" t="s">
        <v>78</v>
      </c>
      <c r="G1230" t="str" cm="1">
        <f t="array" ref="G1230">_xlfn.LET(
    _xlpm.r, TRIM(B1230),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30" t="str" cm="1">
        <f t="array" ref="H1230">_xlfn.LET(
     _xlpm.r, TRIM(C1230),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31" spans="1:8" x14ac:dyDescent="0.25">
      <c r="A1231">
        <v>2023</v>
      </c>
      <c r="B1231" t="s">
        <v>10</v>
      </c>
      <c r="C1231" t="s">
        <v>6</v>
      </c>
      <c r="E1231">
        <v>551000</v>
      </c>
      <c r="F1231" t="s">
        <v>78</v>
      </c>
      <c r="G1231" t="str" cm="1">
        <f t="array" ref="G1231">_xlfn.LET(
    _xlpm.r, TRIM(B1231),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31" t="str" cm="1">
        <f t="array" ref="H1231">_xlfn.LET(
     _xlpm.r, TRIM(C1231),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32" spans="1:8" x14ac:dyDescent="0.25">
      <c r="A1232">
        <v>2023</v>
      </c>
      <c r="B1232" t="s">
        <v>10</v>
      </c>
      <c r="C1232" t="s">
        <v>6</v>
      </c>
      <c r="E1232">
        <v>4806000</v>
      </c>
      <c r="F1232" t="s">
        <v>78</v>
      </c>
      <c r="G1232" t="str" cm="1">
        <f t="array" ref="G1232">_xlfn.LET(
    _xlpm.r, TRIM(B1232),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32" t="str" cm="1">
        <f t="array" ref="H1232">_xlfn.LET(
     _xlpm.r, TRIM(C1232),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33" spans="1:8" x14ac:dyDescent="0.25">
      <c r="A1233">
        <v>2023</v>
      </c>
      <c r="B1233" t="s">
        <v>10</v>
      </c>
      <c r="C1233" t="s">
        <v>6</v>
      </c>
      <c r="E1233">
        <v>996000</v>
      </c>
      <c r="F1233" t="s">
        <v>78</v>
      </c>
      <c r="G1233" t="str" cm="1">
        <f t="array" ref="G1233">_xlfn.LET(
    _xlpm.r, TRIM(B1233),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33" t="str" cm="1">
        <f t="array" ref="H1233">_xlfn.LET(
     _xlpm.r, TRIM(C1233),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34" spans="1:8" x14ac:dyDescent="0.25">
      <c r="A1234">
        <v>2023</v>
      </c>
      <c r="B1234" t="s">
        <v>10</v>
      </c>
      <c r="C1234" t="s">
        <v>6</v>
      </c>
      <c r="E1234">
        <v>2425700</v>
      </c>
      <c r="F1234" t="s">
        <v>78</v>
      </c>
      <c r="G1234" t="str" cm="1">
        <f t="array" ref="G1234">_xlfn.LET(
    _xlpm.r, TRIM(B1234),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34" t="str" cm="1">
        <f t="array" ref="H1234">_xlfn.LET(
     _xlpm.r, TRIM(C1234),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35" spans="1:8" x14ac:dyDescent="0.25">
      <c r="A1235">
        <v>2023</v>
      </c>
      <c r="B1235" t="s">
        <v>10</v>
      </c>
      <c r="C1235" t="s">
        <v>6</v>
      </c>
      <c r="E1235">
        <v>1519000</v>
      </c>
      <c r="F1235" t="s">
        <v>78</v>
      </c>
      <c r="G1235" t="str" cm="1">
        <f t="array" ref="G1235">_xlfn.LET(
    _xlpm.r, TRIM(B1235),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35" t="str" cm="1">
        <f t="array" ref="H1235">_xlfn.LET(
     _xlpm.r, TRIM(C1235),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36" spans="1:8" x14ac:dyDescent="0.25">
      <c r="A1236">
        <v>2023</v>
      </c>
      <c r="B1236" t="s">
        <v>10</v>
      </c>
      <c r="C1236" t="s">
        <v>6</v>
      </c>
      <c r="E1236">
        <v>1952000</v>
      </c>
      <c r="F1236" t="s">
        <v>78</v>
      </c>
      <c r="G1236" t="str" cm="1">
        <f t="array" ref="G1236">_xlfn.LET(
    _xlpm.r, TRIM(B1236),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36" t="str" cm="1">
        <f t="array" ref="H1236">_xlfn.LET(
     _xlpm.r, TRIM(C1236),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37" spans="1:8" x14ac:dyDescent="0.25">
      <c r="A1237">
        <v>2023</v>
      </c>
      <c r="B1237" t="s">
        <v>10</v>
      </c>
      <c r="C1237" t="s">
        <v>6</v>
      </c>
      <c r="E1237">
        <v>1199500</v>
      </c>
      <c r="F1237" t="s">
        <v>78</v>
      </c>
      <c r="G1237" t="str" cm="1">
        <f t="array" ref="G1237">_xlfn.LET(
    _xlpm.r, TRIM(B1237),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37" t="str" cm="1">
        <f t="array" ref="H1237">_xlfn.LET(
     _xlpm.r, TRIM(C1237),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38" spans="1:8" x14ac:dyDescent="0.25">
      <c r="A1238">
        <v>2023</v>
      </c>
      <c r="B1238" t="s">
        <v>10</v>
      </c>
      <c r="C1238" t="s">
        <v>6</v>
      </c>
      <c r="E1238">
        <v>1328500</v>
      </c>
      <c r="F1238" t="s">
        <v>78</v>
      </c>
      <c r="G1238" t="str" cm="1">
        <f t="array" ref="G1238">_xlfn.LET(
    _xlpm.r, TRIM(B1238),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38" t="str" cm="1">
        <f t="array" ref="H1238">_xlfn.LET(
     _xlpm.r, TRIM(C1238),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39" spans="1:8" x14ac:dyDescent="0.25">
      <c r="A1239">
        <v>2023</v>
      </c>
      <c r="B1239" t="s">
        <v>10</v>
      </c>
      <c r="C1239" t="s">
        <v>6</v>
      </c>
      <c r="E1239">
        <v>4066300</v>
      </c>
      <c r="F1239" t="s">
        <v>78</v>
      </c>
      <c r="G1239" t="str" cm="1">
        <f t="array" ref="G1239">_xlfn.LET(
    _xlpm.r, TRIM(B1239),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39" t="str" cm="1">
        <f t="array" ref="H1239">_xlfn.LET(
     _xlpm.r, TRIM(C1239),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40" spans="1:8" x14ac:dyDescent="0.25">
      <c r="A1240">
        <v>2023</v>
      </c>
      <c r="B1240" t="s">
        <v>10</v>
      </c>
      <c r="C1240" t="s">
        <v>6</v>
      </c>
      <c r="E1240">
        <v>1161302</v>
      </c>
      <c r="F1240" t="s">
        <v>78</v>
      </c>
      <c r="G1240" t="str" cm="1">
        <f t="array" ref="G1240">_xlfn.LET(
    _xlpm.r, TRIM(B1240),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40" t="str" cm="1">
        <f t="array" ref="H1240">_xlfn.LET(
     _xlpm.r, TRIM(C1240),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41" spans="1:8" x14ac:dyDescent="0.25">
      <c r="A1241">
        <v>2023</v>
      </c>
      <c r="B1241" t="s">
        <v>10</v>
      </c>
      <c r="C1241" t="s">
        <v>6</v>
      </c>
      <c r="E1241">
        <v>930000</v>
      </c>
      <c r="F1241" t="s">
        <v>78</v>
      </c>
      <c r="G1241" t="str" cm="1">
        <f t="array" ref="G1241">_xlfn.LET(
    _xlpm.r, TRIM(B1241),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41" t="str" cm="1">
        <f t="array" ref="H1241">_xlfn.LET(
     _xlpm.r, TRIM(C1241),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42" spans="1:8" x14ac:dyDescent="0.25">
      <c r="A1242">
        <v>2023</v>
      </c>
      <c r="B1242" t="s">
        <v>10</v>
      </c>
      <c r="C1242" t="s">
        <v>6</v>
      </c>
      <c r="E1242">
        <v>1354000</v>
      </c>
      <c r="F1242" t="s">
        <v>78</v>
      </c>
      <c r="G1242" t="str" cm="1">
        <f t="array" ref="G1242">_xlfn.LET(
    _xlpm.r, TRIM(B1242),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42" t="str" cm="1">
        <f t="array" ref="H1242">_xlfn.LET(
     _xlpm.r, TRIM(C1242),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43" spans="1:8" x14ac:dyDescent="0.25">
      <c r="A1243">
        <v>2023</v>
      </c>
      <c r="B1243" t="s">
        <v>10</v>
      </c>
      <c r="C1243" t="s">
        <v>6</v>
      </c>
      <c r="E1243">
        <v>884000</v>
      </c>
      <c r="F1243" t="s">
        <v>78</v>
      </c>
      <c r="G1243" t="str" cm="1">
        <f t="array" ref="G1243">_xlfn.LET(
    _xlpm.r, TRIM(B1243),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43" t="str" cm="1">
        <f t="array" ref="H1243">_xlfn.LET(
     _xlpm.r, TRIM(C1243),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44" spans="1:8" x14ac:dyDescent="0.25">
      <c r="A1244">
        <v>2023</v>
      </c>
      <c r="B1244" t="s">
        <v>10</v>
      </c>
      <c r="C1244" t="s">
        <v>6</v>
      </c>
      <c r="E1244">
        <v>3014600</v>
      </c>
      <c r="F1244" t="s">
        <v>78</v>
      </c>
      <c r="G1244" t="str" cm="1">
        <f t="array" ref="G1244">_xlfn.LET(
    _xlpm.r, TRIM(B1244),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44" t="str" cm="1">
        <f t="array" ref="H1244">_xlfn.LET(
     _xlpm.r, TRIM(C1244),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45" spans="1:8" x14ac:dyDescent="0.25">
      <c r="A1245">
        <v>2023</v>
      </c>
      <c r="B1245" t="s">
        <v>10</v>
      </c>
      <c r="C1245" t="s">
        <v>6</v>
      </c>
      <c r="E1245">
        <v>871000</v>
      </c>
      <c r="F1245" t="s">
        <v>78</v>
      </c>
      <c r="G1245" t="str" cm="1">
        <f t="array" ref="G1245">_xlfn.LET(
    _xlpm.r, TRIM(B1245),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45" t="str" cm="1">
        <f t="array" ref="H1245">_xlfn.LET(
     _xlpm.r, TRIM(C1245),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46" spans="1:8" x14ac:dyDescent="0.25">
      <c r="A1246">
        <v>2023</v>
      </c>
      <c r="B1246" t="s">
        <v>10</v>
      </c>
      <c r="C1246" t="s">
        <v>6</v>
      </c>
      <c r="E1246">
        <v>2987000</v>
      </c>
      <c r="F1246" t="s">
        <v>78</v>
      </c>
      <c r="G1246" t="str" cm="1">
        <f t="array" ref="G1246">_xlfn.LET(
    _xlpm.r, TRIM(B1246),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46" t="str" cm="1">
        <f t="array" ref="H1246">_xlfn.LET(
     _xlpm.r, TRIM(C1246),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47" spans="1:8" x14ac:dyDescent="0.25">
      <c r="A1247">
        <v>2023</v>
      </c>
      <c r="B1247" t="s">
        <v>10</v>
      </c>
      <c r="C1247" t="s">
        <v>6</v>
      </c>
      <c r="E1247">
        <v>3507265</v>
      </c>
      <c r="F1247" t="s">
        <v>78</v>
      </c>
      <c r="G1247" t="str" cm="1">
        <f t="array" ref="G1247">_xlfn.LET(
    _xlpm.r, TRIM(B1247),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47" t="str" cm="1">
        <f t="array" ref="H1247">_xlfn.LET(
     _xlpm.r, TRIM(C1247),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48" spans="1:8" x14ac:dyDescent="0.25">
      <c r="A1248">
        <v>2023</v>
      </c>
      <c r="B1248" t="s">
        <v>10</v>
      </c>
      <c r="C1248" t="s">
        <v>6</v>
      </c>
      <c r="E1248">
        <v>1127000</v>
      </c>
      <c r="F1248" t="s">
        <v>78</v>
      </c>
      <c r="G1248" t="str" cm="1">
        <f t="array" ref="G1248">_xlfn.LET(
    _xlpm.r, TRIM(B1248),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48" t="str" cm="1">
        <f t="array" ref="H1248">_xlfn.LET(
     _xlpm.r, TRIM(C1248),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49" spans="1:8" x14ac:dyDescent="0.25">
      <c r="A1249">
        <v>2023</v>
      </c>
      <c r="B1249" t="s">
        <v>10</v>
      </c>
      <c r="C1249" t="s">
        <v>6</v>
      </c>
      <c r="E1249">
        <v>3138500</v>
      </c>
      <c r="F1249" t="s">
        <v>78</v>
      </c>
      <c r="G1249" t="str" cm="1">
        <f t="array" ref="G1249">_xlfn.LET(
    _xlpm.r, TRIM(B1249),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49" t="str" cm="1">
        <f t="array" ref="H1249">_xlfn.LET(
     _xlpm.r, TRIM(C1249),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50" spans="1:8" x14ac:dyDescent="0.25">
      <c r="A1250">
        <v>2023</v>
      </c>
      <c r="B1250" t="s">
        <v>10</v>
      </c>
      <c r="C1250" t="s">
        <v>6</v>
      </c>
      <c r="E1250">
        <v>617500</v>
      </c>
      <c r="F1250" t="s">
        <v>78</v>
      </c>
      <c r="G1250" t="str" cm="1">
        <f t="array" ref="G1250">_xlfn.LET(
    _xlpm.r, TRIM(B1250),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50" t="str" cm="1">
        <f t="array" ref="H1250">_xlfn.LET(
     _xlpm.r, TRIM(C1250),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51" spans="1:8" x14ac:dyDescent="0.25">
      <c r="A1251">
        <v>2023</v>
      </c>
      <c r="B1251" t="s">
        <v>10</v>
      </c>
      <c r="C1251" t="s">
        <v>6</v>
      </c>
      <c r="E1251">
        <v>1494000</v>
      </c>
      <c r="F1251" t="s">
        <v>78</v>
      </c>
      <c r="G1251" t="str" cm="1">
        <f t="array" ref="G1251">_xlfn.LET(
    _xlpm.r, TRIM(B1251),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51" t="str" cm="1">
        <f t="array" ref="H1251">_xlfn.LET(
     _xlpm.r, TRIM(C1251),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52" spans="1:8" x14ac:dyDescent="0.25">
      <c r="A1252">
        <v>2023</v>
      </c>
      <c r="B1252" t="s">
        <v>10</v>
      </c>
      <c r="C1252" t="s">
        <v>6</v>
      </c>
      <c r="E1252">
        <v>2161650</v>
      </c>
      <c r="F1252" t="s">
        <v>78</v>
      </c>
      <c r="G1252" t="str" cm="1">
        <f t="array" ref="G1252">_xlfn.LET(
    _xlpm.r, TRIM(B1252),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52" t="str" cm="1">
        <f t="array" ref="H1252">_xlfn.LET(
     _xlpm.r, TRIM(C1252),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53" spans="1:8" x14ac:dyDescent="0.25">
      <c r="A1253">
        <v>2023</v>
      </c>
      <c r="B1253" t="s">
        <v>10</v>
      </c>
      <c r="C1253" t="s">
        <v>6</v>
      </c>
      <c r="E1253">
        <v>1505000</v>
      </c>
      <c r="F1253" t="s">
        <v>78</v>
      </c>
      <c r="G1253" t="str" cm="1">
        <f t="array" ref="G1253">_xlfn.LET(
    _xlpm.r, TRIM(B1253),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53" t="str" cm="1">
        <f t="array" ref="H1253">_xlfn.LET(
     _xlpm.r, TRIM(C1253),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54" spans="1:8" x14ac:dyDescent="0.25">
      <c r="A1254">
        <v>2023</v>
      </c>
      <c r="B1254" t="s">
        <v>10</v>
      </c>
      <c r="C1254" t="s">
        <v>6</v>
      </c>
      <c r="E1254">
        <v>600000</v>
      </c>
      <c r="F1254" t="s">
        <v>78</v>
      </c>
      <c r="G1254" t="str" cm="1">
        <f t="array" ref="G1254">_xlfn.LET(
    _xlpm.r, TRIM(B1254),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54" t="str" cm="1">
        <f t="array" ref="H1254">_xlfn.LET(
     _xlpm.r, TRIM(C1254),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55" spans="1:8" x14ac:dyDescent="0.25">
      <c r="A1255">
        <v>2023</v>
      </c>
      <c r="B1255" t="s">
        <v>10</v>
      </c>
      <c r="C1255" t="s">
        <v>6</v>
      </c>
      <c r="E1255">
        <v>1160000</v>
      </c>
      <c r="F1255" t="s">
        <v>78</v>
      </c>
      <c r="G1255" t="str" cm="1">
        <f t="array" ref="G1255">_xlfn.LET(
    _xlpm.r, TRIM(B1255),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55" t="str" cm="1">
        <f t="array" ref="H1255">_xlfn.LET(
     _xlpm.r, TRIM(C1255),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56" spans="1:8" x14ac:dyDescent="0.25">
      <c r="A1256">
        <v>2023</v>
      </c>
      <c r="B1256" t="s">
        <v>10</v>
      </c>
      <c r="C1256" t="s">
        <v>6</v>
      </c>
      <c r="E1256">
        <v>737500</v>
      </c>
      <c r="F1256" t="s">
        <v>78</v>
      </c>
      <c r="G1256" t="str" cm="1">
        <f t="array" ref="G1256">_xlfn.LET(
    _xlpm.r, TRIM(B1256),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56" t="str" cm="1">
        <f t="array" ref="H1256">_xlfn.LET(
     _xlpm.r, TRIM(C1256),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57" spans="1:8" x14ac:dyDescent="0.25">
      <c r="A1257">
        <v>2023</v>
      </c>
      <c r="B1257" t="s">
        <v>10</v>
      </c>
      <c r="C1257" t="s">
        <v>6</v>
      </c>
      <c r="E1257">
        <v>1001200</v>
      </c>
      <c r="F1257" t="s">
        <v>78</v>
      </c>
      <c r="G1257" t="str" cm="1">
        <f t="array" ref="G1257">_xlfn.LET(
    _xlpm.r, TRIM(B1257),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57" t="str" cm="1">
        <f t="array" ref="H1257">_xlfn.LET(
     _xlpm.r, TRIM(C1257),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58" spans="1:8" x14ac:dyDescent="0.25">
      <c r="A1258">
        <v>2023</v>
      </c>
      <c r="B1258" t="s">
        <v>10</v>
      </c>
      <c r="C1258" t="s">
        <v>6</v>
      </c>
      <c r="E1258">
        <v>144000</v>
      </c>
      <c r="F1258" t="s">
        <v>78</v>
      </c>
      <c r="G1258" t="str" cm="1">
        <f t="array" ref="G1258">_xlfn.LET(
    _xlpm.r, TRIM(B1258),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58" t="str" cm="1">
        <f t="array" ref="H1258">_xlfn.LET(
     _xlpm.r, TRIM(C1258),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59" spans="1:8" x14ac:dyDescent="0.25">
      <c r="A1259">
        <v>2023</v>
      </c>
      <c r="B1259" t="s">
        <v>10</v>
      </c>
      <c r="C1259" t="s">
        <v>6</v>
      </c>
      <c r="E1259">
        <v>891000</v>
      </c>
      <c r="F1259" t="s">
        <v>78</v>
      </c>
      <c r="G1259" t="str" cm="1">
        <f t="array" ref="G1259">_xlfn.LET(
    _xlpm.r, TRIM(B1259),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59" t="str" cm="1">
        <f t="array" ref="H1259">_xlfn.LET(
     _xlpm.r, TRIM(C1259),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60" spans="1:8" x14ac:dyDescent="0.25">
      <c r="A1260">
        <v>2023</v>
      </c>
      <c r="B1260" t="s">
        <v>10</v>
      </c>
      <c r="C1260" t="s">
        <v>6</v>
      </c>
      <c r="E1260">
        <v>1508483</v>
      </c>
      <c r="F1260" t="s">
        <v>78</v>
      </c>
      <c r="G1260" t="str" cm="1">
        <f t="array" ref="G1260">_xlfn.LET(
    _xlpm.r, TRIM(B1260),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60" t="str" cm="1">
        <f t="array" ref="H1260">_xlfn.LET(
     _xlpm.r, TRIM(C1260),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61" spans="1:8" x14ac:dyDescent="0.25">
      <c r="A1261">
        <v>2023</v>
      </c>
      <c r="B1261" t="s">
        <v>10</v>
      </c>
      <c r="C1261" t="s">
        <v>6</v>
      </c>
      <c r="E1261">
        <v>1245000</v>
      </c>
      <c r="F1261" t="s">
        <v>78</v>
      </c>
      <c r="G1261" t="str" cm="1">
        <f t="array" ref="G1261">_xlfn.LET(
    _xlpm.r, TRIM(B1261),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61" t="str" cm="1">
        <f t="array" ref="H1261">_xlfn.LET(
     _xlpm.r, TRIM(C1261),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62" spans="1:8" x14ac:dyDescent="0.25">
      <c r="A1262">
        <v>2023</v>
      </c>
      <c r="B1262" t="s">
        <v>10</v>
      </c>
      <c r="C1262" t="s">
        <v>6</v>
      </c>
      <c r="E1262">
        <v>730000</v>
      </c>
      <c r="F1262" t="s">
        <v>78</v>
      </c>
      <c r="G1262" t="str" cm="1">
        <f t="array" ref="G1262">_xlfn.LET(
    _xlpm.r, TRIM(B1262),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62" t="str" cm="1">
        <f t="array" ref="H1262">_xlfn.LET(
     _xlpm.r, TRIM(C1262),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63" spans="1:8" x14ac:dyDescent="0.25">
      <c r="A1263">
        <v>2023</v>
      </c>
      <c r="B1263" t="s">
        <v>10</v>
      </c>
      <c r="C1263" t="s">
        <v>6</v>
      </c>
      <c r="E1263">
        <v>1449768</v>
      </c>
      <c r="F1263" t="s">
        <v>78</v>
      </c>
      <c r="G1263" t="str" cm="1">
        <f t="array" ref="G1263">_xlfn.LET(
    _xlpm.r, TRIM(B1263),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63" t="str" cm="1">
        <f t="array" ref="H1263">_xlfn.LET(
     _xlpm.r, TRIM(C1263),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64" spans="1:8" x14ac:dyDescent="0.25">
      <c r="A1264">
        <v>2023</v>
      </c>
      <c r="B1264" t="s">
        <v>10</v>
      </c>
      <c r="C1264" t="s">
        <v>6</v>
      </c>
      <c r="E1264">
        <v>965000</v>
      </c>
      <c r="F1264" t="s">
        <v>78</v>
      </c>
      <c r="G1264" t="str" cm="1">
        <f t="array" ref="G1264">_xlfn.LET(
    _xlpm.r, TRIM(B1264),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64" t="str" cm="1">
        <f t="array" ref="H1264">_xlfn.LET(
     _xlpm.r, TRIM(C1264),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65" spans="1:8" x14ac:dyDescent="0.25">
      <c r="A1265">
        <v>2023</v>
      </c>
      <c r="B1265" t="s">
        <v>10</v>
      </c>
      <c r="C1265" t="s">
        <v>6</v>
      </c>
      <c r="E1265">
        <v>2180000</v>
      </c>
      <c r="F1265" t="s">
        <v>78</v>
      </c>
      <c r="G1265" t="str" cm="1">
        <f t="array" ref="G1265">_xlfn.LET(
    _xlpm.r, TRIM(B1265),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65" t="str" cm="1">
        <f t="array" ref="H1265">_xlfn.LET(
     _xlpm.r, TRIM(C1265),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66" spans="1:8" x14ac:dyDescent="0.25">
      <c r="A1266">
        <v>2023</v>
      </c>
      <c r="B1266" t="s">
        <v>10</v>
      </c>
      <c r="C1266" t="s">
        <v>6</v>
      </c>
      <c r="E1266">
        <v>2000000</v>
      </c>
      <c r="F1266" t="s">
        <v>78</v>
      </c>
      <c r="G1266" t="str" cm="1">
        <f t="array" ref="G1266">_xlfn.LET(
    _xlpm.r, TRIM(B1266),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66" t="str" cm="1">
        <f t="array" ref="H1266">_xlfn.LET(
     _xlpm.r, TRIM(C1266),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67" spans="1:8" x14ac:dyDescent="0.25">
      <c r="A1267">
        <v>2023</v>
      </c>
      <c r="B1267" t="s">
        <v>10</v>
      </c>
      <c r="C1267" t="s">
        <v>6</v>
      </c>
      <c r="E1267">
        <v>5900000</v>
      </c>
      <c r="F1267" t="s">
        <v>78</v>
      </c>
      <c r="G1267" t="str" cm="1">
        <f t="array" ref="G1267">_xlfn.LET(
    _xlpm.r, TRIM(B1267),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67" t="str" cm="1">
        <f t="array" ref="H1267">_xlfn.LET(
     _xlpm.r, TRIM(C1267),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68" spans="1:8" x14ac:dyDescent="0.25">
      <c r="A1268">
        <v>2023</v>
      </c>
      <c r="B1268" t="s">
        <v>10</v>
      </c>
      <c r="C1268" t="s">
        <v>6</v>
      </c>
      <c r="E1268">
        <v>181010</v>
      </c>
      <c r="F1268" t="s">
        <v>78</v>
      </c>
      <c r="G1268" t="str" cm="1">
        <f t="array" ref="G1268">_xlfn.LET(
    _xlpm.r, TRIM(B1268),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68" t="str" cm="1">
        <f t="array" ref="H1268">_xlfn.LET(
     _xlpm.r, TRIM(C1268),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69" spans="1:8" x14ac:dyDescent="0.25">
      <c r="A1269">
        <v>2023</v>
      </c>
      <c r="B1269" t="s">
        <v>10</v>
      </c>
      <c r="C1269" t="s">
        <v>6</v>
      </c>
      <c r="E1269">
        <v>2330000</v>
      </c>
      <c r="F1269" t="s">
        <v>78</v>
      </c>
      <c r="G1269" t="str" cm="1">
        <f t="array" ref="G1269">_xlfn.LET(
    _xlpm.r, TRIM(B1269),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69" t="str" cm="1">
        <f t="array" ref="H1269">_xlfn.LET(
     _xlpm.r, TRIM(C1269),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70" spans="1:8" x14ac:dyDescent="0.25">
      <c r="A1270">
        <v>2023</v>
      </c>
      <c r="B1270" t="s">
        <v>10</v>
      </c>
      <c r="C1270" t="s">
        <v>6</v>
      </c>
      <c r="E1270">
        <v>882000</v>
      </c>
      <c r="F1270" t="s">
        <v>78</v>
      </c>
      <c r="G1270" t="str" cm="1">
        <f t="array" ref="G1270">_xlfn.LET(
    _xlpm.r, TRIM(B1270),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70" t="str" cm="1">
        <f t="array" ref="H1270">_xlfn.LET(
     _xlpm.r, TRIM(C1270),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71" spans="1:8" x14ac:dyDescent="0.25">
      <c r="A1271">
        <v>2023</v>
      </c>
      <c r="B1271" t="s">
        <v>10</v>
      </c>
      <c r="C1271" t="s">
        <v>6</v>
      </c>
      <c r="E1271">
        <v>3546966</v>
      </c>
      <c r="F1271" t="s">
        <v>78</v>
      </c>
      <c r="G1271" t="str" cm="1">
        <f t="array" ref="G1271">_xlfn.LET(
    _xlpm.r, TRIM(B1271),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71" t="str" cm="1">
        <f t="array" ref="H1271">_xlfn.LET(
     _xlpm.r, TRIM(C1271),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72" spans="1:8" x14ac:dyDescent="0.25">
      <c r="A1272">
        <v>2023</v>
      </c>
      <c r="B1272" t="s">
        <v>10</v>
      </c>
      <c r="C1272" t="s">
        <v>6</v>
      </c>
      <c r="E1272">
        <v>605000</v>
      </c>
      <c r="F1272" t="s">
        <v>78</v>
      </c>
      <c r="G1272" t="str" cm="1">
        <f t="array" ref="G1272">_xlfn.LET(
    _xlpm.r, TRIM(B1272),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72" t="str" cm="1">
        <f t="array" ref="H1272">_xlfn.LET(
     _xlpm.r, TRIM(C1272),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73" spans="1:8" x14ac:dyDescent="0.25">
      <c r="A1273">
        <v>2023</v>
      </c>
      <c r="B1273" t="s">
        <v>10</v>
      </c>
      <c r="C1273" t="s">
        <v>6</v>
      </c>
      <c r="E1273">
        <v>1417000</v>
      </c>
      <c r="F1273" t="s">
        <v>78</v>
      </c>
      <c r="G1273" t="str" cm="1">
        <f t="array" ref="G1273">_xlfn.LET(
    _xlpm.r, TRIM(B1273),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73" t="str" cm="1">
        <f t="array" ref="H1273">_xlfn.LET(
     _xlpm.r, TRIM(C1273),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74" spans="1:8" x14ac:dyDescent="0.25">
      <c r="A1274">
        <v>2023</v>
      </c>
      <c r="B1274" t="s">
        <v>10</v>
      </c>
      <c r="C1274" t="s">
        <v>6</v>
      </c>
      <c r="E1274">
        <v>3293200</v>
      </c>
      <c r="F1274" t="s">
        <v>78</v>
      </c>
      <c r="G1274" t="str" cm="1">
        <f t="array" ref="G1274">_xlfn.LET(
    _xlpm.r, TRIM(B1274),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74" t="str" cm="1">
        <f t="array" ref="H1274">_xlfn.LET(
     _xlpm.r, TRIM(C1274),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75" spans="1:8" x14ac:dyDescent="0.25">
      <c r="A1275">
        <v>2023</v>
      </c>
      <c r="B1275" t="s">
        <v>10</v>
      </c>
      <c r="C1275" t="s">
        <v>6</v>
      </c>
      <c r="E1275">
        <v>1358830</v>
      </c>
      <c r="F1275" t="s">
        <v>78</v>
      </c>
      <c r="G1275" t="str" cm="1">
        <f t="array" ref="G1275">_xlfn.LET(
    _xlpm.r, TRIM(B1275),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75" t="str" cm="1">
        <f t="array" ref="H1275">_xlfn.LET(
     _xlpm.r, TRIM(C1275),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76" spans="1:8" x14ac:dyDescent="0.25">
      <c r="A1276">
        <v>2023</v>
      </c>
      <c r="B1276" t="s">
        <v>10</v>
      </c>
      <c r="C1276" t="s">
        <v>6</v>
      </c>
      <c r="E1276">
        <v>1194000</v>
      </c>
      <c r="F1276" t="s">
        <v>78</v>
      </c>
      <c r="G1276" t="str" cm="1">
        <f t="array" ref="G1276">_xlfn.LET(
    _xlpm.r, TRIM(B1276),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76" t="str" cm="1">
        <f t="array" ref="H1276">_xlfn.LET(
     _xlpm.r, TRIM(C1276),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77" spans="1:8" x14ac:dyDescent="0.25">
      <c r="A1277">
        <v>2023</v>
      </c>
      <c r="B1277" t="s">
        <v>10</v>
      </c>
      <c r="C1277" t="s">
        <v>6</v>
      </c>
      <c r="E1277">
        <v>340000</v>
      </c>
      <c r="F1277" t="s">
        <v>78</v>
      </c>
      <c r="G1277" t="str" cm="1">
        <f t="array" ref="G1277">_xlfn.LET(
    _xlpm.r, TRIM(B1277),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77" t="str" cm="1">
        <f t="array" ref="H1277">_xlfn.LET(
     _xlpm.r, TRIM(C1277),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78" spans="1:8" x14ac:dyDescent="0.25">
      <c r="A1278">
        <v>2023</v>
      </c>
      <c r="B1278" t="s">
        <v>10</v>
      </c>
      <c r="C1278" t="s">
        <v>6</v>
      </c>
      <c r="E1278">
        <v>1362000</v>
      </c>
      <c r="F1278" t="s">
        <v>78</v>
      </c>
      <c r="G1278" t="str" cm="1">
        <f t="array" ref="G1278">_xlfn.LET(
    _xlpm.r, TRIM(B1278),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78" t="str" cm="1">
        <f t="array" ref="H1278">_xlfn.LET(
     _xlpm.r, TRIM(C1278),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79" spans="1:8" x14ac:dyDescent="0.25">
      <c r="A1279">
        <v>2023</v>
      </c>
      <c r="B1279" t="s">
        <v>10</v>
      </c>
      <c r="C1279" t="s">
        <v>6</v>
      </c>
      <c r="E1279">
        <v>1492000</v>
      </c>
      <c r="F1279" t="s">
        <v>78</v>
      </c>
      <c r="G1279" t="str" cm="1">
        <f t="array" ref="G1279">_xlfn.LET(
    _xlpm.r, TRIM(B1279),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79" t="str" cm="1">
        <f t="array" ref="H1279">_xlfn.LET(
     _xlpm.r, TRIM(C1279),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80" spans="1:8" x14ac:dyDescent="0.25">
      <c r="A1280">
        <v>2023</v>
      </c>
      <c r="B1280" t="s">
        <v>10</v>
      </c>
      <c r="C1280" t="s">
        <v>6</v>
      </c>
      <c r="E1280">
        <v>1801000</v>
      </c>
      <c r="F1280" t="s">
        <v>78</v>
      </c>
      <c r="G1280" t="str" cm="1">
        <f t="array" ref="G1280">_xlfn.LET(
    _xlpm.r, TRIM(B1280),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80" t="str" cm="1">
        <f t="array" ref="H1280">_xlfn.LET(
     _xlpm.r, TRIM(C1280),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81" spans="1:8" x14ac:dyDescent="0.25">
      <c r="A1281">
        <v>2023</v>
      </c>
      <c r="B1281" t="s">
        <v>10</v>
      </c>
      <c r="C1281" t="s">
        <v>6</v>
      </c>
      <c r="E1281">
        <v>888000</v>
      </c>
      <c r="F1281" t="s">
        <v>78</v>
      </c>
      <c r="G1281" t="str" cm="1">
        <f t="array" ref="G1281">_xlfn.LET(
    _xlpm.r, TRIM(B1281),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81" t="str" cm="1">
        <f t="array" ref="H1281">_xlfn.LET(
     _xlpm.r, TRIM(C1281),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82" spans="1:8" x14ac:dyDescent="0.25">
      <c r="A1282">
        <v>2023</v>
      </c>
      <c r="B1282" t="s">
        <v>10</v>
      </c>
      <c r="C1282" t="s">
        <v>6</v>
      </c>
      <c r="E1282">
        <v>1717800</v>
      </c>
      <c r="F1282" t="s">
        <v>78</v>
      </c>
      <c r="G1282" t="str" cm="1">
        <f t="array" ref="G1282">_xlfn.LET(
    _xlpm.r, TRIM(B1282),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82" t="str" cm="1">
        <f t="array" ref="H1282">_xlfn.LET(
     _xlpm.r, TRIM(C1282),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83" spans="1:8" x14ac:dyDescent="0.25">
      <c r="A1283">
        <v>2023</v>
      </c>
      <c r="B1283" t="s">
        <v>10</v>
      </c>
      <c r="C1283" t="s">
        <v>6</v>
      </c>
      <c r="E1283">
        <v>1156800</v>
      </c>
      <c r="F1283" t="s">
        <v>78</v>
      </c>
      <c r="G1283" t="str" cm="1">
        <f t="array" ref="G1283">_xlfn.LET(
    _xlpm.r, TRIM(B1283),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83" t="str" cm="1">
        <f t="array" ref="H1283">_xlfn.LET(
     _xlpm.r, TRIM(C1283),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84" spans="1:8" x14ac:dyDescent="0.25">
      <c r="A1284">
        <v>2023</v>
      </c>
      <c r="B1284" t="s">
        <v>10</v>
      </c>
      <c r="C1284" t="s">
        <v>6</v>
      </c>
      <c r="E1284">
        <v>1950000</v>
      </c>
      <c r="F1284" t="s">
        <v>78</v>
      </c>
      <c r="G1284" t="str" cm="1">
        <f t="array" ref="G1284">_xlfn.LET(
    _xlpm.r, TRIM(B1284),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84" t="str" cm="1">
        <f t="array" ref="H1284">_xlfn.LET(
     _xlpm.r, TRIM(C1284),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85" spans="1:8" x14ac:dyDescent="0.25">
      <c r="A1285">
        <v>2023</v>
      </c>
      <c r="B1285" t="s">
        <v>10</v>
      </c>
      <c r="C1285" t="s">
        <v>6</v>
      </c>
      <c r="E1285">
        <v>1727300</v>
      </c>
      <c r="F1285" t="s">
        <v>78</v>
      </c>
      <c r="G1285" t="str" cm="1">
        <f t="array" ref="G1285">_xlfn.LET(
    _xlpm.r, TRIM(B1285),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85" t="str" cm="1">
        <f t="array" ref="H1285">_xlfn.LET(
     _xlpm.r, TRIM(C1285),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86" spans="1:8" x14ac:dyDescent="0.25">
      <c r="A1286">
        <v>2023</v>
      </c>
      <c r="B1286" t="s">
        <v>10</v>
      </c>
      <c r="C1286" t="s">
        <v>6</v>
      </c>
      <c r="E1286">
        <v>1346000</v>
      </c>
      <c r="F1286" t="s">
        <v>78</v>
      </c>
      <c r="G1286" t="str" cm="1">
        <f t="array" ref="G1286">_xlfn.LET(
    _xlpm.r, TRIM(B1286),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86" t="str" cm="1">
        <f t="array" ref="H1286">_xlfn.LET(
     _xlpm.r, TRIM(C1286),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87" spans="1:8" x14ac:dyDescent="0.25">
      <c r="A1287">
        <v>2023</v>
      </c>
      <c r="B1287" t="s">
        <v>10</v>
      </c>
      <c r="C1287" t="s">
        <v>6</v>
      </c>
      <c r="E1287">
        <v>1975920</v>
      </c>
      <c r="F1287" t="s">
        <v>78</v>
      </c>
      <c r="G1287" t="str" cm="1">
        <f t="array" ref="G1287">_xlfn.LET(
    _xlpm.r, TRIM(B1287),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87" t="str" cm="1">
        <f t="array" ref="H1287">_xlfn.LET(
     _xlpm.r, TRIM(C1287),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88" spans="1:8" x14ac:dyDescent="0.25">
      <c r="A1288">
        <v>2023</v>
      </c>
      <c r="B1288" t="s">
        <v>10</v>
      </c>
      <c r="C1288" t="s">
        <v>6</v>
      </c>
      <c r="E1288">
        <v>1728050</v>
      </c>
      <c r="F1288" t="s">
        <v>78</v>
      </c>
      <c r="G1288" t="str" cm="1">
        <f t="array" ref="G1288">_xlfn.LET(
    _xlpm.r, TRIM(B1288),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88" t="str" cm="1">
        <f t="array" ref="H1288">_xlfn.LET(
     _xlpm.r, TRIM(C1288),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89" spans="1:8" x14ac:dyDescent="0.25">
      <c r="A1289">
        <v>2023</v>
      </c>
      <c r="B1289" t="s">
        <v>10</v>
      </c>
      <c r="C1289" t="s">
        <v>6</v>
      </c>
      <c r="E1289">
        <v>1504500</v>
      </c>
      <c r="F1289" t="s">
        <v>78</v>
      </c>
      <c r="G1289" t="str" cm="1">
        <f t="array" ref="G1289">_xlfn.LET(
    _xlpm.r, TRIM(B1289),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89" t="str" cm="1">
        <f t="array" ref="H1289">_xlfn.LET(
     _xlpm.r, TRIM(C1289),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90" spans="1:8" x14ac:dyDescent="0.25">
      <c r="A1290">
        <v>2023</v>
      </c>
      <c r="B1290" t="s">
        <v>10</v>
      </c>
      <c r="C1290" t="s">
        <v>6</v>
      </c>
      <c r="E1290">
        <v>1189000</v>
      </c>
      <c r="F1290" t="s">
        <v>78</v>
      </c>
      <c r="G1290" t="str" cm="1">
        <f t="array" ref="G1290">_xlfn.LET(
    _xlpm.r, TRIM(B1290),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90" t="str" cm="1">
        <f t="array" ref="H1290">_xlfn.LET(
     _xlpm.r, TRIM(C1290),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91" spans="1:8" x14ac:dyDescent="0.25">
      <c r="A1291">
        <v>2023</v>
      </c>
      <c r="B1291" t="s">
        <v>10</v>
      </c>
      <c r="C1291" t="s">
        <v>6</v>
      </c>
      <c r="E1291">
        <v>1295000</v>
      </c>
      <c r="F1291" t="s">
        <v>78</v>
      </c>
      <c r="G1291" t="str" cm="1">
        <f t="array" ref="G1291">_xlfn.LET(
    _xlpm.r, TRIM(B1291),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91" t="str" cm="1">
        <f t="array" ref="H1291">_xlfn.LET(
     _xlpm.r, TRIM(C1291),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92" spans="1:8" x14ac:dyDescent="0.25">
      <c r="A1292">
        <v>2023</v>
      </c>
      <c r="B1292" t="s">
        <v>10</v>
      </c>
      <c r="C1292" t="s">
        <v>6</v>
      </c>
      <c r="E1292">
        <v>1849141</v>
      </c>
      <c r="F1292" t="s">
        <v>78</v>
      </c>
      <c r="G1292" t="str" cm="1">
        <f t="array" ref="G1292">_xlfn.LET(
    _xlpm.r, TRIM(B1292),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92" t="str" cm="1">
        <f t="array" ref="H1292">_xlfn.LET(
     _xlpm.r, TRIM(C1292),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93" spans="1:8" x14ac:dyDescent="0.25">
      <c r="A1293">
        <v>2023</v>
      </c>
      <c r="B1293" t="s">
        <v>10</v>
      </c>
      <c r="C1293" t="s">
        <v>6</v>
      </c>
      <c r="E1293">
        <v>967000</v>
      </c>
      <c r="F1293" t="s">
        <v>78</v>
      </c>
      <c r="G1293" t="str" cm="1">
        <f t="array" ref="G1293">_xlfn.LET(
    _xlpm.r, TRIM(B1293),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93" t="str" cm="1">
        <f t="array" ref="H1293">_xlfn.LET(
     _xlpm.r, TRIM(C1293),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94" spans="1:8" x14ac:dyDescent="0.25">
      <c r="A1294">
        <v>2023</v>
      </c>
      <c r="B1294" t="s">
        <v>10</v>
      </c>
      <c r="C1294" t="s">
        <v>6</v>
      </c>
      <c r="E1294">
        <v>1424000</v>
      </c>
      <c r="F1294" t="s">
        <v>78</v>
      </c>
      <c r="G1294" t="str" cm="1">
        <f t="array" ref="G1294">_xlfn.LET(
    _xlpm.r, TRIM(B1294),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94" t="str" cm="1">
        <f t="array" ref="H1294">_xlfn.LET(
     _xlpm.r, TRIM(C1294),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95" spans="1:8" x14ac:dyDescent="0.25">
      <c r="A1295">
        <v>2023</v>
      </c>
      <c r="B1295" t="s">
        <v>10</v>
      </c>
      <c r="C1295" t="s">
        <v>6</v>
      </c>
      <c r="E1295">
        <v>2000000</v>
      </c>
      <c r="F1295" t="s">
        <v>78</v>
      </c>
      <c r="G1295" t="str" cm="1">
        <f t="array" ref="G1295">_xlfn.LET(
    _xlpm.r, TRIM(B1295),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95" t="str" cm="1">
        <f t="array" ref="H1295">_xlfn.LET(
     _xlpm.r, TRIM(C1295),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96" spans="1:8" x14ac:dyDescent="0.25">
      <c r="A1296">
        <v>2023</v>
      </c>
      <c r="B1296" t="s">
        <v>10</v>
      </c>
      <c r="C1296" t="s">
        <v>6</v>
      </c>
      <c r="E1296">
        <v>2055000</v>
      </c>
      <c r="F1296" t="s">
        <v>78</v>
      </c>
      <c r="G1296" t="str" cm="1">
        <f t="array" ref="G1296">_xlfn.LET(
    _xlpm.r, TRIM(B1296),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96" t="str" cm="1">
        <f t="array" ref="H1296">_xlfn.LET(
     _xlpm.r, TRIM(C1296),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97" spans="1:8" x14ac:dyDescent="0.25">
      <c r="A1297">
        <v>2023</v>
      </c>
      <c r="B1297" t="s">
        <v>10</v>
      </c>
      <c r="C1297" t="s">
        <v>6</v>
      </c>
      <c r="E1297">
        <v>2000000</v>
      </c>
      <c r="F1297" t="s">
        <v>78</v>
      </c>
      <c r="G1297" t="str" cm="1">
        <f t="array" ref="G1297">_xlfn.LET(
    _xlpm.r, TRIM(B1297),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97" t="str" cm="1">
        <f t="array" ref="H1297">_xlfn.LET(
     _xlpm.r, TRIM(C1297),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98" spans="1:8" x14ac:dyDescent="0.25">
      <c r="A1298">
        <v>2023</v>
      </c>
      <c r="B1298" t="s">
        <v>10</v>
      </c>
      <c r="C1298" t="s">
        <v>6</v>
      </c>
      <c r="E1298">
        <v>2780000</v>
      </c>
      <c r="F1298" t="s">
        <v>78</v>
      </c>
      <c r="G1298" t="str" cm="1">
        <f t="array" ref="G1298">_xlfn.LET(
    _xlpm.r, TRIM(B1298),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98" t="str" cm="1">
        <f t="array" ref="H1298">_xlfn.LET(
     _xlpm.r, TRIM(C1298),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299" spans="1:8" x14ac:dyDescent="0.25">
      <c r="A1299">
        <v>2023</v>
      </c>
      <c r="B1299" t="s">
        <v>10</v>
      </c>
      <c r="C1299" t="s">
        <v>6</v>
      </c>
      <c r="E1299">
        <v>1726715</v>
      </c>
      <c r="F1299" t="s">
        <v>78</v>
      </c>
      <c r="G1299" t="str" cm="1">
        <f t="array" ref="G1299">_xlfn.LET(
    _xlpm.r, TRIM(B1299),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299" t="str" cm="1">
        <f t="array" ref="H1299">_xlfn.LET(
     _xlpm.r, TRIM(C1299),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00" spans="1:8" x14ac:dyDescent="0.25">
      <c r="A1300">
        <v>2023</v>
      </c>
      <c r="B1300" t="s">
        <v>10</v>
      </c>
      <c r="C1300" t="s">
        <v>6</v>
      </c>
      <c r="E1300">
        <v>2030000</v>
      </c>
      <c r="F1300" t="s">
        <v>78</v>
      </c>
      <c r="G1300" t="str" cm="1">
        <f t="array" ref="G1300">_xlfn.LET(
    _xlpm.r, TRIM(B1300),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00" t="str" cm="1">
        <f t="array" ref="H1300">_xlfn.LET(
     _xlpm.r, TRIM(C1300),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01" spans="1:8" x14ac:dyDescent="0.25">
      <c r="A1301">
        <v>2023</v>
      </c>
      <c r="B1301" t="s">
        <v>10</v>
      </c>
      <c r="C1301" t="s">
        <v>6</v>
      </c>
      <c r="E1301">
        <v>1183000</v>
      </c>
      <c r="F1301" t="s">
        <v>78</v>
      </c>
      <c r="G1301" t="str" cm="1">
        <f t="array" ref="G1301">_xlfn.LET(
    _xlpm.r, TRIM(B1301),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01" t="str" cm="1">
        <f t="array" ref="H1301">_xlfn.LET(
     _xlpm.r, TRIM(C1301),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02" spans="1:8" x14ac:dyDescent="0.25">
      <c r="A1302">
        <v>2023</v>
      </c>
      <c r="B1302" t="s">
        <v>10</v>
      </c>
      <c r="C1302" t="s">
        <v>6</v>
      </c>
      <c r="E1302">
        <v>299000</v>
      </c>
      <c r="F1302" t="s">
        <v>78</v>
      </c>
      <c r="G1302" t="str" cm="1">
        <f t="array" ref="G1302">_xlfn.LET(
    _xlpm.r, TRIM(B1302),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02" t="str" cm="1">
        <f t="array" ref="H1302">_xlfn.LET(
     _xlpm.r, TRIM(C1302),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03" spans="1:8" x14ac:dyDescent="0.25">
      <c r="A1303">
        <v>2023</v>
      </c>
      <c r="B1303" t="s">
        <v>10</v>
      </c>
      <c r="C1303" t="s">
        <v>6</v>
      </c>
      <c r="E1303">
        <v>2260000</v>
      </c>
      <c r="F1303" t="s">
        <v>78</v>
      </c>
      <c r="G1303" t="str" cm="1">
        <f t="array" ref="G1303">_xlfn.LET(
    _xlpm.r, TRIM(B1303),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03" t="str" cm="1">
        <f t="array" ref="H1303">_xlfn.LET(
     _xlpm.r, TRIM(C1303),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04" spans="1:8" x14ac:dyDescent="0.25">
      <c r="A1304">
        <v>2023</v>
      </c>
      <c r="B1304" t="s">
        <v>10</v>
      </c>
      <c r="C1304" t="s">
        <v>6</v>
      </c>
      <c r="E1304">
        <v>1170000</v>
      </c>
      <c r="F1304" t="s">
        <v>78</v>
      </c>
      <c r="G1304" t="str" cm="1">
        <f t="array" ref="G1304">_xlfn.LET(
    _xlpm.r, TRIM(B1304),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04" t="str" cm="1">
        <f t="array" ref="H1304">_xlfn.LET(
     _xlpm.r, TRIM(C1304),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05" spans="1:8" x14ac:dyDescent="0.25">
      <c r="A1305">
        <v>2023</v>
      </c>
      <c r="B1305" t="s">
        <v>10</v>
      </c>
      <c r="C1305" t="s">
        <v>6</v>
      </c>
      <c r="E1305">
        <v>1271000</v>
      </c>
      <c r="F1305" t="s">
        <v>78</v>
      </c>
      <c r="G1305" t="str" cm="1">
        <f t="array" ref="G1305">_xlfn.LET(
    _xlpm.r, TRIM(B1305),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05" t="str" cm="1">
        <f t="array" ref="H1305">_xlfn.LET(
     _xlpm.r, TRIM(C1305),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06" spans="1:8" x14ac:dyDescent="0.25">
      <c r="A1306">
        <v>2023</v>
      </c>
      <c r="B1306" t="s">
        <v>10</v>
      </c>
      <c r="C1306" t="s">
        <v>6</v>
      </c>
      <c r="E1306">
        <v>5533000</v>
      </c>
      <c r="F1306" t="s">
        <v>78</v>
      </c>
      <c r="G1306" t="str" cm="1">
        <f t="array" ref="G1306">_xlfn.LET(
    _xlpm.r, TRIM(B1306),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06" t="str" cm="1">
        <f t="array" ref="H1306">_xlfn.LET(
     _xlpm.r, TRIM(C1306),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07" spans="1:8" x14ac:dyDescent="0.25">
      <c r="A1307">
        <v>2023</v>
      </c>
      <c r="B1307" t="s">
        <v>10</v>
      </c>
      <c r="C1307" t="s">
        <v>6</v>
      </c>
      <c r="E1307">
        <v>2962000</v>
      </c>
      <c r="F1307" t="s">
        <v>78</v>
      </c>
      <c r="G1307" t="str" cm="1">
        <f t="array" ref="G1307">_xlfn.LET(
    _xlpm.r, TRIM(B1307),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07" t="str" cm="1">
        <f t="array" ref="H1307">_xlfn.LET(
     _xlpm.r, TRIM(C1307),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08" spans="1:8" x14ac:dyDescent="0.25">
      <c r="A1308">
        <v>2023</v>
      </c>
      <c r="B1308" t="s">
        <v>10</v>
      </c>
      <c r="C1308" t="s">
        <v>6</v>
      </c>
      <c r="E1308">
        <v>4222300</v>
      </c>
      <c r="F1308" t="s">
        <v>78</v>
      </c>
      <c r="G1308" t="str" cm="1">
        <f t="array" ref="G1308">_xlfn.LET(
    _xlpm.r, TRIM(B1308),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08" t="str" cm="1">
        <f t="array" ref="H1308">_xlfn.LET(
     _xlpm.r, TRIM(C1308),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09" spans="1:8" x14ac:dyDescent="0.25">
      <c r="A1309">
        <v>2023</v>
      </c>
      <c r="B1309" t="s">
        <v>10</v>
      </c>
      <c r="C1309" t="s">
        <v>6</v>
      </c>
      <c r="E1309">
        <v>1014000</v>
      </c>
      <c r="F1309" t="s">
        <v>78</v>
      </c>
      <c r="G1309" t="str" cm="1">
        <f t="array" ref="G1309">_xlfn.LET(
    _xlpm.r, TRIM(B1309),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09" t="str" cm="1">
        <f t="array" ref="H1309">_xlfn.LET(
     _xlpm.r, TRIM(C1309),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10" spans="1:8" x14ac:dyDescent="0.25">
      <c r="A1310">
        <v>2023</v>
      </c>
      <c r="B1310" t="s">
        <v>10</v>
      </c>
      <c r="C1310" t="s">
        <v>6</v>
      </c>
      <c r="E1310">
        <v>1590000</v>
      </c>
      <c r="F1310" t="s">
        <v>78</v>
      </c>
      <c r="G1310" t="str" cm="1">
        <f t="array" ref="G1310">_xlfn.LET(
    _xlpm.r, TRIM(B1310),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10" t="str" cm="1">
        <f t="array" ref="H1310">_xlfn.LET(
     _xlpm.r, TRIM(C1310),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11" spans="1:8" x14ac:dyDescent="0.25">
      <c r="A1311">
        <v>2023</v>
      </c>
      <c r="B1311" t="s">
        <v>10</v>
      </c>
      <c r="C1311" t="s">
        <v>6</v>
      </c>
      <c r="E1311">
        <v>1127000</v>
      </c>
      <c r="F1311" t="s">
        <v>78</v>
      </c>
      <c r="G1311" t="str" cm="1">
        <f t="array" ref="G1311">_xlfn.LET(
    _xlpm.r, TRIM(B1311),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11" t="str" cm="1">
        <f t="array" ref="H1311">_xlfn.LET(
     _xlpm.r, TRIM(C1311),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12" spans="1:8" x14ac:dyDescent="0.25">
      <c r="A1312">
        <v>2023</v>
      </c>
      <c r="B1312" t="s">
        <v>10</v>
      </c>
      <c r="C1312" t="s">
        <v>6</v>
      </c>
      <c r="E1312">
        <v>3325000</v>
      </c>
      <c r="F1312" t="s">
        <v>78</v>
      </c>
      <c r="G1312" t="str" cm="1">
        <f t="array" ref="G1312">_xlfn.LET(
    _xlpm.r, TRIM(B1312),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12" t="str" cm="1">
        <f t="array" ref="H1312">_xlfn.LET(
     _xlpm.r, TRIM(C1312),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13" spans="1:8" x14ac:dyDescent="0.25">
      <c r="A1313">
        <v>2023</v>
      </c>
      <c r="B1313" t="s">
        <v>10</v>
      </c>
      <c r="C1313" t="s">
        <v>6</v>
      </c>
      <c r="E1313">
        <v>2772000</v>
      </c>
      <c r="F1313" t="s">
        <v>78</v>
      </c>
      <c r="G1313" t="str" cm="1">
        <f t="array" ref="G1313">_xlfn.LET(
    _xlpm.r, TRIM(B1313),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13" t="str" cm="1">
        <f t="array" ref="H1313">_xlfn.LET(
     _xlpm.r, TRIM(C1313),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14" spans="1:8" x14ac:dyDescent="0.25">
      <c r="A1314">
        <v>2023</v>
      </c>
      <c r="B1314" t="s">
        <v>10</v>
      </c>
      <c r="C1314" t="s">
        <v>6</v>
      </c>
      <c r="E1314">
        <v>1480000</v>
      </c>
      <c r="F1314" t="s">
        <v>78</v>
      </c>
      <c r="G1314" t="str" cm="1">
        <f t="array" ref="G1314">_xlfn.LET(
    _xlpm.r, TRIM(B1314),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14" t="str" cm="1">
        <f t="array" ref="H1314">_xlfn.LET(
     _xlpm.r, TRIM(C1314),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15" spans="1:8" x14ac:dyDescent="0.25">
      <c r="A1315">
        <v>2023</v>
      </c>
      <c r="B1315" t="s">
        <v>10</v>
      </c>
      <c r="C1315" t="s">
        <v>6</v>
      </c>
      <c r="E1315">
        <v>2980000</v>
      </c>
      <c r="F1315" t="s">
        <v>78</v>
      </c>
      <c r="G1315" t="str" cm="1">
        <f t="array" ref="G1315">_xlfn.LET(
    _xlpm.r, TRIM(B1315),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15" t="str" cm="1">
        <f t="array" ref="H1315">_xlfn.LET(
     _xlpm.r, TRIM(C1315),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16" spans="1:8" x14ac:dyDescent="0.25">
      <c r="A1316">
        <v>2023</v>
      </c>
      <c r="B1316" t="s">
        <v>10</v>
      </c>
      <c r="C1316" t="s">
        <v>6</v>
      </c>
      <c r="E1316">
        <v>2085000</v>
      </c>
      <c r="F1316" t="s">
        <v>78</v>
      </c>
      <c r="G1316" t="str" cm="1">
        <f t="array" ref="G1316">_xlfn.LET(
    _xlpm.r, TRIM(B1316),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16" t="str" cm="1">
        <f t="array" ref="H1316">_xlfn.LET(
     _xlpm.r, TRIM(C1316),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17" spans="1:8" x14ac:dyDescent="0.25">
      <c r="A1317">
        <v>2023</v>
      </c>
      <c r="B1317" t="s">
        <v>10</v>
      </c>
      <c r="C1317" t="s">
        <v>6</v>
      </c>
      <c r="E1317">
        <v>908000</v>
      </c>
      <c r="F1317" t="s">
        <v>78</v>
      </c>
      <c r="G1317" t="str" cm="1">
        <f t="array" ref="G1317">_xlfn.LET(
    _xlpm.r, TRIM(B1317),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17" t="str" cm="1">
        <f t="array" ref="H1317">_xlfn.LET(
     _xlpm.r, TRIM(C1317),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18" spans="1:8" x14ac:dyDescent="0.25">
      <c r="A1318">
        <v>2023</v>
      </c>
      <c r="B1318" t="s">
        <v>10</v>
      </c>
      <c r="C1318" t="s">
        <v>6</v>
      </c>
      <c r="E1318">
        <v>2433000</v>
      </c>
      <c r="F1318" t="s">
        <v>78</v>
      </c>
      <c r="G1318" t="str" cm="1">
        <f t="array" ref="G1318">_xlfn.LET(
    _xlpm.r, TRIM(B1318),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18" t="str" cm="1">
        <f t="array" ref="H1318">_xlfn.LET(
     _xlpm.r, TRIM(C1318),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19" spans="1:8" x14ac:dyDescent="0.25">
      <c r="A1319">
        <v>2023</v>
      </c>
      <c r="B1319" t="s">
        <v>10</v>
      </c>
      <c r="C1319" t="s">
        <v>6</v>
      </c>
      <c r="E1319">
        <v>4283000</v>
      </c>
      <c r="F1319" t="s">
        <v>78</v>
      </c>
      <c r="G1319" t="str" cm="1">
        <f t="array" ref="G1319">_xlfn.LET(
    _xlpm.r, TRIM(B1319),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19" t="str" cm="1">
        <f t="array" ref="H1319">_xlfn.LET(
     _xlpm.r, TRIM(C1319),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20" spans="1:8" x14ac:dyDescent="0.25">
      <c r="A1320">
        <v>2023</v>
      </c>
      <c r="B1320" t="s">
        <v>10</v>
      </c>
      <c r="C1320" t="s">
        <v>6</v>
      </c>
      <c r="E1320">
        <v>2915000</v>
      </c>
      <c r="F1320" t="s">
        <v>78</v>
      </c>
      <c r="G1320" t="str" cm="1">
        <f t="array" ref="G1320">_xlfn.LET(
    _xlpm.r, TRIM(B1320),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20" t="str" cm="1">
        <f t="array" ref="H1320">_xlfn.LET(
     _xlpm.r, TRIM(C1320),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21" spans="1:8" x14ac:dyDescent="0.25">
      <c r="A1321">
        <v>2023</v>
      </c>
      <c r="B1321" t="s">
        <v>10</v>
      </c>
      <c r="C1321" t="s">
        <v>6</v>
      </c>
      <c r="E1321">
        <v>13011000</v>
      </c>
      <c r="F1321" t="s">
        <v>78</v>
      </c>
      <c r="G1321" t="str" cm="1">
        <f t="array" ref="G1321">_xlfn.LET(
    _xlpm.r, TRIM(B1321),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21" t="str" cm="1">
        <f t="array" ref="H1321">_xlfn.LET(
     _xlpm.r, TRIM(C1321),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22" spans="1:8" x14ac:dyDescent="0.25">
      <c r="A1322">
        <v>2023</v>
      </c>
      <c r="B1322" t="s">
        <v>10</v>
      </c>
      <c r="C1322" t="s">
        <v>6</v>
      </c>
      <c r="E1322">
        <v>1494000</v>
      </c>
      <c r="F1322" t="s">
        <v>78</v>
      </c>
      <c r="G1322" t="str" cm="1">
        <f t="array" ref="G1322">_xlfn.LET(
    _xlpm.r, TRIM(B1322),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22" t="str" cm="1">
        <f t="array" ref="H1322">_xlfn.LET(
     _xlpm.r, TRIM(C1322),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23" spans="1:8" x14ac:dyDescent="0.25">
      <c r="A1323">
        <v>2023</v>
      </c>
      <c r="B1323" t="s">
        <v>10</v>
      </c>
      <c r="C1323" t="s">
        <v>6</v>
      </c>
      <c r="E1323">
        <v>585000</v>
      </c>
      <c r="F1323" t="s">
        <v>78</v>
      </c>
      <c r="G1323" t="str" cm="1">
        <f t="array" ref="G1323">_xlfn.LET(
    _xlpm.r, TRIM(B1323),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23" t="str" cm="1">
        <f t="array" ref="H1323">_xlfn.LET(
     _xlpm.r, TRIM(C1323),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24" spans="1:8" x14ac:dyDescent="0.25">
      <c r="A1324">
        <v>2023</v>
      </c>
      <c r="B1324" t="s">
        <v>10</v>
      </c>
      <c r="C1324" t="s">
        <v>6</v>
      </c>
      <c r="E1324">
        <v>1512000</v>
      </c>
      <c r="F1324" t="s">
        <v>78</v>
      </c>
      <c r="G1324" t="str" cm="1">
        <f t="array" ref="G1324">_xlfn.LET(
    _xlpm.r, TRIM(B1324),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24" t="str" cm="1">
        <f t="array" ref="H1324">_xlfn.LET(
     _xlpm.r, TRIM(C1324),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25" spans="1:8" x14ac:dyDescent="0.25">
      <c r="A1325">
        <v>2023</v>
      </c>
      <c r="B1325" t="s">
        <v>10</v>
      </c>
      <c r="C1325" t="s">
        <v>6</v>
      </c>
      <c r="E1325">
        <v>270000</v>
      </c>
      <c r="F1325" t="s">
        <v>78</v>
      </c>
      <c r="G1325" t="str" cm="1">
        <f t="array" ref="G1325">_xlfn.LET(
    _xlpm.r, TRIM(B1325),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25" t="str" cm="1">
        <f t="array" ref="H1325">_xlfn.LET(
     _xlpm.r, TRIM(C1325),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26" spans="1:8" x14ac:dyDescent="0.25">
      <c r="A1326">
        <v>2023</v>
      </c>
      <c r="B1326" t="s">
        <v>10</v>
      </c>
      <c r="C1326" t="s">
        <v>6</v>
      </c>
      <c r="E1326">
        <v>1072000</v>
      </c>
      <c r="F1326" t="s">
        <v>78</v>
      </c>
      <c r="G1326" t="str" cm="1">
        <f t="array" ref="G1326">_xlfn.LET(
    _xlpm.r, TRIM(B1326),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26" t="str" cm="1">
        <f t="array" ref="H1326">_xlfn.LET(
     _xlpm.r, TRIM(C1326),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27" spans="1:8" x14ac:dyDescent="0.25">
      <c r="A1327">
        <v>2023</v>
      </c>
      <c r="B1327" t="s">
        <v>10</v>
      </c>
      <c r="C1327" t="s">
        <v>6</v>
      </c>
      <c r="E1327">
        <v>1055000</v>
      </c>
      <c r="F1327" t="s">
        <v>78</v>
      </c>
      <c r="G1327" t="str" cm="1">
        <f t="array" ref="G1327">_xlfn.LET(
    _xlpm.r, TRIM(B1327),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27" t="str" cm="1">
        <f t="array" ref="H1327">_xlfn.LET(
     _xlpm.r, TRIM(C1327),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28" spans="1:8" x14ac:dyDescent="0.25">
      <c r="A1328">
        <v>2023</v>
      </c>
      <c r="B1328" t="s">
        <v>10</v>
      </c>
      <c r="C1328" t="s">
        <v>6</v>
      </c>
      <c r="E1328">
        <v>1105000</v>
      </c>
      <c r="F1328" t="s">
        <v>78</v>
      </c>
      <c r="G1328" t="str" cm="1">
        <f t="array" ref="G1328">_xlfn.LET(
    _xlpm.r, TRIM(B1328),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28" t="str" cm="1">
        <f t="array" ref="H1328">_xlfn.LET(
     _xlpm.r, TRIM(C1328),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29" spans="1:8" x14ac:dyDescent="0.25">
      <c r="A1329">
        <v>2023</v>
      </c>
      <c r="B1329" t="s">
        <v>10</v>
      </c>
      <c r="C1329" t="s">
        <v>6</v>
      </c>
      <c r="E1329">
        <v>2185000</v>
      </c>
      <c r="F1329" t="s">
        <v>78</v>
      </c>
      <c r="G1329" t="str" cm="1">
        <f t="array" ref="G1329">_xlfn.LET(
    _xlpm.r, TRIM(B1329),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29" t="str" cm="1">
        <f t="array" ref="H1329">_xlfn.LET(
     _xlpm.r, TRIM(C1329),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30" spans="1:8" x14ac:dyDescent="0.25">
      <c r="A1330">
        <v>2023</v>
      </c>
      <c r="B1330" t="s">
        <v>10</v>
      </c>
      <c r="C1330" t="s">
        <v>6</v>
      </c>
      <c r="E1330">
        <v>4400000</v>
      </c>
      <c r="F1330" t="s">
        <v>78</v>
      </c>
      <c r="G1330" t="str" cm="1">
        <f t="array" ref="G1330">_xlfn.LET(
    _xlpm.r, TRIM(B1330),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30" t="str" cm="1">
        <f t="array" ref="H1330">_xlfn.LET(
     _xlpm.r, TRIM(C1330),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31" spans="1:8" x14ac:dyDescent="0.25">
      <c r="A1331">
        <v>2023</v>
      </c>
      <c r="B1331" t="s">
        <v>10</v>
      </c>
      <c r="C1331" t="s">
        <v>6</v>
      </c>
      <c r="E1331">
        <v>1791000</v>
      </c>
      <c r="F1331" t="s">
        <v>78</v>
      </c>
      <c r="G1331" t="str" cm="1">
        <f t="array" ref="G1331">_xlfn.LET(
    _xlpm.r, TRIM(B1331),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31" t="str" cm="1">
        <f t="array" ref="H1331">_xlfn.LET(
     _xlpm.r, TRIM(C1331),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32" spans="1:8" x14ac:dyDescent="0.25">
      <c r="A1332">
        <v>2023</v>
      </c>
      <c r="B1332" t="s">
        <v>10</v>
      </c>
      <c r="C1332" t="s">
        <v>6</v>
      </c>
      <c r="E1332">
        <v>2041000</v>
      </c>
      <c r="F1332" t="s">
        <v>78</v>
      </c>
      <c r="G1332" t="str" cm="1">
        <f t="array" ref="G1332">_xlfn.LET(
    _xlpm.r, TRIM(B1332),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32" t="str" cm="1">
        <f t="array" ref="H1332">_xlfn.LET(
     _xlpm.r, TRIM(C1332),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33" spans="1:8" x14ac:dyDescent="0.25">
      <c r="A1333">
        <v>2023</v>
      </c>
      <c r="B1333" t="s">
        <v>10</v>
      </c>
      <c r="C1333" t="s">
        <v>6</v>
      </c>
      <c r="E1333">
        <v>13804000</v>
      </c>
      <c r="F1333" t="s">
        <v>78</v>
      </c>
      <c r="G1333" t="str" cm="1">
        <f t="array" ref="G1333">_xlfn.LET(
    _xlpm.r, TRIM(B1333),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33" t="str" cm="1">
        <f t="array" ref="H1333">_xlfn.LET(
     _xlpm.r, TRIM(C1333),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34" spans="1:8" x14ac:dyDescent="0.25">
      <c r="A1334">
        <v>2023</v>
      </c>
      <c r="B1334" t="s">
        <v>10</v>
      </c>
      <c r="C1334" t="s">
        <v>6</v>
      </c>
      <c r="E1334">
        <v>6196000</v>
      </c>
      <c r="F1334" t="s">
        <v>78</v>
      </c>
      <c r="G1334" t="str" cm="1">
        <f t="array" ref="G1334">_xlfn.LET(
    _xlpm.r, TRIM(B1334),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34" t="str" cm="1">
        <f t="array" ref="H1334">_xlfn.LET(
     _xlpm.r, TRIM(C1334),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35" spans="1:8" x14ac:dyDescent="0.25">
      <c r="A1335">
        <v>2023</v>
      </c>
      <c r="B1335" t="s">
        <v>10</v>
      </c>
      <c r="C1335" t="s">
        <v>6</v>
      </c>
      <c r="E1335">
        <v>500000</v>
      </c>
      <c r="F1335" t="s">
        <v>78</v>
      </c>
      <c r="G1335" t="str" cm="1">
        <f t="array" ref="G1335">_xlfn.LET(
    _xlpm.r, TRIM(B1335),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35" t="str" cm="1">
        <f t="array" ref="H1335">_xlfn.LET(
     _xlpm.r, TRIM(C1335),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36" spans="1:8" x14ac:dyDescent="0.25">
      <c r="A1336">
        <v>2023</v>
      </c>
      <c r="B1336" t="s">
        <v>10</v>
      </c>
      <c r="C1336" t="s">
        <v>6</v>
      </c>
      <c r="E1336">
        <v>2189000</v>
      </c>
      <c r="F1336" t="s">
        <v>78</v>
      </c>
      <c r="G1336" t="str" cm="1">
        <f t="array" ref="G1336">_xlfn.LET(
    _xlpm.r, TRIM(B1336),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36" t="str" cm="1">
        <f t="array" ref="H1336">_xlfn.LET(
     _xlpm.r, TRIM(C1336),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37" spans="1:8" x14ac:dyDescent="0.25">
      <c r="A1337">
        <v>2023</v>
      </c>
      <c r="B1337" t="s">
        <v>10</v>
      </c>
      <c r="C1337" t="s">
        <v>6</v>
      </c>
      <c r="E1337">
        <v>2173000</v>
      </c>
      <c r="F1337" t="s">
        <v>78</v>
      </c>
      <c r="G1337" t="str" cm="1">
        <f t="array" ref="G1337">_xlfn.LET(
    _xlpm.r, TRIM(B1337),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37" t="str" cm="1">
        <f t="array" ref="H1337">_xlfn.LET(
     _xlpm.r, TRIM(C1337),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38" spans="1:8" x14ac:dyDescent="0.25">
      <c r="A1338">
        <v>2023</v>
      </c>
      <c r="B1338" t="s">
        <v>10</v>
      </c>
      <c r="C1338" t="s">
        <v>6</v>
      </c>
      <c r="E1338">
        <v>1940000</v>
      </c>
      <c r="F1338" t="s">
        <v>78</v>
      </c>
      <c r="G1338" t="str" cm="1">
        <f t="array" ref="G1338">_xlfn.LET(
    _xlpm.r, TRIM(B1338),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38" t="str" cm="1">
        <f t="array" ref="H1338">_xlfn.LET(
     _xlpm.r, TRIM(C1338),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39" spans="1:8" x14ac:dyDescent="0.25">
      <c r="A1339">
        <v>2023</v>
      </c>
      <c r="B1339" t="s">
        <v>10</v>
      </c>
      <c r="C1339" t="s">
        <v>6</v>
      </c>
      <c r="E1339">
        <v>1335000</v>
      </c>
      <c r="F1339" t="s">
        <v>78</v>
      </c>
      <c r="G1339" t="str" cm="1">
        <f t="array" ref="G1339">_xlfn.LET(
    _xlpm.r, TRIM(B1339),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39" t="str" cm="1">
        <f t="array" ref="H1339">_xlfn.LET(
     _xlpm.r, TRIM(C1339),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40" spans="1:8" x14ac:dyDescent="0.25">
      <c r="A1340">
        <v>2023</v>
      </c>
      <c r="B1340" t="s">
        <v>10</v>
      </c>
      <c r="C1340" t="s">
        <v>6</v>
      </c>
      <c r="E1340">
        <v>959000</v>
      </c>
      <c r="F1340" t="s">
        <v>78</v>
      </c>
      <c r="G1340" t="str" cm="1">
        <f t="array" ref="G1340">_xlfn.LET(
    _xlpm.r, TRIM(B1340),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40" t="str" cm="1">
        <f t="array" ref="H1340">_xlfn.LET(
     _xlpm.r, TRIM(C1340),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41" spans="1:8" x14ac:dyDescent="0.25">
      <c r="A1341">
        <v>2023</v>
      </c>
      <c r="B1341" t="s">
        <v>10</v>
      </c>
      <c r="C1341" t="s">
        <v>6</v>
      </c>
      <c r="E1341">
        <v>1605000</v>
      </c>
      <c r="F1341" t="s">
        <v>78</v>
      </c>
      <c r="G1341" t="str" cm="1">
        <f t="array" ref="G1341">_xlfn.LET(
    _xlpm.r, TRIM(B1341),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41" t="str" cm="1">
        <f t="array" ref="H1341">_xlfn.LET(
     _xlpm.r, TRIM(C1341),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42" spans="1:8" x14ac:dyDescent="0.25">
      <c r="A1342">
        <v>2023</v>
      </c>
      <c r="B1342" t="s">
        <v>10</v>
      </c>
      <c r="C1342" t="s">
        <v>6</v>
      </c>
      <c r="E1342">
        <v>1270000</v>
      </c>
      <c r="F1342" t="s">
        <v>78</v>
      </c>
      <c r="G1342" t="str" cm="1">
        <f t="array" ref="G1342">_xlfn.LET(
    _xlpm.r, TRIM(B1342),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42" t="str" cm="1">
        <f t="array" ref="H1342">_xlfn.LET(
     _xlpm.r, TRIM(C1342),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43" spans="1:8" x14ac:dyDescent="0.25">
      <c r="A1343">
        <v>2023</v>
      </c>
      <c r="B1343" t="s">
        <v>10</v>
      </c>
      <c r="C1343" t="s">
        <v>6</v>
      </c>
      <c r="E1343">
        <v>2245000</v>
      </c>
      <c r="F1343" t="s">
        <v>78</v>
      </c>
      <c r="G1343" t="str" cm="1">
        <f t="array" ref="G1343">_xlfn.LET(
    _xlpm.r, TRIM(B1343),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43" t="str" cm="1">
        <f t="array" ref="H1343">_xlfn.LET(
     _xlpm.r, TRIM(C1343),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44" spans="1:8" x14ac:dyDescent="0.25">
      <c r="A1344">
        <v>2023</v>
      </c>
      <c r="B1344" t="s">
        <v>10</v>
      </c>
      <c r="C1344" t="s">
        <v>6</v>
      </c>
      <c r="E1344">
        <v>1276000</v>
      </c>
      <c r="F1344" t="s">
        <v>78</v>
      </c>
      <c r="G1344" t="str" cm="1">
        <f t="array" ref="G1344">_xlfn.LET(
    _xlpm.r, TRIM(B1344),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44" t="str" cm="1">
        <f t="array" ref="H1344">_xlfn.LET(
     _xlpm.r, TRIM(C1344),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45" spans="1:8" x14ac:dyDescent="0.25">
      <c r="A1345">
        <v>2023</v>
      </c>
      <c r="B1345" t="s">
        <v>10</v>
      </c>
      <c r="C1345" t="s">
        <v>6</v>
      </c>
      <c r="E1345">
        <v>1495000</v>
      </c>
      <c r="F1345" t="s">
        <v>78</v>
      </c>
      <c r="G1345" t="str" cm="1">
        <f t="array" ref="G1345">_xlfn.LET(
    _xlpm.r, TRIM(B1345),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45" t="str" cm="1">
        <f t="array" ref="H1345">_xlfn.LET(
     _xlpm.r, TRIM(C1345),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46" spans="1:8" x14ac:dyDescent="0.25">
      <c r="A1346">
        <v>2023</v>
      </c>
      <c r="B1346" t="s">
        <v>10</v>
      </c>
      <c r="C1346" t="s">
        <v>6</v>
      </c>
      <c r="E1346">
        <v>334000</v>
      </c>
      <c r="F1346" t="s">
        <v>78</v>
      </c>
      <c r="G1346" t="str" cm="1">
        <f t="array" ref="G1346">_xlfn.LET(
    _xlpm.r, TRIM(B1346),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46" t="str" cm="1">
        <f t="array" ref="H1346">_xlfn.LET(
     _xlpm.r, TRIM(C1346),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47" spans="1:8" x14ac:dyDescent="0.25">
      <c r="A1347">
        <v>2023</v>
      </c>
      <c r="B1347" t="s">
        <v>10</v>
      </c>
      <c r="C1347" t="s">
        <v>6</v>
      </c>
      <c r="E1347">
        <v>674000</v>
      </c>
      <c r="F1347" t="s">
        <v>78</v>
      </c>
      <c r="G1347" t="str" cm="1">
        <f t="array" ref="G1347">_xlfn.LET(
    _xlpm.r, TRIM(B1347),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47" t="str" cm="1">
        <f t="array" ref="H1347">_xlfn.LET(
     _xlpm.r, TRIM(C1347),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48" spans="1:8" x14ac:dyDescent="0.25">
      <c r="A1348">
        <v>2023</v>
      </c>
      <c r="B1348" t="s">
        <v>10</v>
      </c>
      <c r="C1348" t="s">
        <v>6</v>
      </c>
      <c r="E1348">
        <v>1317000</v>
      </c>
      <c r="F1348" t="s">
        <v>78</v>
      </c>
      <c r="G1348" t="str" cm="1">
        <f t="array" ref="G1348">_xlfn.LET(
    _xlpm.r, TRIM(B1348),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48" t="str" cm="1">
        <f t="array" ref="H1348">_xlfn.LET(
     _xlpm.r, TRIM(C1348),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49" spans="1:8" x14ac:dyDescent="0.25">
      <c r="A1349">
        <v>2023</v>
      </c>
      <c r="B1349" t="s">
        <v>10</v>
      </c>
      <c r="C1349" t="s">
        <v>6</v>
      </c>
      <c r="E1349">
        <v>1361500</v>
      </c>
      <c r="F1349" t="s">
        <v>78</v>
      </c>
      <c r="G1349" t="str" cm="1">
        <f t="array" ref="G1349">_xlfn.LET(
    _xlpm.r, TRIM(B1349),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49" t="str" cm="1">
        <f t="array" ref="H1349">_xlfn.LET(
     _xlpm.r, TRIM(C1349),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50" spans="1:8" x14ac:dyDescent="0.25">
      <c r="A1350">
        <v>2023</v>
      </c>
      <c r="B1350" t="s">
        <v>10</v>
      </c>
      <c r="C1350" t="s">
        <v>6</v>
      </c>
      <c r="E1350">
        <v>450000</v>
      </c>
      <c r="F1350" t="s">
        <v>78</v>
      </c>
      <c r="G1350" t="str" cm="1">
        <f t="array" ref="G1350">_xlfn.LET(
    _xlpm.r, TRIM(B1350),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50" t="str" cm="1">
        <f t="array" ref="H1350">_xlfn.LET(
     _xlpm.r, TRIM(C1350),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51" spans="1:8" x14ac:dyDescent="0.25">
      <c r="A1351">
        <v>2023</v>
      </c>
      <c r="B1351" t="s">
        <v>10</v>
      </c>
      <c r="C1351" t="s">
        <v>6</v>
      </c>
      <c r="E1351">
        <v>779000</v>
      </c>
      <c r="F1351" t="s">
        <v>78</v>
      </c>
      <c r="G1351" t="str" cm="1">
        <f t="array" ref="G1351">_xlfn.LET(
    _xlpm.r, TRIM(B1351),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51" t="str" cm="1">
        <f t="array" ref="H1351">_xlfn.LET(
     _xlpm.r, TRIM(C1351),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52" spans="1:8" x14ac:dyDescent="0.25">
      <c r="A1352">
        <v>2023</v>
      </c>
      <c r="B1352" t="s">
        <v>10</v>
      </c>
      <c r="C1352" t="s">
        <v>6</v>
      </c>
      <c r="E1352">
        <v>2599000</v>
      </c>
      <c r="F1352" t="s">
        <v>78</v>
      </c>
      <c r="G1352" t="str" cm="1">
        <f t="array" ref="G1352">_xlfn.LET(
    _xlpm.r, TRIM(B1352),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52" t="str" cm="1">
        <f t="array" ref="H1352">_xlfn.LET(
     _xlpm.r, TRIM(C1352),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53" spans="1:8" x14ac:dyDescent="0.25">
      <c r="A1353">
        <v>2023</v>
      </c>
      <c r="B1353" t="s">
        <v>10</v>
      </c>
      <c r="C1353" t="s">
        <v>6</v>
      </c>
      <c r="E1353">
        <v>1605000</v>
      </c>
      <c r="F1353" t="s">
        <v>78</v>
      </c>
      <c r="G1353" t="str" cm="1">
        <f t="array" ref="G1353">_xlfn.LET(
    _xlpm.r, TRIM(B1353),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53" t="str" cm="1">
        <f t="array" ref="H1353">_xlfn.LET(
     _xlpm.r, TRIM(C1353),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54" spans="1:8" x14ac:dyDescent="0.25">
      <c r="A1354">
        <v>2023</v>
      </c>
      <c r="B1354" t="s">
        <v>10</v>
      </c>
      <c r="C1354" t="s">
        <v>6</v>
      </c>
      <c r="E1354">
        <v>1205000</v>
      </c>
      <c r="F1354" t="s">
        <v>78</v>
      </c>
      <c r="G1354" t="str" cm="1">
        <f t="array" ref="G1354">_xlfn.LET(
    _xlpm.r, TRIM(B1354),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54" t="str" cm="1">
        <f t="array" ref="H1354">_xlfn.LET(
     _xlpm.r, TRIM(C1354),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55" spans="1:8" x14ac:dyDescent="0.25">
      <c r="A1355">
        <v>2023</v>
      </c>
      <c r="B1355" t="s">
        <v>10</v>
      </c>
      <c r="C1355" t="s">
        <v>6</v>
      </c>
      <c r="E1355">
        <v>2852000</v>
      </c>
      <c r="F1355" t="s">
        <v>78</v>
      </c>
      <c r="G1355" t="str" cm="1">
        <f t="array" ref="G1355">_xlfn.LET(
    _xlpm.r, TRIM(B1355),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55" t="str" cm="1">
        <f t="array" ref="H1355">_xlfn.LET(
     _xlpm.r, TRIM(C1355),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56" spans="1:8" x14ac:dyDescent="0.25">
      <c r="A1356">
        <v>2023</v>
      </c>
      <c r="B1356" t="s">
        <v>10</v>
      </c>
      <c r="C1356" t="s">
        <v>6</v>
      </c>
      <c r="E1356">
        <v>534400</v>
      </c>
      <c r="F1356" t="s">
        <v>78</v>
      </c>
      <c r="G1356" t="str" cm="1">
        <f t="array" ref="G1356">_xlfn.LET(
    _xlpm.r, TRIM(B1356),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56" t="str" cm="1">
        <f t="array" ref="H1356">_xlfn.LET(
     _xlpm.r, TRIM(C1356),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57" spans="1:8" x14ac:dyDescent="0.25">
      <c r="A1357">
        <v>2023</v>
      </c>
      <c r="B1357" t="s">
        <v>10</v>
      </c>
      <c r="C1357" t="s">
        <v>6</v>
      </c>
      <c r="E1357">
        <v>1424000</v>
      </c>
      <c r="F1357" t="s">
        <v>78</v>
      </c>
      <c r="G1357" t="str" cm="1">
        <f t="array" ref="G1357">_xlfn.LET(
    _xlpm.r, TRIM(B1357),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57" t="str" cm="1">
        <f t="array" ref="H1357">_xlfn.LET(
     _xlpm.r, TRIM(C1357),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58" spans="1:8" x14ac:dyDescent="0.25">
      <c r="A1358">
        <v>2023</v>
      </c>
      <c r="B1358" t="s">
        <v>10</v>
      </c>
      <c r="C1358" t="s">
        <v>6</v>
      </c>
      <c r="E1358">
        <v>810000</v>
      </c>
      <c r="F1358" t="s">
        <v>78</v>
      </c>
      <c r="G1358" t="str" cm="1">
        <f t="array" ref="G1358">_xlfn.LET(
    _xlpm.r, TRIM(B1358),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58" t="str" cm="1">
        <f t="array" ref="H1358">_xlfn.LET(
     _xlpm.r, TRIM(C1358),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359" spans="1:8" x14ac:dyDescent="0.25">
      <c r="A1359">
        <v>2023</v>
      </c>
      <c r="B1359" t="s">
        <v>10</v>
      </c>
      <c r="C1359" t="s">
        <v>8</v>
      </c>
      <c r="E1359">
        <v>187696500</v>
      </c>
      <c r="F1359" t="s">
        <v>78</v>
      </c>
      <c r="G1359" t="str" cm="1">
        <f t="array" ref="G1359">_xlfn.LET(
    _xlpm.r, TRIM(B1359),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59" t="str" cm="1">
        <f t="array" ref="H1359">_xlfn.LET(
     _xlpm.r, TRIM(C1359),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60" spans="1:8" x14ac:dyDescent="0.25">
      <c r="A1360">
        <v>2023</v>
      </c>
      <c r="B1360" t="s">
        <v>10</v>
      </c>
      <c r="C1360" t="s">
        <v>8</v>
      </c>
      <c r="E1360">
        <v>15000</v>
      </c>
      <c r="F1360" t="s">
        <v>78</v>
      </c>
      <c r="G1360" t="str" cm="1">
        <f t="array" ref="G1360">_xlfn.LET(
    _xlpm.r, TRIM(B1360),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60" t="str" cm="1">
        <f t="array" ref="H1360">_xlfn.LET(
     _xlpm.r, TRIM(C1360),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61" spans="1:8" x14ac:dyDescent="0.25">
      <c r="A1361">
        <v>2023</v>
      </c>
      <c r="B1361" t="s">
        <v>10</v>
      </c>
      <c r="C1361" t="s">
        <v>8</v>
      </c>
      <c r="E1361">
        <v>25000</v>
      </c>
      <c r="F1361" t="s">
        <v>78</v>
      </c>
      <c r="G1361" t="str" cm="1">
        <f t="array" ref="G1361">_xlfn.LET(
    _xlpm.r, TRIM(B1361),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61" t="str" cm="1">
        <f t="array" ref="H1361">_xlfn.LET(
     _xlpm.r, TRIM(C1361),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62" spans="1:8" x14ac:dyDescent="0.25">
      <c r="A1362">
        <v>2023</v>
      </c>
      <c r="B1362" t="s">
        <v>10</v>
      </c>
      <c r="C1362" t="s">
        <v>8</v>
      </c>
      <c r="E1362">
        <v>10000</v>
      </c>
      <c r="F1362" t="s">
        <v>78</v>
      </c>
      <c r="G1362" t="str" cm="1">
        <f t="array" ref="G1362">_xlfn.LET(
    _xlpm.r, TRIM(B1362),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62" t="str" cm="1">
        <f t="array" ref="H1362">_xlfn.LET(
     _xlpm.r, TRIM(C1362),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63" spans="1:8" x14ac:dyDescent="0.25">
      <c r="A1363">
        <v>2023</v>
      </c>
      <c r="B1363" t="s">
        <v>10</v>
      </c>
      <c r="C1363" t="s">
        <v>8</v>
      </c>
      <c r="E1363">
        <v>33000</v>
      </c>
      <c r="F1363" t="s">
        <v>78</v>
      </c>
      <c r="G1363" t="str" cm="1">
        <f t="array" ref="G1363">_xlfn.LET(
    _xlpm.r, TRIM(B1363),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63" t="str" cm="1">
        <f t="array" ref="H1363">_xlfn.LET(
     _xlpm.r, TRIM(C1363),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64" spans="1:8" x14ac:dyDescent="0.25">
      <c r="A1364">
        <v>2023</v>
      </c>
      <c r="B1364" t="s">
        <v>10</v>
      </c>
      <c r="C1364" t="s">
        <v>8</v>
      </c>
      <c r="E1364">
        <v>45000</v>
      </c>
      <c r="F1364" t="s">
        <v>78</v>
      </c>
      <c r="G1364" t="str" cm="1">
        <f t="array" ref="G1364">_xlfn.LET(
    _xlpm.r, TRIM(B1364),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64" t="str" cm="1">
        <f t="array" ref="H1364">_xlfn.LET(
     _xlpm.r, TRIM(C1364),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65" spans="1:8" x14ac:dyDescent="0.25">
      <c r="A1365">
        <v>2023</v>
      </c>
      <c r="B1365" t="s">
        <v>10</v>
      </c>
      <c r="C1365" t="s">
        <v>8</v>
      </c>
      <c r="E1365">
        <v>15000</v>
      </c>
      <c r="F1365" t="s">
        <v>78</v>
      </c>
      <c r="G1365" t="str" cm="1">
        <f t="array" ref="G1365">_xlfn.LET(
    _xlpm.r, TRIM(B1365),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65" t="str" cm="1">
        <f t="array" ref="H1365">_xlfn.LET(
     _xlpm.r, TRIM(C1365),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66" spans="1:8" x14ac:dyDescent="0.25">
      <c r="A1366">
        <v>2023</v>
      </c>
      <c r="B1366" t="s">
        <v>10</v>
      </c>
      <c r="C1366" t="s">
        <v>8</v>
      </c>
      <c r="E1366">
        <v>15000</v>
      </c>
      <c r="F1366" t="s">
        <v>78</v>
      </c>
      <c r="G1366" t="str" cm="1">
        <f t="array" ref="G1366">_xlfn.LET(
    _xlpm.r, TRIM(B1366),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66" t="str" cm="1">
        <f t="array" ref="H1366">_xlfn.LET(
     _xlpm.r, TRIM(C1366),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67" spans="1:8" x14ac:dyDescent="0.25">
      <c r="A1367">
        <v>2023</v>
      </c>
      <c r="B1367" t="s">
        <v>10</v>
      </c>
      <c r="C1367" t="s">
        <v>8</v>
      </c>
      <c r="E1367">
        <v>35000</v>
      </c>
      <c r="F1367" t="s">
        <v>78</v>
      </c>
      <c r="G1367" t="str" cm="1">
        <f t="array" ref="G1367">_xlfn.LET(
    _xlpm.r, TRIM(B1367),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67" t="str" cm="1">
        <f t="array" ref="H1367">_xlfn.LET(
     _xlpm.r, TRIM(C1367),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68" spans="1:8" x14ac:dyDescent="0.25">
      <c r="A1368">
        <v>2023</v>
      </c>
      <c r="B1368" t="s">
        <v>10</v>
      </c>
      <c r="C1368" t="s">
        <v>8</v>
      </c>
      <c r="E1368">
        <v>40000</v>
      </c>
      <c r="F1368" t="s">
        <v>78</v>
      </c>
      <c r="G1368" t="str" cm="1">
        <f t="array" ref="G1368">_xlfn.LET(
    _xlpm.r, TRIM(B1368),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68" t="str" cm="1">
        <f t="array" ref="H1368">_xlfn.LET(
     _xlpm.r, TRIM(C1368),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69" spans="1:8" x14ac:dyDescent="0.25">
      <c r="A1369">
        <v>2023</v>
      </c>
      <c r="B1369" t="s">
        <v>10</v>
      </c>
      <c r="C1369" t="s">
        <v>8</v>
      </c>
      <c r="E1369">
        <v>14000</v>
      </c>
      <c r="F1369" t="s">
        <v>78</v>
      </c>
      <c r="G1369" t="str" cm="1">
        <f t="array" ref="G1369">_xlfn.LET(
    _xlpm.r, TRIM(B1369),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69" t="str" cm="1">
        <f t="array" ref="H1369">_xlfn.LET(
     _xlpm.r, TRIM(C1369),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70" spans="1:8" x14ac:dyDescent="0.25">
      <c r="A1370">
        <v>2023</v>
      </c>
      <c r="B1370" t="s">
        <v>10</v>
      </c>
      <c r="C1370" t="s">
        <v>8</v>
      </c>
      <c r="E1370">
        <v>15000</v>
      </c>
      <c r="F1370" t="s">
        <v>78</v>
      </c>
      <c r="G1370" t="str" cm="1">
        <f t="array" ref="G1370">_xlfn.LET(
    _xlpm.r, TRIM(B1370),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70" t="str" cm="1">
        <f t="array" ref="H1370">_xlfn.LET(
     _xlpm.r, TRIM(C1370),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71" spans="1:8" x14ac:dyDescent="0.25">
      <c r="A1371">
        <v>2023</v>
      </c>
      <c r="B1371" t="s">
        <v>10</v>
      </c>
      <c r="C1371" t="s">
        <v>8</v>
      </c>
      <c r="E1371">
        <v>10000</v>
      </c>
      <c r="F1371" t="s">
        <v>78</v>
      </c>
      <c r="G1371" t="str" cm="1">
        <f t="array" ref="G1371">_xlfn.LET(
    _xlpm.r, TRIM(B1371),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71" t="str" cm="1">
        <f t="array" ref="H1371">_xlfn.LET(
     _xlpm.r, TRIM(C1371),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72" spans="1:8" x14ac:dyDescent="0.25">
      <c r="A1372">
        <v>2023</v>
      </c>
      <c r="B1372" t="s">
        <v>10</v>
      </c>
      <c r="C1372" t="s">
        <v>8</v>
      </c>
      <c r="E1372">
        <v>35700</v>
      </c>
      <c r="F1372" t="s">
        <v>78</v>
      </c>
      <c r="G1372" t="str" cm="1">
        <f t="array" ref="G1372">_xlfn.LET(
    _xlpm.r, TRIM(B1372),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72" t="str" cm="1">
        <f t="array" ref="H1372">_xlfn.LET(
     _xlpm.r, TRIM(C1372),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73" spans="1:8" x14ac:dyDescent="0.25">
      <c r="A1373">
        <v>2023</v>
      </c>
      <c r="B1373" t="s">
        <v>10</v>
      </c>
      <c r="C1373" t="s">
        <v>8</v>
      </c>
      <c r="E1373">
        <v>10000</v>
      </c>
      <c r="F1373" t="s">
        <v>78</v>
      </c>
      <c r="G1373" t="str" cm="1">
        <f t="array" ref="G1373">_xlfn.LET(
    _xlpm.r, TRIM(B1373),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73" t="str" cm="1">
        <f t="array" ref="H1373">_xlfn.LET(
     _xlpm.r, TRIM(C1373),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74" spans="1:8" x14ac:dyDescent="0.25">
      <c r="A1374">
        <v>2023</v>
      </c>
      <c r="B1374" t="s">
        <v>10</v>
      </c>
      <c r="C1374" t="s">
        <v>8</v>
      </c>
      <c r="E1374">
        <v>20000</v>
      </c>
      <c r="F1374" t="s">
        <v>78</v>
      </c>
      <c r="G1374" t="str" cm="1">
        <f t="array" ref="G1374">_xlfn.LET(
    _xlpm.r, TRIM(B1374),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74" t="str" cm="1">
        <f t="array" ref="H1374">_xlfn.LET(
     _xlpm.r, TRIM(C1374),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75" spans="1:8" x14ac:dyDescent="0.25">
      <c r="A1375">
        <v>2023</v>
      </c>
      <c r="B1375" t="s">
        <v>10</v>
      </c>
      <c r="C1375" t="s">
        <v>8</v>
      </c>
      <c r="E1375">
        <v>55000</v>
      </c>
      <c r="F1375" t="s">
        <v>78</v>
      </c>
      <c r="G1375" t="str" cm="1">
        <f t="array" ref="G1375">_xlfn.LET(
    _xlpm.r, TRIM(B1375),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75" t="str" cm="1">
        <f t="array" ref="H1375">_xlfn.LET(
     _xlpm.r, TRIM(C1375),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76" spans="1:8" x14ac:dyDescent="0.25">
      <c r="A1376">
        <v>2023</v>
      </c>
      <c r="B1376" t="s">
        <v>10</v>
      </c>
      <c r="C1376" t="s">
        <v>8</v>
      </c>
      <c r="E1376">
        <v>20000</v>
      </c>
      <c r="F1376" t="s">
        <v>78</v>
      </c>
      <c r="G1376" t="str" cm="1">
        <f t="array" ref="G1376">_xlfn.LET(
    _xlpm.r, TRIM(B1376),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76" t="str" cm="1">
        <f t="array" ref="H1376">_xlfn.LET(
     _xlpm.r, TRIM(C1376),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77" spans="1:8" x14ac:dyDescent="0.25">
      <c r="A1377">
        <v>2023</v>
      </c>
      <c r="B1377" t="s">
        <v>10</v>
      </c>
      <c r="C1377" t="s">
        <v>8</v>
      </c>
      <c r="E1377">
        <v>15000</v>
      </c>
      <c r="F1377" t="s">
        <v>78</v>
      </c>
      <c r="G1377" t="str" cm="1">
        <f t="array" ref="G1377">_xlfn.LET(
    _xlpm.r, TRIM(B1377),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77" t="str" cm="1">
        <f t="array" ref="H1377">_xlfn.LET(
     _xlpm.r, TRIM(C1377),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78" spans="1:8" x14ac:dyDescent="0.25">
      <c r="A1378">
        <v>2023</v>
      </c>
      <c r="B1378" t="s">
        <v>10</v>
      </c>
      <c r="C1378" t="s">
        <v>8</v>
      </c>
      <c r="E1378">
        <v>40000</v>
      </c>
      <c r="F1378" t="s">
        <v>78</v>
      </c>
      <c r="G1378" t="str" cm="1">
        <f t="array" ref="G1378">_xlfn.LET(
    _xlpm.r, TRIM(B1378),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78" t="str" cm="1">
        <f t="array" ref="H1378">_xlfn.LET(
     _xlpm.r, TRIM(C1378),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79" spans="1:8" x14ac:dyDescent="0.25">
      <c r="A1379">
        <v>2023</v>
      </c>
      <c r="B1379" t="s">
        <v>10</v>
      </c>
      <c r="C1379" t="s">
        <v>8</v>
      </c>
      <c r="E1379">
        <v>20000</v>
      </c>
      <c r="F1379" t="s">
        <v>78</v>
      </c>
      <c r="G1379" t="str" cm="1">
        <f t="array" ref="G1379">_xlfn.LET(
    _xlpm.r, TRIM(B1379),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79" t="str" cm="1">
        <f t="array" ref="H1379">_xlfn.LET(
     _xlpm.r, TRIM(C1379),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80" spans="1:8" x14ac:dyDescent="0.25">
      <c r="A1380">
        <v>2023</v>
      </c>
      <c r="B1380" t="s">
        <v>10</v>
      </c>
      <c r="C1380" t="s">
        <v>8</v>
      </c>
      <c r="E1380">
        <v>20000</v>
      </c>
      <c r="F1380" t="s">
        <v>78</v>
      </c>
      <c r="G1380" t="str" cm="1">
        <f t="array" ref="G1380">_xlfn.LET(
    _xlpm.r, TRIM(B1380),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80" t="str" cm="1">
        <f t="array" ref="H1380">_xlfn.LET(
     _xlpm.r, TRIM(C1380),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81" spans="1:8" x14ac:dyDescent="0.25">
      <c r="A1381">
        <v>2023</v>
      </c>
      <c r="B1381" t="s">
        <v>10</v>
      </c>
      <c r="C1381" t="s">
        <v>8</v>
      </c>
      <c r="E1381">
        <v>16000</v>
      </c>
      <c r="F1381" t="s">
        <v>78</v>
      </c>
      <c r="G1381" t="str" cm="1">
        <f t="array" ref="G1381">_xlfn.LET(
    _xlpm.r, TRIM(B1381),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81" t="str" cm="1">
        <f t="array" ref="H1381">_xlfn.LET(
     _xlpm.r, TRIM(C1381),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82" spans="1:8" x14ac:dyDescent="0.25">
      <c r="A1382">
        <v>2023</v>
      </c>
      <c r="B1382" t="s">
        <v>10</v>
      </c>
      <c r="C1382" t="s">
        <v>8</v>
      </c>
      <c r="E1382">
        <v>25000</v>
      </c>
      <c r="F1382" t="s">
        <v>78</v>
      </c>
      <c r="G1382" t="str" cm="1">
        <f t="array" ref="G1382">_xlfn.LET(
    _xlpm.r, TRIM(B1382),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82" t="str" cm="1">
        <f t="array" ref="H1382">_xlfn.LET(
     _xlpm.r, TRIM(C1382),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83" spans="1:8" x14ac:dyDescent="0.25">
      <c r="A1383">
        <v>2023</v>
      </c>
      <c r="B1383" t="s">
        <v>10</v>
      </c>
      <c r="C1383" t="s">
        <v>8</v>
      </c>
      <c r="E1383">
        <v>20000</v>
      </c>
      <c r="F1383" t="s">
        <v>78</v>
      </c>
      <c r="G1383" t="str" cm="1">
        <f t="array" ref="G1383">_xlfn.LET(
    _xlpm.r, TRIM(B1383),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83" t="str" cm="1">
        <f t="array" ref="H1383">_xlfn.LET(
     _xlpm.r, TRIM(C1383),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84" spans="1:8" x14ac:dyDescent="0.25">
      <c r="A1384">
        <v>2023</v>
      </c>
      <c r="B1384" t="s">
        <v>10</v>
      </c>
      <c r="C1384" t="s">
        <v>8</v>
      </c>
      <c r="E1384">
        <v>80000</v>
      </c>
      <c r="F1384" t="s">
        <v>78</v>
      </c>
      <c r="G1384" t="str" cm="1">
        <f t="array" ref="G1384">_xlfn.LET(
    _xlpm.r, TRIM(B1384),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84" t="str" cm="1">
        <f t="array" ref="H1384">_xlfn.LET(
     _xlpm.r, TRIM(C1384),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85" spans="1:8" x14ac:dyDescent="0.25">
      <c r="A1385">
        <v>2023</v>
      </c>
      <c r="B1385" t="s">
        <v>10</v>
      </c>
      <c r="C1385" t="s">
        <v>8</v>
      </c>
      <c r="E1385">
        <v>20200</v>
      </c>
      <c r="F1385" t="s">
        <v>78</v>
      </c>
      <c r="G1385" t="str" cm="1">
        <f t="array" ref="G1385">_xlfn.LET(
    _xlpm.r, TRIM(B1385),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85" t="str" cm="1">
        <f t="array" ref="H1385">_xlfn.LET(
     _xlpm.r, TRIM(C1385),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86" spans="1:8" x14ac:dyDescent="0.25">
      <c r="A1386">
        <v>2023</v>
      </c>
      <c r="B1386" t="s">
        <v>10</v>
      </c>
      <c r="C1386" t="s">
        <v>8</v>
      </c>
      <c r="E1386">
        <v>18000</v>
      </c>
      <c r="F1386" t="s">
        <v>78</v>
      </c>
      <c r="G1386" t="str" cm="1">
        <f t="array" ref="G1386">_xlfn.LET(
    _xlpm.r, TRIM(B1386),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86" t="str" cm="1">
        <f t="array" ref="H1386">_xlfn.LET(
     _xlpm.r, TRIM(C1386),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87" spans="1:8" x14ac:dyDescent="0.25">
      <c r="A1387">
        <v>2023</v>
      </c>
      <c r="B1387" t="s">
        <v>10</v>
      </c>
      <c r="C1387" t="s">
        <v>8</v>
      </c>
      <c r="E1387">
        <v>50000</v>
      </c>
      <c r="F1387" t="s">
        <v>78</v>
      </c>
      <c r="G1387" t="str" cm="1">
        <f t="array" ref="G1387">_xlfn.LET(
    _xlpm.r, TRIM(B1387),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87" t="str" cm="1">
        <f t="array" ref="H1387">_xlfn.LET(
     _xlpm.r, TRIM(C1387),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88" spans="1:8" x14ac:dyDescent="0.25">
      <c r="A1388">
        <v>2023</v>
      </c>
      <c r="B1388" t="s">
        <v>10</v>
      </c>
      <c r="C1388" t="s">
        <v>8</v>
      </c>
      <c r="E1388">
        <v>15000</v>
      </c>
      <c r="F1388" t="s">
        <v>78</v>
      </c>
      <c r="G1388" t="str" cm="1">
        <f t="array" ref="G1388">_xlfn.LET(
    _xlpm.r, TRIM(B1388),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88" t="str" cm="1">
        <f t="array" ref="H1388">_xlfn.LET(
     _xlpm.r, TRIM(C1388),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89" spans="1:8" x14ac:dyDescent="0.25">
      <c r="A1389">
        <v>2023</v>
      </c>
      <c r="B1389" t="s">
        <v>10</v>
      </c>
      <c r="C1389" t="s">
        <v>8</v>
      </c>
      <c r="E1389">
        <v>10000</v>
      </c>
      <c r="F1389" t="s">
        <v>78</v>
      </c>
      <c r="G1389" t="str" cm="1">
        <f t="array" ref="G1389">_xlfn.LET(
    _xlpm.r, TRIM(B1389),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89" t="str" cm="1">
        <f t="array" ref="H1389">_xlfn.LET(
     _xlpm.r, TRIM(C1389),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90" spans="1:8" x14ac:dyDescent="0.25">
      <c r="A1390">
        <v>2023</v>
      </c>
      <c r="B1390" t="s">
        <v>10</v>
      </c>
      <c r="C1390" t="s">
        <v>8</v>
      </c>
      <c r="E1390">
        <v>30000</v>
      </c>
      <c r="F1390" t="s">
        <v>78</v>
      </c>
      <c r="G1390" t="str" cm="1">
        <f t="array" ref="G1390">_xlfn.LET(
    _xlpm.r, TRIM(B1390),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90" t="str" cm="1">
        <f t="array" ref="H1390">_xlfn.LET(
     _xlpm.r, TRIM(C1390),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91" spans="1:8" x14ac:dyDescent="0.25">
      <c r="A1391">
        <v>2023</v>
      </c>
      <c r="B1391" t="s">
        <v>10</v>
      </c>
      <c r="C1391" t="s">
        <v>8</v>
      </c>
      <c r="E1391">
        <v>20000</v>
      </c>
      <c r="F1391" t="s">
        <v>78</v>
      </c>
      <c r="G1391" t="str" cm="1">
        <f t="array" ref="G1391">_xlfn.LET(
    _xlpm.r, TRIM(B1391),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91" t="str" cm="1">
        <f t="array" ref="H1391">_xlfn.LET(
     _xlpm.r, TRIM(C1391),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92" spans="1:8" x14ac:dyDescent="0.25">
      <c r="A1392">
        <v>2023</v>
      </c>
      <c r="B1392" t="s">
        <v>10</v>
      </c>
      <c r="C1392" t="s">
        <v>8</v>
      </c>
      <c r="E1392">
        <v>30000</v>
      </c>
      <c r="F1392" t="s">
        <v>78</v>
      </c>
      <c r="G1392" t="str" cm="1">
        <f t="array" ref="G1392">_xlfn.LET(
    _xlpm.r, TRIM(B1392),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92" t="str" cm="1">
        <f t="array" ref="H1392">_xlfn.LET(
     _xlpm.r, TRIM(C1392),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93" spans="1:8" x14ac:dyDescent="0.25">
      <c r="A1393">
        <v>2023</v>
      </c>
      <c r="B1393" t="s">
        <v>10</v>
      </c>
      <c r="C1393" t="s">
        <v>8</v>
      </c>
      <c r="E1393">
        <v>20000</v>
      </c>
      <c r="F1393" t="s">
        <v>78</v>
      </c>
      <c r="G1393" t="str" cm="1">
        <f t="array" ref="G1393">_xlfn.LET(
    _xlpm.r, TRIM(B1393),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93" t="str" cm="1">
        <f t="array" ref="H1393">_xlfn.LET(
     _xlpm.r, TRIM(C1393),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94" spans="1:8" x14ac:dyDescent="0.25">
      <c r="A1394">
        <v>2023</v>
      </c>
      <c r="B1394" t="s">
        <v>10</v>
      </c>
      <c r="C1394" t="s">
        <v>8</v>
      </c>
      <c r="E1394">
        <v>40000</v>
      </c>
      <c r="F1394" t="s">
        <v>78</v>
      </c>
      <c r="G1394" t="str" cm="1">
        <f t="array" ref="G1394">_xlfn.LET(
    _xlpm.r, TRIM(B1394),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94" t="str" cm="1">
        <f t="array" ref="H1394">_xlfn.LET(
     _xlpm.r, TRIM(C1394),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95" spans="1:8" x14ac:dyDescent="0.25">
      <c r="A1395">
        <v>2023</v>
      </c>
      <c r="B1395" t="s">
        <v>10</v>
      </c>
      <c r="C1395" t="s">
        <v>8</v>
      </c>
      <c r="E1395">
        <v>35000</v>
      </c>
      <c r="F1395" t="s">
        <v>78</v>
      </c>
      <c r="G1395" t="str" cm="1">
        <f t="array" ref="G1395">_xlfn.LET(
    _xlpm.r, TRIM(B1395),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95" t="str" cm="1">
        <f t="array" ref="H1395">_xlfn.LET(
     _xlpm.r, TRIM(C1395),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96" spans="1:8" x14ac:dyDescent="0.25">
      <c r="A1396">
        <v>2023</v>
      </c>
      <c r="B1396" t="s">
        <v>10</v>
      </c>
      <c r="C1396" t="s">
        <v>8</v>
      </c>
      <c r="E1396">
        <v>10000</v>
      </c>
      <c r="F1396" t="s">
        <v>78</v>
      </c>
      <c r="G1396" t="str" cm="1">
        <f t="array" ref="G1396">_xlfn.LET(
    _xlpm.r, TRIM(B1396),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96" t="str" cm="1">
        <f t="array" ref="H1396">_xlfn.LET(
     _xlpm.r, TRIM(C1396),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97" spans="1:8" x14ac:dyDescent="0.25">
      <c r="A1397">
        <v>2023</v>
      </c>
      <c r="B1397" t="s">
        <v>10</v>
      </c>
      <c r="C1397" t="s">
        <v>8</v>
      </c>
      <c r="E1397">
        <v>20000</v>
      </c>
      <c r="F1397" t="s">
        <v>78</v>
      </c>
      <c r="G1397" t="str" cm="1">
        <f t="array" ref="G1397">_xlfn.LET(
    _xlpm.r, TRIM(B1397),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97" t="str" cm="1">
        <f t="array" ref="H1397">_xlfn.LET(
     _xlpm.r, TRIM(C1397),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98" spans="1:8" x14ac:dyDescent="0.25">
      <c r="A1398">
        <v>2023</v>
      </c>
      <c r="B1398" t="s">
        <v>10</v>
      </c>
      <c r="C1398" t="s">
        <v>8</v>
      </c>
      <c r="E1398">
        <v>40000</v>
      </c>
      <c r="F1398" t="s">
        <v>78</v>
      </c>
      <c r="G1398" t="str" cm="1">
        <f t="array" ref="G1398">_xlfn.LET(
    _xlpm.r, TRIM(B1398),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98" t="str" cm="1">
        <f t="array" ref="H1398">_xlfn.LET(
     _xlpm.r, TRIM(C1398),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399" spans="1:8" x14ac:dyDescent="0.25">
      <c r="A1399">
        <v>2023</v>
      </c>
      <c r="B1399" t="s">
        <v>10</v>
      </c>
      <c r="C1399" t="s">
        <v>8</v>
      </c>
      <c r="E1399">
        <v>15000</v>
      </c>
      <c r="F1399" t="s">
        <v>78</v>
      </c>
      <c r="G1399" t="str" cm="1">
        <f t="array" ref="G1399">_xlfn.LET(
    _xlpm.r, TRIM(B1399),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399" t="str" cm="1">
        <f t="array" ref="H1399">_xlfn.LET(
     _xlpm.r, TRIM(C1399),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00" spans="1:8" x14ac:dyDescent="0.25">
      <c r="A1400">
        <v>2023</v>
      </c>
      <c r="B1400" t="s">
        <v>10</v>
      </c>
      <c r="C1400" t="s">
        <v>8</v>
      </c>
      <c r="E1400">
        <v>30000</v>
      </c>
      <c r="F1400" t="s">
        <v>78</v>
      </c>
      <c r="G1400" t="str" cm="1">
        <f t="array" ref="G1400">_xlfn.LET(
    _xlpm.r, TRIM(B1400),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00" t="str" cm="1">
        <f t="array" ref="H1400">_xlfn.LET(
     _xlpm.r, TRIM(C1400),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01" spans="1:8" x14ac:dyDescent="0.25">
      <c r="A1401">
        <v>2023</v>
      </c>
      <c r="B1401" t="s">
        <v>10</v>
      </c>
      <c r="C1401" t="s">
        <v>8</v>
      </c>
      <c r="E1401">
        <v>20000</v>
      </c>
      <c r="F1401" t="s">
        <v>78</v>
      </c>
      <c r="G1401" t="str" cm="1">
        <f t="array" ref="G1401">_xlfn.LET(
    _xlpm.r, TRIM(B1401),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01" t="str" cm="1">
        <f t="array" ref="H1401">_xlfn.LET(
     _xlpm.r, TRIM(C1401),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02" spans="1:8" x14ac:dyDescent="0.25">
      <c r="A1402">
        <v>2023</v>
      </c>
      <c r="B1402" t="s">
        <v>10</v>
      </c>
      <c r="C1402" t="s">
        <v>8</v>
      </c>
      <c r="E1402">
        <v>125000</v>
      </c>
      <c r="F1402" t="s">
        <v>78</v>
      </c>
      <c r="G1402" t="str" cm="1">
        <f t="array" ref="G1402">_xlfn.LET(
    _xlpm.r, TRIM(B1402),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02" t="str" cm="1">
        <f t="array" ref="H1402">_xlfn.LET(
     _xlpm.r, TRIM(C1402),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03" spans="1:8" x14ac:dyDescent="0.25">
      <c r="A1403">
        <v>2023</v>
      </c>
      <c r="B1403" t="s">
        <v>10</v>
      </c>
      <c r="C1403" t="s">
        <v>8</v>
      </c>
      <c r="E1403">
        <v>13000</v>
      </c>
      <c r="F1403" t="s">
        <v>78</v>
      </c>
      <c r="G1403" t="str" cm="1">
        <f t="array" ref="G1403">_xlfn.LET(
    _xlpm.r, TRIM(B1403),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03" t="str" cm="1">
        <f t="array" ref="H1403">_xlfn.LET(
     _xlpm.r, TRIM(C1403),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04" spans="1:8" x14ac:dyDescent="0.25">
      <c r="A1404">
        <v>2023</v>
      </c>
      <c r="B1404" t="s">
        <v>10</v>
      </c>
      <c r="C1404" t="s">
        <v>8</v>
      </c>
      <c r="E1404">
        <v>21000</v>
      </c>
      <c r="F1404" t="s">
        <v>78</v>
      </c>
      <c r="G1404" t="str" cm="1">
        <f t="array" ref="G1404">_xlfn.LET(
    _xlpm.r, TRIM(B1404),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04" t="str" cm="1">
        <f t="array" ref="H1404">_xlfn.LET(
     _xlpm.r, TRIM(C1404),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05" spans="1:8" x14ac:dyDescent="0.25">
      <c r="A1405">
        <v>2023</v>
      </c>
      <c r="B1405" t="s">
        <v>10</v>
      </c>
      <c r="C1405" t="s">
        <v>8</v>
      </c>
      <c r="E1405">
        <v>30000</v>
      </c>
      <c r="F1405" t="s">
        <v>78</v>
      </c>
      <c r="G1405" t="str" cm="1">
        <f t="array" ref="G1405">_xlfn.LET(
    _xlpm.r, TRIM(B1405),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05" t="str" cm="1">
        <f t="array" ref="H1405">_xlfn.LET(
     _xlpm.r, TRIM(C1405),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06" spans="1:8" x14ac:dyDescent="0.25">
      <c r="A1406">
        <v>2023</v>
      </c>
      <c r="B1406" t="s">
        <v>10</v>
      </c>
      <c r="C1406" t="s">
        <v>8</v>
      </c>
      <c r="E1406">
        <v>15000</v>
      </c>
      <c r="F1406" t="s">
        <v>78</v>
      </c>
      <c r="G1406" t="str" cm="1">
        <f t="array" ref="G1406">_xlfn.LET(
    _xlpm.r, TRIM(B1406),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06" t="str" cm="1">
        <f t="array" ref="H1406">_xlfn.LET(
     _xlpm.r, TRIM(C1406),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07" spans="1:8" x14ac:dyDescent="0.25">
      <c r="A1407">
        <v>2023</v>
      </c>
      <c r="B1407" t="s">
        <v>10</v>
      </c>
      <c r="C1407" t="s">
        <v>8</v>
      </c>
      <c r="E1407">
        <v>20000</v>
      </c>
      <c r="F1407" t="s">
        <v>78</v>
      </c>
      <c r="G1407" t="str" cm="1">
        <f t="array" ref="G1407">_xlfn.LET(
    _xlpm.r, TRIM(B1407),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07" t="str" cm="1">
        <f t="array" ref="H1407">_xlfn.LET(
     _xlpm.r, TRIM(C1407),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08" spans="1:8" x14ac:dyDescent="0.25">
      <c r="A1408">
        <v>2023</v>
      </c>
      <c r="B1408" t="s">
        <v>10</v>
      </c>
      <c r="C1408" t="s">
        <v>8</v>
      </c>
      <c r="E1408">
        <v>20000</v>
      </c>
      <c r="F1408" t="s">
        <v>78</v>
      </c>
      <c r="G1408" t="str" cm="1">
        <f t="array" ref="G1408">_xlfn.LET(
    _xlpm.r, TRIM(B1408),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08" t="str" cm="1">
        <f t="array" ref="H1408">_xlfn.LET(
     _xlpm.r, TRIM(C1408),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09" spans="1:8" x14ac:dyDescent="0.25">
      <c r="A1409">
        <v>2023</v>
      </c>
      <c r="B1409" t="s">
        <v>10</v>
      </c>
      <c r="C1409" t="s">
        <v>8</v>
      </c>
      <c r="E1409">
        <v>40000</v>
      </c>
      <c r="F1409" t="s">
        <v>78</v>
      </c>
      <c r="G1409" t="str" cm="1">
        <f t="array" ref="G1409">_xlfn.LET(
    _xlpm.r, TRIM(B1409),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09" t="str" cm="1">
        <f t="array" ref="H1409">_xlfn.LET(
     _xlpm.r, TRIM(C1409),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10" spans="1:8" x14ac:dyDescent="0.25">
      <c r="A1410">
        <v>2023</v>
      </c>
      <c r="B1410" t="s">
        <v>10</v>
      </c>
      <c r="C1410" t="s">
        <v>8</v>
      </c>
      <c r="E1410">
        <v>30000</v>
      </c>
      <c r="F1410" t="s">
        <v>78</v>
      </c>
      <c r="G1410" t="str" cm="1">
        <f t="array" ref="G1410">_xlfn.LET(
    _xlpm.r, TRIM(B1410),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10" t="str" cm="1">
        <f t="array" ref="H1410">_xlfn.LET(
     _xlpm.r, TRIM(C1410),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11" spans="1:8" x14ac:dyDescent="0.25">
      <c r="A1411">
        <v>2023</v>
      </c>
      <c r="B1411" t="s">
        <v>10</v>
      </c>
      <c r="C1411" t="s">
        <v>8</v>
      </c>
      <c r="E1411">
        <v>20000</v>
      </c>
      <c r="F1411" t="s">
        <v>78</v>
      </c>
      <c r="G1411" t="str" cm="1">
        <f t="array" ref="G1411">_xlfn.LET(
    _xlpm.r, TRIM(B1411),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11" t="str" cm="1">
        <f t="array" ref="H1411">_xlfn.LET(
     _xlpm.r, TRIM(C1411),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12" spans="1:8" x14ac:dyDescent="0.25">
      <c r="A1412">
        <v>2023</v>
      </c>
      <c r="B1412" t="s">
        <v>10</v>
      </c>
      <c r="C1412" t="s">
        <v>8</v>
      </c>
      <c r="E1412">
        <v>10000</v>
      </c>
      <c r="F1412" t="s">
        <v>78</v>
      </c>
      <c r="G1412" t="str" cm="1">
        <f t="array" ref="G1412">_xlfn.LET(
    _xlpm.r, TRIM(B1412),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12" t="str" cm="1">
        <f t="array" ref="H1412">_xlfn.LET(
     _xlpm.r, TRIM(C1412),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13" spans="1:8" x14ac:dyDescent="0.25">
      <c r="A1413">
        <v>2023</v>
      </c>
      <c r="B1413" t="s">
        <v>10</v>
      </c>
      <c r="C1413" t="s">
        <v>8</v>
      </c>
      <c r="E1413">
        <v>30000</v>
      </c>
      <c r="F1413" t="s">
        <v>78</v>
      </c>
      <c r="G1413" t="str" cm="1">
        <f t="array" ref="G1413">_xlfn.LET(
    _xlpm.r, TRIM(B1413),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13" t="str" cm="1">
        <f t="array" ref="H1413">_xlfn.LET(
     _xlpm.r, TRIM(C1413),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14" spans="1:8" x14ac:dyDescent="0.25">
      <c r="A1414">
        <v>2023</v>
      </c>
      <c r="B1414" t="s">
        <v>10</v>
      </c>
      <c r="C1414" t="s">
        <v>8</v>
      </c>
      <c r="E1414">
        <v>15000</v>
      </c>
      <c r="F1414" t="s">
        <v>78</v>
      </c>
      <c r="G1414" t="str" cm="1">
        <f t="array" ref="G1414">_xlfn.LET(
    _xlpm.r, TRIM(B1414),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14" t="str" cm="1">
        <f t="array" ref="H1414">_xlfn.LET(
     _xlpm.r, TRIM(C1414),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15" spans="1:8" x14ac:dyDescent="0.25">
      <c r="A1415">
        <v>2023</v>
      </c>
      <c r="B1415" t="s">
        <v>10</v>
      </c>
      <c r="C1415" t="s">
        <v>8</v>
      </c>
      <c r="E1415">
        <v>6000</v>
      </c>
      <c r="F1415" t="s">
        <v>78</v>
      </c>
      <c r="G1415" t="str" cm="1">
        <f t="array" ref="G1415">_xlfn.LET(
    _xlpm.r, TRIM(B1415),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15" t="str" cm="1">
        <f t="array" ref="H1415">_xlfn.LET(
     _xlpm.r, TRIM(C1415),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16" spans="1:8" x14ac:dyDescent="0.25">
      <c r="A1416">
        <v>2023</v>
      </c>
      <c r="B1416" t="s">
        <v>10</v>
      </c>
      <c r="C1416" t="s">
        <v>8</v>
      </c>
      <c r="E1416">
        <v>40000</v>
      </c>
      <c r="F1416" t="s">
        <v>78</v>
      </c>
      <c r="G1416" t="str" cm="1">
        <f t="array" ref="G1416">_xlfn.LET(
    _xlpm.r, TRIM(B1416),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16" t="str" cm="1">
        <f t="array" ref="H1416">_xlfn.LET(
     _xlpm.r, TRIM(C1416),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17" spans="1:8" x14ac:dyDescent="0.25">
      <c r="A1417">
        <v>2023</v>
      </c>
      <c r="B1417" t="s">
        <v>10</v>
      </c>
      <c r="C1417" t="s">
        <v>8</v>
      </c>
      <c r="E1417">
        <v>25000</v>
      </c>
      <c r="F1417" t="s">
        <v>78</v>
      </c>
      <c r="G1417" t="str" cm="1">
        <f t="array" ref="G1417">_xlfn.LET(
    _xlpm.r, TRIM(B1417),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17" t="str" cm="1">
        <f t="array" ref="H1417">_xlfn.LET(
     _xlpm.r, TRIM(C1417),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18" spans="1:8" x14ac:dyDescent="0.25">
      <c r="A1418">
        <v>2023</v>
      </c>
      <c r="B1418" t="s">
        <v>10</v>
      </c>
      <c r="C1418" t="s">
        <v>8</v>
      </c>
      <c r="E1418">
        <v>55000</v>
      </c>
      <c r="F1418" t="s">
        <v>78</v>
      </c>
      <c r="G1418" t="str" cm="1">
        <f t="array" ref="G1418">_xlfn.LET(
    _xlpm.r, TRIM(B1418),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18" t="str" cm="1">
        <f t="array" ref="H1418">_xlfn.LET(
     _xlpm.r, TRIM(C1418),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19" spans="1:8" x14ac:dyDescent="0.25">
      <c r="A1419">
        <v>2023</v>
      </c>
      <c r="B1419" t="s">
        <v>10</v>
      </c>
      <c r="C1419" t="s">
        <v>8</v>
      </c>
      <c r="E1419">
        <v>30000</v>
      </c>
      <c r="F1419" t="s">
        <v>78</v>
      </c>
      <c r="G1419" t="str" cm="1">
        <f t="array" ref="G1419">_xlfn.LET(
    _xlpm.r, TRIM(B1419),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19" t="str" cm="1">
        <f t="array" ref="H1419">_xlfn.LET(
     _xlpm.r, TRIM(C1419),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20" spans="1:8" x14ac:dyDescent="0.25">
      <c r="A1420">
        <v>2023</v>
      </c>
      <c r="B1420" t="s">
        <v>10</v>
      </c>
      <c r="C1420" t="s">
        <v>8</v>
      </c>
      <c r="E1420">
        <v>5000</v>
      </c>
      <c r="F1420" t="s">
        <v>78</v>
      </c>
      <c r="G1420" t="str" cm="1">
        <f t="array" ref="G1420">_xlfn.LET(
    _xlpm.r, TRIM(B1420),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20" t="str" cm="1">
        <f t="array" ref="H1420">_xlfn.LET(
     _xlpm.r, TRIM(C1420),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21" spans="1:8" x14ac:dyDescent="0.25">
      <c r="A1421">
        <v>2023</v>
      </c>
      <c r="B1421" t="s">
        <v>10</v>
      </c>
      <c r="C1421" t="s">
        <v>8</v>
      </c>
      <c r="E1421">
        <v>20000</v>
      </c>
      <c r="F1421" t="s">
        <v>78</v>
      </c>
      <c r="G1421" t="str" cm="1">
        <f t="array" ref="G1421">_xlfn.LET(
    _xlpm.r, TRIM(B1421),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21" t="str" cm="1">
        <f t="array" ref="H1421">_xlfn.LET(
     _xlpm.r, TRIM(C1421),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22" spans="1:8" x14ac:dyDescent="0.25">
      <c r="A1422">
        <v>2023</v>
      </c>
      <c r="B1422" t="s">
        <v>10</v>
      </c>
      <c r="C1422" t="s">
        <v>8</v>
      </c>
      <c r="E1422">
        <v>27000</v>
      </c>
      <c r="F1422" t="s">
        <v>78</v>
      </c>
      <c r="G1422" t="str" cm="1">
        <f t="array" ref="G1422">_xlfn.LET(
    _xlpm.r, TRIM(B1422),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22" t="str" cm="1">
        <f t="array" ref="H1422">_xlfn.LET(
     _xlpm.r, TRIM(C1422),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23" spans="1:8" x14ac:dyDescent="0.25">
      <c r="A1423">
        <v>2023</v>
      </c>
      <c r="B1423" t="s">
        <v>10</v>
      </c>
      <c r="C1423" t="s">
        <v>8</v>
      </c>
      <c r="E1423">
        <v>25000</v>
      </c>
      <c r="F1423" t="s">
        <v>78</v>
      </c>
      <c r="G1423" t="str" cm="1">
        <f t="array" ref="G1423">_xlfn.LET(
    _xlpm.r, TRIM(B1423),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23" t="str" cm="1">
        <f t="array" ref="H1423">_xlfn.LET(
     _xlpm.r, TRIM(C1423),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24" spans="1:8" x14ac:dyDescent="0.25">
      <c r="A1424">
        <v>2023</v>
      </c>
      <c r="B1424" t="s">
        <v>10</v>
      </c>
      <c r="C1424" t="s">
        <v>8</v>
      </c>
      <c r="E1424">
        <v>40000</v>
      </c>
      <c r="F1424" t="s">
        <v>78</v>
      </c>
      <c r="G1424" t="str" cm="1">
        <f t="array" ref="G1424">_xlfn.LET(
    _xlpm.r, TRIM(B1424),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24" t="str" cm="1">
        <f t="array" ref="H1424">_xlfn.LET(
     _xlpm.r, TRIM(C1424),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25" spans="1:8" x14ac:dyDescent="0.25">
      <c r="A1425">
        <v>2023</v>
      </c>
      <c r="B1425" t="s">
        <v>10</v>
      </c>
      <c r="C1425" t="s">
        <v>8</v>
      </c>
      <c r="E1425">
        <v>40000</v>
      </c>
      <c r="F1425" t="s">
        <v>78</v>
      </c>
      <c r="G1425" t="str" cm="1">
        <f t="array" ref="G1425">_xlfn.LET(
    _xlpm.r, TRIM(B1425),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25" t="str" cm="1">
        <f t="array" ref="H1425">_xlfn.LET(
     _xlpm.r, TRIM(C1425),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26" spans="1:8" x14ac:dyDescent="0.25">
      <c r="A1426">
        <v>2023</v>
      </c>
      <c r="B1426" t="s">
        <v>10</v>
      </c>
      <c r="C1426" t="s">
        <v>8</v>
      </c>
      <c r="E1426">
        <v>10000</v>
      </c>
      <c r="F1426" t="s">
        <v>78</v>
      </c>
      <c r="G1426" t="str" cm="1">
        <f t="array" ref="G1426">_xlfn.LET(
    _xlpm.r, TRIM(B1426),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26" t="str" cm="1">
        <f t="array" ref="H1426">_xlfn.LET(
     _xlpm.r, TRIM(C1426),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27" spans="1:8" x14ac:dyDescent="0.25">
      <c r="A1427">
        <v>2023</v>
      </c>
      <c r="B1427" t="s">
        <v>10</v>
      </c>
      <c r="C1427" t="s">
        <v>8</v>
      </c>
      <c r="E1427">
        <v>350000</v>
      </c>
      <c r="F1427" t="s">
        <v>78</v>
      </c>
      <c r="G1427" t="str" cm="1">
        <f t="array" ref="G1427">_xlfn.LET(
    _xlpm.r, TRIM(B1427),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27" t="str" cm="1">
        <f t="array" ref="H1427">_xlfn.LET(
     _xlpm.r, TRIM(C1427),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28" spans="1:8" x14ac:dyDescent="0.25">
      <c r="A1428">
        <v>2023</v>
      </c>
      <c r="B1428" t="s">
        <v>10</v>
      </c>
      <c r="C1428" t="s">
        <v>8</v>
      </c>
      <c r="E1428">
        <v>34600</v>
      </c>
      <c r="F1428" t="s">
        <v>78</v>
      </c>
      <c r="G1428" t="str" cm="1">
        <f t="array" ref="G1428">_xlfn.LET(
    _xlpm.r, TRIM(B1428),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28" t="str" cm="1">
        <f t="array" ref="H1428">_xlfn.LET(
     _xlpm.r, TRIM(C1428),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29" spans="1:8" x14ac:dyDescent="0.25">
      <c r="A1429">
        <v>2023</v>
      </c>
      <c r="B1429" t="s">
        <v>10</v>
      </c>
      <c r="C1429" t="s">
        <v>8</v>
      </c>
      <c r="E1429">
        <v>300000</v>
      </c>
      <c r="F1429" t="s">
        <v>78</v>
      </c>
      <c r="G1429" t="str" cm="1">
        <f t="array" ref="G1429">_xlfn.LET(
    _xlpm.r, TRIM(B1429),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29" t="str" cm="1">
        <f t="array" ref="H1429">_xlfn.LET(
     _xlpm.r, TRIM(C1429),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30" spans="1:8" x14ac:dyDescent="0.25">
      <c r="A1430">
        <v>2023</v>
      </c>
      <c r="B1430" t="s">
        <v>10</v>
      </c>
      <c r="C1430" t="s">
        <v>8</v>
      </c>
      <c r="E1430">
        <v>15000</v>
      </c>
      <c r="F1430" t="s">
        <v>78</v>
      </c>
      <c r="G1430" t="str" cm="1">
        <f t="array" ref="G1430">_xlfn.LET(
    _xlpm.r, TRIM(B1430),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30" t="str" cm="1">
        <f t="array" ref="H1430">_xlfn.LET(
     _xlpm.r, TRIM(C1430),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31" spans="1:8" x14ac:dyDescent="0.25">
      <c r="A1431">
        <v>2023</v>
      </c>
      <c r="B1431" t="s">
        <v>10</v>
      </c>
      <c r="C1431" t="s">
        <v>8</v>
      </c>
      <c r="E1431">
        <v>10000</v>
      </c>
      <c r="F1431" t="s">
        <v>78</v>
      </c>
      <c r="G1431" t="str" cm="1">
        <f t="array" ref="G1431">_xlfn.LET(
    _xlpm.r, TRIM(B1431),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31" t="str" cm="1">
        <f t="array" ref="H1431">_xlfn.LET(
     _xlpm.r, TRIM(C1431),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32" spans="1:8" x14ac:dyDescent="0.25">
      <c r="A1432">
        <v>2023</v>
      </c>
      <c r="B1432" t="s">
        <v>10</v>
      </c>
      <c r="C1432" t="s">
        <v>8</v>
      </c>
      <c r="E1432">
        <v>15000</v>
      </c>
      <c r="F1432" t="s">
        <v>78</v>
      </c>
      <c r="G1432" t="str" cm="1">
        <f t="array" ref="G1432">_xlfn.LET(
    _xlpm.r, TRIM(B1432),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32" t="str" cm="1">
        <f t="array" ref="H1432">_xlfn.LET(
     _xlpm.r, TRIM(C1432),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33" spans="1:8" x14ac:dyDescent="0.25">
      <c r="A1433">
        <v>2023</v>
      </c>
      <c r="B1433" t="s">
        <v>10</v>
      </c>
      <c r="C1433" t="s">
        <v>8</v>
      </c>
      <c r="E1433">
        <v>30000</v>
      </c>
      <c r="F1433" t="s">
        <v>78</v>
      </c>
      <c r="G1433" t="str" cm="1">
        <f t="array" ref="G1433">_xlfn.LET(
    _xlpm.r, TRIM(B1433),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33" t="str" cm="1">
        <f t="array" ref="H1433">_xlfn.LET(
     _xlpm.r, TRIM(C1433),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34" spans="1:8" x14ac:dyDescent="0.25">
      <c r="A1434">
        <v>2023</v>
      </c>
      <c r="B1434" t="s">
        <v>10</v>
      </c>
      <c r="C1434" t="s">
        <v>8</v>
      </c>
      <c r="E1434">
        <v>20000</v>
      </c>
      <c r="F1434" t="s">
        <v>78</v>
      </c>
      <c r="G1434" t="str" cm="1">
        <f t="array" ref="G1434">_xlfn.LET(
    _xlpm.r, TRIM(B1434),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34" t="str" cm="1">
        <f t="array" ref="H1434">_xlfn.LET(
     _xlpm.r, TRIM(C1434),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35" spans="1:8" x14ac:dyDescent="0.25">
      <c r="A1435">
        <v>2023</v>
      </c>
      <c r="B1435" t="s">
        <v>10</v>
      </c>
      <c r="C1435" t="s">
        <v>8</v>
      </c>
      <c r="E1435">
        <v>80000</v>
      </c>
      <c r="F1435" t="s">
        <v>78</v>
      </c>
      <c r="G1435" t="str" cm="1">
        <f t="array" ref="G1435">_xlfn.LET(
    _xlpm.r, TRIM(B1435),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35" t="str" cm="1">
        <f t="array" ref="H1435">_xlfn.LET(
     _xlpm.r, TRIM(C1435),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36" spans="1:8" x14ac:dyDescent="0.25">
      <c r="A1436">
        <v>2023</v>
      </c>
      <c r="B1436" t="s">
        <v>10</v>
      </c>
      <c r="C1436" t="s">
        <v>8</v>
      </c>
      <c r="E1436">
        <v>30000</v>
      </c>
      <c r="F1436" t="s">
        <v>78</v>
      </c>
      <c r="G1436" t="str" cm="1">
        <f t="array" ref="G1436">_xlfn.LET(
    _xlpm.r, TRIM(B1436),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36" t="str" cm="1">
        <f t="array" ref="H1436">_xlfn.LET(
     _xlpm.r, TRIM(C1436),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37" spans="1:8" x14ac:dyDescent="0.25">
      <c r="A1437">
        <v>2023</v>
      </c>
      <c r="B1437" t="s">
        <v>10</v>
      </c>
      <c r="C1437" t="s">
        <v>8</v>
      </c>
      <c r="E1437">
        <v>28000</v>
      </c>
      <c r="F1437" t="s">
        <v>78</v>
      </c>
      <c r="G1437" t="str" cm="1">
        <f t="array" ref="G1437">_xlfn.LET(
    _xlpm.r, TRIM(B1437),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37" t="str" cm="1">
        <f t="array" ref="H1437">_xlfn.LET(
     _xlpm.r, TRIM(C1437),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38" spans="1:8" x14ac:dyDescent="0.25">
      <c r="A1438">
        <v>2023</v>
      </c>
      <c r="B1438" t="s">
        <v>10</v>
      </c>
      <c r="C1438" t="s">
        <v>8</v>
      </c>
      <c r="E1438">
        <v>10000</v>
      </c>
      <c r="F1438" t="s">
        <v>78</v>
      </c>
      <c r="G1438" t="str" cm="1">
        <f t="array" ref="G1438">_xlfn.LET(
    _xlpm.r, TRIM(B1438),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38" t="str" cm="1">
        <f t="array" ref="H1438">_xlfn.LET(
     _xlpm.r, TRIM(C1438),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39" spans="1:8" x14ac:dyDescent="0.25">
      <c r="A1439">
        <v>2023</v>
      </c>
      <c r="B1439" t="s">
        <v>10</v>
      </c>
      <c r="C1439" t="s">
        <v>8</v>
      </c>
      <c r="E1439">
        <v>20000</v>
      </c>
      <c r="F1439" t="s">
        <v>78</v>
      </c>
      <c r="G1439" t="str" cm="1">
        <f t="array" ref="G1439">_xlfn.LET(
    _xlpm.r, TRIM(B1439),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39" t="str" cm="1">
        <f t="array" ref="H1439">_xlfn.LET(
     _xlpm.r, TRIM(C1439),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40" spans="1:8" x14ac:dyDescent="0.25">
      <c r="A1440">
        <v>2023</v>
      </c>
      <c r="B1440" t="s">
        <v>10</v>
      </c>
      <c r="C1440" t="s">
        <v>8</v>
      </c>
      <c r="E1440">
        <v>30000</v>
      </c>
      <c r="F1440" t="s">
        <v>78</v>
      </c>
      <c r="G1440" t="str" cm="1">
        <f t="array" ref="G1440">_xlfn.LET(
    _xlpm.r, TRIM(B1440),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40" t="str" cm="1">
        <f t="array" ref="H1440">_xlfn.LET(
     _xlpm.r, TRIM(C1440),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41" spans="1:8" x14ac:dyDescent="0.25">
      <c r="A1441">
        <v>2023</v>
      </c>
      <c r="B1441" t="s">
        <v>10</v>
      </c>
      <c r="C1441" t="s">
        <v>8</v>
      </c>
      <c r="E1441">
        <v>30000</v>
      </c>
      <c r="F1441" t="s">
        <v>78</v>
      </c>
      <c r="G1441" t="str" cm="1">
        <f t="array" ref="G1441">_xlfn.LET(
    _xlpm.r, TRIM(B1441),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41" t="str" cm="1">
        <f t="array" ref="H1441">_xlfn.LET(
     _xlpm.r, TRIM(C1441),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42" spans="1:8" x14ac:dyDescent="0.25">
      <c r="A1442">
        <v>2023</v>
      </c>
      <c r="B1442" t="s">
        <v>10</v>
      </c>
      <c r="C1442" t="s">
        <v>8</v>
      </c>
      <c r="E1442">
        <v>20000</v>
      </c>
      <c r="F1442" t="s">
        <v>78</v>
      </c>
      <c r="G1442" t="str" cm="1">
        <f t="array" ref="G1442">_xlfn.LET(
    _xlpm.r, TRIM(B1442),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42" t="str" cm="1">
        <f t="array" ref="H1442">_xlfn.LET(
     _xlpm.r, TRIM(C1442),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43" spans="1:8" x14ac:dyDescent="0.25">
      <c r="A1443">
        <v>2023</v>
      </c>
      <c r="B1443" t="s">
        <v>10</v>
      </c>
      <c r="C1443" t="s">
        <v>8</v>
      </c>
      <c r="E1443">
        <v>20000</v>
      </c>
      <c r="F1443" t="s">
        <v>78</v>
      </c>
      <c r="G1443" t="str" cm="1">
        <f t="array" ref="G1443">_xlfn.LET(
    _xlpm.r, TRIM(B1443),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43" t="str" cm="1">
        <f t="array" ref="H1443">_xlfn.LET(
     _xlpm.r, TRIM(C1443),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44" spans="1:8" x14ac:dyDescent="0.25">
      <c r="A1444">
        <v>2023</v>
      </c>
      <c r="B1444" t="s">
        <v>10</v>
      </c>
      <c r="C1444" t="s">
        <v>8</v>
      </c>
      <c r="E1444">
        <v>15000</v>
      </c>
      <c r="F1444" t="s">
        <v>78</v>
      </c>
      <c r="G1444" t="str" cm="1">
        <f t="array" ref="G1444">_xlfn.LET(
    _xlpm.r, TRIM(B1444),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44" t="str" cm="1">
        <f t="array" ref="H1444">_xlfn.LET(
     _xlpm.r, TRIM(C1444),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45" spans="1:8" x14ac:dyDescent="0.25">
      <c r="A1445">
        <v>2023</v>
      </c>
      <c r="B1445" t="s">
        <v>10</v>
      </c>
      <c r="C1445" t="s">
        <v>8</v>
      </c>
      <c r="E1445">
        <v>30000</v>
      </c>
      <c r="F1445" t="s">
        <v>78</v>
      </c>
      <c r="G1445" t="str" cm="1">
        <f t="array" ref="G1445">_xlfn.LET(
    _xlpm.r, TRIM(B1445),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45" t="str" cm="1">
        <f t="array" ref="H1445">_xlfn.LET(
     _xlpm.r, TRIM(C1445),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46" spans="1:8" x14ac:dyDescent="0.25">
      <c r="A1446">
        <v>2023</v>
      </c>
      <c r="B1446" t="s">
        <v>10</v>
      </c>
      <c r="C1446" t="s">
        <v>8</v>
      </c>
      <c r="E1446">
        <v>30000</v>
      </c>
      <c r="F1446" t="s">
        <v>78</v>
      </c>
      <c r="G1446" t="str" cm="1">
        <f t="array" ref="G1446">_xlfn.LET(
    _xlpm.r, TRIM(B1446),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46" t="str" cm="1">
        <f t="array" ref="H1446">_xlfn.LET(
     _xlpm.r, TRIM(C1446),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47" spans="1:8" x14ac:dyDescent="0.25">
      <c r="A1447">
        <v>2023</v>
      </c>
      <c r="B1447" t="s">
        <v>10</v>
      </c>
      <c r="C1447" t="s">
        <v>8</v>
      </c>
      <c r="E1447">
        <v>20000</v>
      </c>
      <c r="F1447" t="s">
        <v>78</v>
      </c>
      <c r="G1447" t="str" cm="1">
        <f t="array" ref="G1447">_xlfn.LET(
    _xlpm.r, TRIM(B1447),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47" t="str" cm="1">
        <f t="array" ref="H1447">_xlfn.LET(
     _xlpm.r, TRIM(C1447),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48" spans="1:8" x14ac:dyDescent="0.25">
      <c r="A1448">
        <v>2023</v>
      </c>
      <c r="B1448" t="s">
        <v>10</v>
      </c>
      <c r="C1448" t="s">
        <v>8</v>
      </c>
      <c r="E1448">
        <v>15000</v>
      </c>
      <c r="F1448" t="s">
        <v>78</v>
      </c>
      <c r="G1448" t="str" cm="1">
        <f t="array" ref="G1448">_xlfn.LET(
    _xlpm.r, TRIM(B1448),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48" t="str" cm="1">
        <f t="array" ref="H1448">_xlfn.LET(
     _xlpm.r, TRIM(C1448),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49" spans="1:8" x14ac:dyDescent="0.25">
      <c r="A1449">
        <v>2023</v>
      </c>
      <c r="B1449" t="s">
        <v>10</v>
      </c>
      <c r="C1449" t="s">
        <v>8</v>
      </c>
      <c r="E1449">
        <v>35000</v>
      </c>
      <c r="F1449" t="s">
        <v>78</v>
      </c>
      <c r="G1449" t="str" cm="1">
        <f t="array" ref="G1449">_xlfn.LET(
    _xlpm.r, TRIM(B1449),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49" t="str" cm="1">
        <f t="array" ref="H1449">_xlfn.LET(
     _xlpm.r, TRIM(C1449),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50" spans="1:8" x14ac:dyDescent="0.25">
      <c r="A1450">
        <v>2023</v>
      </c>
      <c r="B1450" t="s">
        <v>10</v>
      </c>
      <c r="C1450" t="s">
        <v>8</v>
      </c>
      <c r="E1450">
        <v>20000</v>
      </c>
      <c r="F1450" t="s">
        <v>78</v>
      </c>
      <c r="G1450" t="str" cm="1">
        <f t="array" ref="G1450">_xlfn.LET(
    _xlpm.r, TRIM(B1450),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50" t="str" cm="1">
        <f t="array" ref="H1450">_xlfn.LET(
     _xlpm.r, TRIM(C1450),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51" spans="1:8" x14ac:dyDescent="0.25">
      <c r="A1451">
        <v>2023</v>
      </c>
      <c r="B1451" t="s">
        <v>10</v>
      </c>
      <c r="C1451" t="s">
        <v>8</v>
      </c>
      <c r="E1451">
        <v>15000</v>
      </c>
      <c r="F1451" t="s">
        <v>78</v>
      </c>
      <c r="G1451" t="str" cm="1">
        <f t="array" ref="G1451">_xlfn.LET(
    _xlpm.r, TRIM(B1451),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51" t="str" cm="1">
        <f t="array" ref="H1451">_xlfn.LET(
     _xlpm.r, TRIM(C1451),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52" spans="1:8" x14ac:dyDescent="0.25">
      <c r="A1452">
        <v>2023</v>
      </c>
      <c r="B1452" t="s">
        <v>10</v>
      </c>
      <c r="C1452" t="s">
        <v>8</v>
      </c>
      <c r="E1452">
        <v>28000</v>
      </c>
      <c r="F1452" t="s">
        <v>78</v>
      </c>
      <c r="G1452" t="str" cm="1">
        <f t="array" ref="G1452">_xlfn.LET(
    _xlpm.r, TRIM(B1452),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52" t="str" cm="1">
        <f t="array" ref="H1452">_xlfn.LET(
     _xlpm.r, TRIM(C1452),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53" spans="1:8" x14ac:dyDescent="0.25">
      <c r="A1453">
        <v>2023</v>
      </c>
      <c r="B1453" t="s">
        <v>10</v>
      </c>
      <c r="C1453" t="s">
        <v>8</v>
      </c>
      <c r="E1453">
        <v>30000</v>
      </c>
      <c r="F1453" t="s">
        <v>78</v>
      </c>
      <c r="G1453" t="str" cm="1">
        <f t="array" ref="G1453">_xlfn.LET(
    _xlpm.r, TRIM(B1453),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53" t="str" cm="1">
        <f t="array" ref="H1453">_xlfn.LET(
     _xlpm.r, TRIM(C1453),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54" spans="1:8" x14ac:dyDescent="0.25">
      <c r="A1454">
        <v>2023</v>
      </c>
      <c r="B1454" t="s">
        <v>10</v>
      </c>
      <c r="C1454" t="s">
        <v>8</v>
      </c>
      <c r="E1454">
        <v>30000</v>
      </c>
      <c r="F1454" t="s">
        <v>78</v>
      </c>
      <c r="G1454" t="str" cm="1">
        <f t="array" ref="G1454">_xlfn.LET(
    _xlpm.r, TRIM(B1454),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54" t="str" cm="1">
        <f t="array" ref="H1454">_xlfn.LET(
     _xlpm.r, TRIM(C1454),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55" spans="1:8" x14ac:dyDescent="0.25">
      <c r="A1455">
        <v>2023</v>
      </c>
      <c r="B1455" t="s">
        <v>10</v>
      </c>
      <c r="C1455" t="s">
        <v>8</v>
      </c>
      <c r="E1455">
        <v>35000</v>
      </c>
      <c r="F1455" t="s">
        <v>78</v>
      </c>
      <c r="G1455" t="str" cm="1">
        <f t="array" ref="G1455">_xlfn.LET(
    _xlpm.r, TRIM(B1455),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55" t="str" cm="1">
        <f t="array" ref="H1455">_xlfn.LET(
     _xlpm.r, TRIM(C1455),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56" spans="1:8" x14ac:dyDescent="0.25">
      <c r="A1456">
        <v>2023</v>
      </c>
      <c r="B1456" t="s">
        <v>10</v>
      </c>
      <c r="C1456" t="s">
        <v>8</v>
      </c>
      <c r="E1456">
        <v>20000</v>
      </c>
      <c r="F1456" t="s">
        <v>78</v>
      </c>
      <c r="G1456" t="str" cm="1">
        <f t="array" ref="G1456">_xlfn.LET(
    _xlpm.r, TRIM(B1456),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56" t="str" cm="1">
        <f t="array" ref="H1456">_xlfn.LET(
     _xlpm.r, TRIM(C1456),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57" spans="1:8" x14ac:dyDescent="0.25">
      <c r="A1457">
        <v>2023</v>
      </c>
      <c r="B1457" t="s">
        <v>10</v>
      </c>
      <c r="C1457" t="s">
        <v>8</v>
      </c>
      <c r="E1457">
        <v>15000</v>
      </c>
      <c r="F1457" t="s">
        <v>78</v>
      </c>
      <c r="G1457" t="str" cm="1">
        <f t="array" ref="G1457">_xlfn.LET(
    _xlpm.r, TRIM(B1457),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57" t="str" cm="1">
        <f t="array" ref="H1457">_xlfn.LET(
     _xlpm.r, TRIM(C1457),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58" spans="1:8" x14ac:dyDescent="0.25">
      <c r="A1458">
        <v>2023</v>
      </c>
      <c r="B1458" t="s">
        <v>10</v>
      </c>
      <c r="C1458" t="s">
        <v>8</v>
      </c>
      <c r="E1458">
        <v>25000</v>
      </c>
      <c r="F1458" t="s">
        <v>78</v>
      </c>
      <c r="G1458" t="str" cm="1">
        <f t="array" ref="G1458">_xlfn.LET(
    _xlpm.r, TRIM(B1458),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58" t="str" cm="1">
        <f t="array" ref="H1458">_xlfn.LET(
     _xlpm.r, TRIM(C1458),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59" spans="1:8" x14ac:dyDescent="0.25">
      <c r="A1459">
        <v>2023</v>
      </c>
      <c r="B1459" t="s">
        <v>10</v>
      </c>
      <c r="C1459" t="s">
        <v>8</v>
      </c>
      <c r="E1459">
        <v>35000</v>
      </c>
      <c r="F1459" t="s">
        <v>78</v>
      </c>
      <c r="G1459" t="str" cm="1">
        <f t="array" ref="G1459">_xlfn.LET(
    _xlpm.r, TRIM(B1459),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59" t="str" cm="1">
        <f t="array" ref="H1459">_xlfn.LET(
     _xlpm.r, TRIM(C1459),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60" spans="1:8" x14ac:dyDescent="0.25">
      <c r="A1460">
        <v>2023</v>
      </c>
      <c r="B1460" t="s">
        <v>10</v>
      </c>
      <c r="C1460" t="s">
        <v>8</v>
      </c>
      <c r="E1460">
        <v>20000</v>
      </c>
      <c r="F1460" t="s">
        <v>78</v>
      </c>
      <c r="G1460" t="str" cm="1">
        <f t="array" ref="G1460">_xlfn.LET(
    _xlpm.r, TRIM(B1460),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60" t="str" cm="1">
        <f t="array" ref="H1460">_xlfn.LET(
     _xlpm.r, TRIM(C1460),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61" spans="1:8" x14ac:dyDescent="0.25">
      <c r="A1461">
        <v>2023</v>
      </c>
      <c r="B1461" t="s">
        <v>10</v>
      </c>
      <c r="C1461" t="s">
        <v>8</v>
      </c>
      <c r="E1461">
        <v>25000</v>
      </c>
      <c r="F1461" t="s">
        <v>78</v>
      </c>
      <c r="G1461" t="str" cm="1">
        <f t="array" ref="G1461">_xlfn.LET(
    _xlpm.r, TRIM(B1461),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61" t="str" cm="1">
        <f t="array" ref="H1461">_xlfn.LET(
     _xlpm.r, TRIM(C1461),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62" spans="1:8" x14ac:dyDescent="0.25">
      <c r="A1462">
        <v>2023</v>
      </c>
      <c r="B1462" t="s">
        <v>10</v>
      </c>
      <c r="C1462" t="s">
        <v>8</v>
      </c>
      <c r="E1462">
        <v>20000</v>
      </c>
      <c r="F1462" t="s">
        <v>78</v>
      </c>
      <c r="G1462" t="str" cm="1">
        <f t="array" ref="G1462">_xlfn.LET(
    _xlpm.r, TRIM(B1462),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62" t="str" cm="1">
        <f t="array" ref="H1462">_xlfn.LET(
     _xlpm.r, TRIM(C1462),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63" spans="1:8" x14ac:dyDescent="0.25">
      <c r="A1463">
        <v>2023</v>
      </c>
      <c r="B1463" t="s">
        <v>10</v>
      </c>
      <c r="C1463" t="s">
        <v>8</v>
      </c>
      <c r="E1463">
        <v>20000</v>
      </c>
      <c r="F1463" t="s">
        <v>78</v>
      </c>
      <c r="G1463" t="str" cm="1">
        <f t="array" ref="G1463">_xlfn.LET(
    _xlpm.r, TRIM(B1463),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63" t="str" cm="1">
        <f t="array" ref="H1463">_xlfn.LET(
     _xlpm.r, TRIM(C1463),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64" spans="1:8" x14ac:dyDescent="0.25">
      <c r="A1464">
        <v>2023</v>
      </c>
      <c r="B1464" t="s">
        <v>10</v>
      </c>
      <c r="C1464" t="s">
        <v>8</v>
      </c>
      <c r="E1464">
        <v>21000</v>
      </c>
      <c r="F1464" t="s">
        <v>78</v>
      </c>
      <c r="G1464" t="str" cm="1">
        <f t="array" ref="G1464">_xlfn.LET(
    _xlpm.r, TRIM(B1464),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64" t="str" cm="1">
        <f t="array" ref="H1464">_xlfn.LET(
     _xlpm.r, TRIM(C1464),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65" spans="1:8" x14ac:dyDescent="0.25">
      <c r="A1465">
        <v>2023</v>
      </c>
      <c r="B1465" t="s">
        <v>10</v>
      </c>
      <c r="C1465" t="s">
        <v>8</v>
      </c>
      <c r="E1465">
        <v>20000</v>
      </c>
      <c r="F1465" t="s">
        <v>78</v>
      </c>
      <c r="G1465" t="str" cm="1">
        <f t="array" ref="G1465">_xlfn.LET(
    _xlpm.r, TRIM(B1465),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65" t="str" cm="1">
        <f t="array" ref="H1465">_xlfn.LET(
     _xlpm.r, TRIM(C1465),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66" spans="1:8" x14ac:dyDescent="0.25">
      <c r="A1466">
        <v>2023</v>
      </c>
      <c r="B1466" t="s">
        <v>10</v>
      </c>
      <c r="C1466" t="s">
        <v>8</v>
      </c>
      <c r="E1466">
        <v>15000</v>
      </c>
      <c r="F1466" t="s">
        <v>78</v>
      </c>
      <c r="G1466" t="str" cm="1">
        <f t="array" ref="G1466">_xlfn.LET(
    _xlpm.r, TRIM(B1466),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66" t="str" cm="1">
        <f t="array" ref="H1466">_xlfn.LET(
     _xlpm.r, TRIM(C1466),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67" spans="1:8" x14ac:dyDescent="0.25">
      <c r="A1467">
        <v>2023</v>
      </c>
      <c r="B1467" t="s">
        <v>10</v>
      </c>
      <c r="C1467" t="s">
        <v>8</v>
      </c>
      <c r="E1467">
        <v>20000</v>
      </c>
      <c r="F1467" t="s">
        <v>78</v>
      </c>
      <c r="G1467" t="str" cm="1">
        <f t="array" ref="G1467">_xlfn.LET(
    _xlpm.r, TRIM(B1467),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67" t="str" cm="1">
        <f t="array" ref="H1467">_xlfn.LET(
     _xlpm.r, TRIM(C1467),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68" spans="1:8" x14ac:dyDescent="0.25">
      <c r="A1468">
        <v>2023</v>
      </c>
      <c r="B1468" t="s">
        <v>10</v>
      </c>
      <c r="C1468" t="s">
        <v>8</v>
      </c>
      <c r="E1468">
        <v>15000</v>
      </c>
      <c r="F1468" t="s">
        <v>78</v>
      </c>
      <c r="G1468" t="str" cm="1">
        <f t="array" ref="G1468">_xlfn.LET(
    _xlpm.r, TRIM(B1468),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68" t="str" cm="1">
        <f t="array" ref="H1468">_xlfn.LET(
     _xlpm.r, TRIM(C1468),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69" spans="1:8" x14ac:dyDescent="0.25">
      <c r="A1469">
        <v>2023</v>
      </c>
      <c r="B1469" t="s">
        <v>10</v>
      </c>
      <c r="C1469" t="s">
        <v>8</v>
      </c>
      <c r="E1469">
        <v>20000</v>
      </c>
      <c r="F1469" t="s">
        <v>78</v>
      </c>
      <c r="G1469" t="str" cm="1">
        <f t="array" ref="G1469">_xlfn.LET(
    _xlpm.r, TRIM(B1469),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69" t="str" cm="1">
        <f t="array" ref="H1469">_xlfn.LET(
     _xlpm.r, TRIM(C1469),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70" spans="1:8" x14ac:dyDescent="0.25">
      <c r="A1470">
        <v>2023</v>
      </c>
      <c r="B1470" t="s">
        <v>10</v>
      </c>
      <c r="C1470" t="s">
        <v>8</v>
      </c>
      <c r="E1470">
        <v>15000</v>
      </c>
      <c r="F1470" t="s">
        <v>78</v>
      </c>
      <c r="G1470" t="str" cm="1">
        <f t="array" ref="G1470">_xlfn.LET(
    _xlpm.r, TRIM(B1470),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70" t="str" cm="1">
        <f t="array" ref="H1470">_xlfn.LET(
     _xlpm.r, TRIM(C1470),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71" spans="1:8" x14ac:dyDescent="0.25">
      <c r="A1471">
        <v>2023</v>
      </c>
      <c r="B1471" t="s">
        <v>10</v>
      </c>
      <c r="C1471" t="s">
        <v>8</v>
      </c>
      <c r="E1471">
        <v>17000</v>
      </c>
      <c r="F1471" t="s">
        <v>78</v>
      </c>
      <c r="G1471" t="str" cm="1">
        <f t="array" ref="G1471">_xlfn.LET(
    _xlpm.r, TRIM(B1471),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71" t="str" cm="1">
        <f t="array" ref="H1471">_xlfn.LET(
     _xlpm.r, TRIM(C1471),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72" spans="1:8" x14ac:dyDescent="0.25">
      <c r="A1472">
        <v>2023</v>
      </c>
      <c r="B1472" t="s">
        <v>10</v>
      </c>
      <c r="C1472" t="s">
        <v>8</v>
      </c>
      <c r="E1472">
        <v>16000</v>
      </c>
      <c r="F1472" t="s">
        <v>78</v>
      </c>
      <c r="G1472" t="str" cm="1">
        <f t="array" ref="G1472">_xlfn.LET(
    _xlpm.r, TRIM(B1472),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72" t="str" cm="1">
        <f t="array" ref="H1472">_xlfn.LET(
     _xlpm.r, TRIM(C1472),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73" spans="1:8" x14ac:dyDescent="0.25">
      <c r="A1473">
        <v>2023</v>
      </c>
      <c r="B1473" t="s">
        <v>10</v>
      </c>
      <c r="C1473" t="s">
        <v>8</v>
      </c>
      <c r="E1473">
        <v>20000</v>
      </c>
      <c r="F1473" t="s">
        <v>78</v>
      </c>
      <c r="G1473" t="str" cm="1">
        <f t="array" ref="G1473">_xlfn.LET(
    _xlpm.r, TRIM(B1473),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73" t="str" cm="1">
        <f t="array" ref="H1473">_xlfn.LET(
     _xlpm.r, TRIM(C1473),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74" spans="1:8" x14ac:dyDescent="0.25">
      <c r="A1474">
        <v>2023</v>
      </c>
      <c r="B1474" t="s">
        <v>10</v>
      </c>
      <c r="C1474" t="s">
        <v>8</v>
      </c>
      <c r="E1474">
        <v>10000</v>
      </c>
      <c r="F1474" t="s">
        <v>78</v>
      </c>
      <c r="G1474" t="str" cm="1">
        <f t="array" ref="G1474">_xlfn.LET(
    _xlpm.r, TRIM(B1474),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74" t="str" cm="1">
        <f t="array" ref="H1474">_xlfn.LET(
     _xlpm.r, TRIM(C1474),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75" spans="1:8" x14ac:dyDescent="0.25">
      <c r="A1475">
        <v>2023</v>
      </c>
      <c r="B1475" t="s">
        <v>10</v>
      </c>
      <c r="C1475" t="s">
        <v>8</v>
      </c>
      <c r="E1475">
        <v>10000</v>
      </c>
      <c r="F1475" t="s">
        <v>78</v>
      </c>
      <c r="G1475" t="str" cm="1">
        <f t="array" ref="G1475">_xlfn.LET(
    _xlpm.r, TRIM(B1475),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الخارجية والتعاون الدولي</v>
      </c>
      <c r="H1475" t="str" cm="1">
        <f t="array" ref="H1475">_xlfn.LET(
     _xlpm.r, TRIM(C1475),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76" spans="1:8" x14ac:dyDescent="0.25">
      <c r="A1476">
        <v>2023</v>
      </c>
      <c r="B1476" t="s">
        <v>11</v>
      </c>
      <c r="C1476" t="s">
        <v>5</v>
      </c>
      <c r="E1476">
        <v>2439112016</v>
      </c>
      <c r="F1476" t="s">
        <v>79</v>
      </c>
      <c r="G1476" t="str" cm="1">
        <f t="array" ref="G1476">_xlfn.LET(
    _xlpm.r, TRIM(B1476),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76" t="str" cm="1">
        <f t="array" ref="H1476">_xlfn.LET(
     _xlpm.r, TRIM(C1476),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477" spans="1:8" x14ac:dyDescent="0.25">
      <c r="A1477">
        <v>2023</v>
      </c>
      <c r="B1477" t="s">
        <v>11</v>
      </c>
      <c r="C1477" t="s">
        <v>5</v>
      </c>
      <c r="E1477">
        <v>21630204</v>
      </c>
      <c r="F1477" t="s">
        <v>79</v>
      </c>
      <c r="G1477" t="str" cm="1">
        <f t="array" ref="G1477">_xlfn.LET(
    _xlpm.r, TRIM(B1477),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77" t="str" cm="1">
        <f t="array" ref="H1477">_xlfn.LET(
     _xlpm.r, TRIM(C1477),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478" spans="1:8" x14ac:dyDescent="0.25">
      <c r="A1478">
        <v>2023</v>
      </c>
      <c r="B1478" t="s">
        <v>11</v>
      </c>
      <c r="C1478" t="s">
        <v>5</v>
      </c>
      <c r="E1478">
        <v>1343779240</v>
      </c>
      <c r="F1478" t="s">
        <v>79</v>
      </c>
      <c r="G1478" t="str" cm="1">
        <f t="array" ref="G1478">_xlfn.LET(
    _xlpm.r, TRIM(B1478),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78" t="str" cm="1">
        <f t="array" ref="H1478">_xlfn.LET(
     _xlpm.r, TRIM(C1478),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479" spans="1:8" x14ac:dyDescent="0.25">
      <c r="A1479">
        <v>2023</v>
      </c>
      <c r="B1479" t="s">
        <v>11</v>
      </c>
      <c r="C1479" t="s">
        <v>5</v>
      </c>
      <c r="E1479">
        <v>468280324</v>
      </c>
      <c r="F1479" t="s">
        <v>79</v>
      </c>
      <c r="G1479" t="str" cm="1">
        <f t="array" ref="G1479">_xlfn.LET(
    _xlpm.r, TRIM(B1479),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79" t="str" cm="1">
        <f t="array" ref="H1479">_xlfn.LET(
     _xlpm.r, TRIM(C1479),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480" spans="1:8" x14ac:dyDescent="0.25">
      <c r="A1480">
        <v>2023</v>
      </c>
      <c r="B1480" t="s">
        <v>11</v>
      </c>
      <c r="C1480" t="s">
        <v>5</v>
      </c>
      <c r="E1480">
        <v>775977204</v>
      </c>
      <c r="F1480" t="s">
        <v>79</v>
      </c>
      <c r="G1480" t="str" cm="1">
        <f t="array" ref="G1480">_xlfn.LET(
    _xlpm.r, TRIM(B1480),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80" t="str" cm="1">
        <f t="array" ref="H1480">_xlfn.LET(
     _xlpm.r, TRIM(C1480),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481" spans="1:8" x14ac:dyDescent="0.25">
      <c r="A1481">
        <v>2023</v>
      </c>
      <c r="B1481" t="s">
        <v>11</v>
      </c>
      <c r="C1481" t="s">
        <v>5</v>
      </c>
      <c r="E1481">
        <v>769539440</v>
      </c>
      <c r="F1481" t="s">
        <v>79</v>
      </c>
      <c r="G1481" t="str" cm="1">
        <f t="array" ref="G1481">_xlfn.LET(
    _xlpm.r, TRIM(B1481),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81" t="str" cm="1">
        <f t="array" ref="H1481">_xlfn.LET(
     _xlpm.r, TRIM(C1481),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482" spans="1:8" x14ac:dyDescent="0.25">
      <c r="A1482">
        <v>2023</v>
      </c>
      <c r="B1482" t="s">
        <v>11</v>
      </c>
      <c r="C1482" t="s">
        <v>5</v>
      </c>
      <c r="E1482">
        <v>390973572</v>
      </c>
      <c r="F1482" t="s">
        <v>79</v>
      </c>
      <c r="G1482" t="str" cm="1">
        <f t="array" ref="G1482">_xlfn.LET(
    _xlpm.r, TRIM(B1482),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82" t="str" cm="1">
        <f t="array" ref="H1482">_xlfn.LET(
     _xlpm.r, TRIM(C1482),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483" spans="1:8" x14ac:dyDescent="0.25">
      <c r="A1483">
        <v>2023</v>
      </c>
      <c r="B1483" t="s">
        <v>11</v>
      </c>
      <c r="C1483" t="s">
        <v>6</v>
      </c>
      <c r="E1483">
        <v>653135800</v>
      </c>
      <c r="F1483" t="s">
        <v>79</v>
      </c>
      <c r="G1483" t="str" cm="1">
        <f t="array" ref="G1483">_xlfn.LET(
    _xlpm.r, TRIM(B1483),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83" t="str" cm="1">
        <f t="array" ref="H1483">_xlfn.LET(
     _xlpm.r, TRIM(C1483),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484" spans="1:8" x14ac:dyDescent="0.25">
      <c r="A1484">
        <v>2023</v>
      </c>
      <c r="B1484" t="s">
        <v>11</v>
      </c>
      <c r="C1484" t="s">
        <v>6</v>
      </c>
      <c r="E1484">
        <v>52757000</v>
      </c>
      <c r="F1484" t="s">
        <v>79</v>
      </c>
      <c r="G1484" t="str" cm="1">
        <f t="array" ref="G1484">_xlfn.LET(
    _xlpm.r, TRIM(B1484),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84" t="str" cm="1">
        <f t="array" ref="H1484">_xlfn.LET(
     _xlpm.r, TRIM(C1484),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485" spans="1:8" x14ac:dyDescent="0.25">
      <c r="A1485">
        <v>2023</v>
      </c>
      <c r="B1485" t="s">
        <v>11</v>
      </c>
      <c r="C1485" t="s">
        <v>6</v>
      </c>
      <c r="E1485">
        <v>10000000</v>
      </c>
      <c r="F1485" t="s">
        <v>79</v>
      </c>
      <c r="G1485" t="str" cm="1">
        <f t="array" ref="G1485">_xlfn.LET(
    _xlpm.r, TRIM(B1485),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85" t="str" cm="1">
        <f t="array" ref="H1485">_xlfn.LET(
     _xlpm.r, TRIM(C1485),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486" spans="1:8" x14ac:dyDescent="0.25">
      <c r="A1486">
        <v>2023</v>
      </c>
      <c r="B1486" t="s">
        <v>11</v>
      </c>
      <c r="C1486" t="s">
        <v>6</v>
      </c>
      <c r="E1486">
        <v>356400</v>
      </c>
      <c r="F1486" t="s">
        <v>79</v>
      </c>
      <c r="G1486" t="str" cm="1">
        <f t="array" ref="G1486">_xlfn.LET(
    _xlpm.r, TRIM(B1486),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86" t="str" cm="1">
        <f t="array" ref="H1486">_xlfn.LET(
     _xlpm.r, TRIM(C1486),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487" spans="1:8" x14ac:dyDescent="0.25">
      <c r="A1487">
        <v>2023</v>
      </c>
      <c r="B1487" t="s">
        <v>11</v>
      </c>
      <c r="C1487" t="s">
        <v>6</v>
      </c>
      <c r="E1487">
        <v>800000</v>
      </c>
      <c r="F1487" t="s">
        <v>79</v>
      </c>
      <c r="G1487" t="str" cm="1">
        <f t="array" ref="G1487">_xlfn.LET(
    _xlpm.r, TRIM(B1487),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87" t="str" cm="1">
        <f t="array" ref="H1487">_xlfn.LET(
     _xlpm.r, TRIM(C1487),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488" spans="1:8" x14ac:dyDescent="0.25">
      <c r="A1488">
        <v>2023</v>
      </c>
      <c r="B1488" t="s">
        <v>11</v>
      </c>
      <c r="C1488" t="s">
        <v>6</v>
      </c>
      <c r="E1488">
        <v>888900</v>
      </c>
      <c r="F1488" t="s">
        <v>79</v>
      </c>
      <c r="G1488" t="str" cm="1">
        <f t="array" ref="G1488">_xlfn.LET(
    _xlpm.r, TRIM(B1488),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88" t="str" cm="1">
        <f t="array" ref="H1488">_xlfn.LET(
     _xlpm.r, TRIM(C1488),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489" spans="1:8" x14ac:dyDescent="0.25">
      <c r="A1489">
        <v>2023</v>
      </c>
      <c r="B1489" t="s">
        <v>11</v>
      </c>
      <c r="C1489" t="s">
        <v>6</v>
      </c>
      <c r="E1489">
        <v>2115000</v>
      </c>
      <c r="F1489" t="s">
        <v>79</v>
      </c>
      <c r="G1489" t="str" cm="1">
        <f t="array" ref="G1489">_xlfn.LET(
    _xlpm.r, TRIM(B1489),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89" t="str" cm="1">
        <f t="array" ref="H1489">_xlfn.LET(
     _xlpm.r, TRIM(C1489),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490" spans="1:8" x14ac:dyDescent="0.25">
      <c r="A1490">
        <v>2023</v>
      </c>
      <c r="B1490" t="s">
        <v>11</v>
      </c>
      <c r="C1490" t="s">
        <v>6</v>
      </c>
      <c r="E1490">
        <v>2293900</v>
      </c>
      <c r="F1490" t="s">
        <v>79</v>
      </c>
      <c r="G1490" t="str" cm="1">
        <f t="array" ref="G1490">_xlfn.LET(
    _xlpm.r, TRIM(B1490),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90" t="str" cm="1">
        <f t="array" ref="H1490">_xlfn.LET(
     _xlpm.r, TRIM(C1490),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491" spans="1:8" x14ac:dyDescent="0.25">
      <c r="A1491">
        <v>2023</v>
      </c>
      <c r="B1491" t="s">
        <v>11</v>
      </c>
      <c r="C1491" t="s">
        <v>8</v>
      </c>
      <c r="E1491">
        <v>135904800</v>
      </c>
      <c r="F1491" t="s">
        <v>79</v>
      </c>
      <c r="G1491" t="str" cm="1">
        <f t="array" ref="G1491">_xlfn.LET(
    _xlpm.r, TRIM(B1491),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91" t="str" cm="1">
        <f t="array" ref="H1491">_xlfn.LET(
     _xlpm.r, TRIM(C1491),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92" spans="1:8" x14ac:dyDescent="0.25">
      <c r="A1492">
        <v>2023</v>
      </c>
      <c r="B1492" t="s">
        <v>11</v>
      </c>
      <c r="C1492" t="s">
        <v>8</v>
      </c>
      <c r="E1492">
        <v>8000000</v>
      </c>
      <c r="F1492" t="s">
        <v>79</v>
      </c>
      <c r="G1492" t="str" cm="1">
        <f t="array" ref="G1492">_xlfn.LET(
    _xlpm.r, TRIM(B1492),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92" t="str" cm="1">
        <f t="array" ref="H1492">_xlfn.LET(
     _xlpm.r, TRIM(C1492),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93" spans="1:8" x14ac:dyDescent="0.25">
      <c r="A1493">
        <v>2023</v>
      </c>
      <c r="B1493" t="s">
        <v>11</v>
      </c>
      <c r="C1493" t="s">
        <v>8</v>
      </c>
      <c r="E1493">
        <v>1002000</v>
      </c>
      <c r="F1493" t="s">
        <v>79</v>
      </c>
      <c r="G1493" t="str" cm="1">
        <f t="array" ref="G1493">_xlfn.LET(
    _xlpm.r, TRIM(B1493),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93" t="str" cm="1">
        <f t="array" ref="H1493">_xlfn.LET(
     _xlpm.r, TRIM(C1493),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94" spans="1:8" x14ac:dyDescent="0.25">
      <c r="A1494">
        <v>2023</v>
      </c>
      <c r="B1494" t="s">
        <v>11</v>
      </c>
      <c r="C1494" t="s">
        <v>8</v>
      </c>
      <c r="E1494">
        <v>25001000</v>
      </c>
      <c r="F1494" t="s">
        <v>79</v>
      </c>
      <c r="G1494" t="str" cm="1">
        <f t="array" ref="G1494">_xlfn.LET(
    _xlpm.r, TRIM(B1494),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94" t="str" cm="1">
        <f t="array" ref="H1494">_xlfn.LET(
     _xlpm.r, TRIM(C1494),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95" spans="1:8" x14ac:dyDescent="0.25">
      <c r="A1495">
        <v>2023</v>
      </c>
      <c r="B1495" t="s">
        <v>11</v>
      </c>
      <c r="C1495" t="s">
        <v>8</v>
      </c>
      <c r="E1495">
        <v>4802000</v>
      </c>
      <c r="F1495" t="s">
        <v>79</v>
      </c>
      <c r="G1495" t="str" cm="1">
        <f t="array" ref="G1495">_xlfn.LET(
    _xlpm.r, TRIM(B1495),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95" t="str" cm="1">
        <f t="array" ref="H1495">_xlfn.LET(
     _xlpm.r, TRIM(C1495),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96" spans="1:8" x14ac:dyDescent="0.25">
      <c r="A1496">
        <v>2023</v>
      </c>
      <c r="B1496" t="s">
        <v>11</v>
      </c>
      <c r="C1496" t="s">
        <v>8</v>
      </c>
      <c r="E1496">
        <v>10003000</v>
      </c>
      <c r="F1496" t="s">
        <v>79</v>
      </c>
      <c r="G1496" t="str" cm="1">
        <f t="array" ref="G1496">_xlfn.LET(
    _xlpm.r, TRIM(B1496),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96" t="str" cm="1">
        <f t="array" ref="H1496">_xlfn.LET(
     _xlpm.r, TRIM(C1496),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97" spans="1:8" x14ac:dyDescent="0.25">
      <c r="A1497">
        <v>2023</v>
      </c>
      <c r="B1497" t="s">
        <v>11</v>
      </c>
      <c r="C1497" t="s">
        <v>8</v>
      </c>
      <c r="E1497">
        <v>47826000</v>
      </c>
      <c r="F1497" t="s">
        <v>79</v>
      </c>
      <c r="G1497" t="str" cm="1">
        <f t="array" ref="G1497">_xlfn.LET(
    _xlpm.r, TRIM(B1497),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97" t="str" cm="1">
        <f t="array" ref="H1497">_xlfn.LET(
     _xlpm.r, TRIM(C1497),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98" spans="1:8" x14ac:dyDescent="0.25">
      <c r="A1498">
        <v>2023</v>
      </c>
      <c r="B1498" t="s">
        <v>11</v>
      </c>
      <c r="C1498" t="s">
        <v>8</v>
      </c>
      <c r="E1498">
        <v>30000</v>
      </c>
      <c r="F1498" t="s">
        <v>79</v>
      </c>
      <c r="G1498" t="str" cm="1">
        <f t="array" ref="G1498">_xlfn.LET(
    _xlpm.r, TRIM(B1498),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98" t="str" cm="1">
        <f t="array" ref="H1498">_xlfn.LET(
     _xlpm.r, TRIM(C1498),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499" spans="1:8" x14ac:dyDescent="0.25">
      <c r="A1499">
        <v>2023</v>
      </c>
      <c r="B1499" t="s">
        <v>11</v>
      </c>
      <c r="C1499" t="s">
        <v>8</v>
      </c>
      <c r="E1499">
        <v>43200</v>
      </c>
      <c r="F1499" t="s">
        <v>79</v>
      </c>
      <c r="G1499" t="str" cm="1">
        <f t="array" ref="G1499">_xlfn.LET(
    _xlpm.r, TRIM(B1499),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499" t="str" cm="1">
        <f t="array" ref="H1499">_xlfn.LET(
     _xlpm.r, TRIM(C1499),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00" spans="1:8" x14ac:dyDescent="0.25">
      <c r="A1500">
        <v>2023</v>
      </c>
      <c r="B1500" t="s">
        <v>11</v>
      </c>
      <c r="C1500" t="s">
        <v>8</v>
      </c>
      <c r="E1500">
        <v>22000</v>
      </c>
      <c r="F1500" t="s">
        <v>79</v>
      </c>
      <c r="G1500" t="str" cm="1">
        <f t="array" ref="G1500">_xlfn.LET(
    _xlpm.r, TRIM(B1500),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الداخلية</v>
      </c>
      <c r="H1500" t="str" cm="1">
        <f t="array" ref="H1500">_xlfn.LET(
     _xlpm.r, TRIM(C1500),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01" spans="1:8" x14ac:dyDescent="0.25">
      <c r="A1501">
        <v>2023</v>
      </c>
      <c r="B1501" t="s">
        <v>12</v>
      </c>
      <c r="C1501" t="s">
        <v>6</v>
      </c>
      <c r="E1501">
        <v>6495704000</v>
      </c>
      <c r="F1501" t="s">
        <v>80</v>
      </c>
      <c r="G1501" t="str" cm="1">
        <f t="array" ref="G1501">_xlfn.LET(
    _xlpm.r, TRIM(B1501),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الدفاع</v>
      </c>
      <c r="H1501" t="str" cm="1">
        <f t="array" ref="H1501">_xlfn.LET(
     _xlpm.r, TRIM(C1501),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02" spans="1:8" x14ac:dyDescent="0.25">
      <c r="A1502">
        <v>2023</v>
      </c>
      <c r="B1502" t="s">
        <v>13</v>
      </c>
      <c r="C1502" t="s">
        <v>6</v>
      </c>
      <c r="E1502">
        <v>1329816000</v>
      </c>
      <c r="F1502" t="s">
        <v>81</v>
      </c>
      <c r="G1502" t="str" cm="1">
        <f t="array" ref="G1502">_xlfn.LET(
    _xlpm.r, TRIM(B1502),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جهاز الأمن</v>
      </c>
      <c r="H1502" t="str" cm="1">
        <f t="array" ref="H1502">_xlfn.LET(
     _xlpm.r, TRIM(C1502),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03" spans="1:8" x14ac:dyDescent="0.25">
      <c r="A1503">
        <v>2023</v>
      </c>
      <c r="B1503" t="s">
        <v>14</v>
      </c>
      <c r="C1503" t="s">
        <v>5</v>
      </c>
      <c r="E1503">
        <v>4399864</v>
      </c>
      <c r="F1503" t="s">
        <v>82</v>
      </c>
      <c r="G1503" t="str" cm="1">
        <f t="array" ref="G1503">_xlfn.LET(
    _xlpm.r, TRIM(B1503),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03" t="str" cm="1">
        <f t="array" ref="H1503">_xlfn.LET(
     _xlpm.r, TRIM(C1503),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04" spans="1:8" x14ac:dyDescent="0.25">
      <c r="A1504">
        <v>2023</v>
      </c>
      <c r="B1504" t="s">
        <v>14</v>
      </c>
      <c r="C1504" t="s">
        <v>5</v>
      </c>
      <c r="E1504">
        <v>43633440</v>
      </c>
      <c r="F1504" t="s">
        <v>82</v>
      </c>
      <c r="G1504" t="str" cm="1">
        <f t="array" ref="G1504">_xlfn.LET(
    _xlpm.r, TRIM(B1504),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04" t="str" cm="1">
        <f t="array" ref="H1504">_xlfn.LET(
     _xlpm.r, TRIM(C1504),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05" spans="1:8" x14ac:dyDescent="0.25">
      <c r="A1505">
        <v>2023</v>
      </c>
      <c r="B1505" t="s">
        <v>14</v>
      </c>
      <c r="C1505" t="s">
        <v>5</v>
      </c>
      <c r="E1505">
        <v>256984944</v>
      </c>
      <c r="F1505" t="s">
        <v>82</v>
      </c>
      <c r="G1505" t="str" cm="1">
        <f t="array" ref="G1505">_xlfn.LET(
    _xlpm.r, TRIM(B1505),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05" t="str" cm="1">
        <f t="array" ref="H1505">_xlfn.LET(
     _xlpm.r, TRIM(C1505),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06" spans="1:8" x14ac:dyDescent="0.25">
      <c r="A1506">
        <v>2023</v>
      </c>
      <c r="B1506" t="s">
        <v>14</v>
      </c>
      <c r="C1506" t="s">
        <v>5</v>
      </c>
      <c r="E1506">
        <v>39575052</v>
      </c>
      <c r="F1506" t="s">
        <v>82</v>
      </c>
      <c r="G1506" t="str" cm="1">
        <f t="array" ref="G1506">_xlfn.LET(
    _xlpm.r, TRIM(B1506),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06" t="str" cm="1">
        <f t="array" ref="H1506">_xlfn.LET(
     _xlpm.r, TRIM(C1506),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07" spans="1:8" x14ac:dyDescent="0.25">
      <c r="A1507">
        <v>2023</v>
      </c>
      <c r="B1507" t="s">
        <v>14</v>
      </c>
      <c r="C1507" t="s">
        <v>5</v>
      </c>
      <c r="E1507">
        <v>17026032</v>
      </c>
      <c r="F1507" t="s">
        <v>82</v>
      </c>
      <c r="G1507" t="str" cm="1">
        <f t="array" ref="G1507">_xlfn.LET(
    _xlpm.r, TRIM(B1507),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07" t="str" cm="1">
        <f t="array" ref="H1507">_xlfn.LET(
     _xlpm.r, TRIM(C1507),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08" spans="1:8" x14ac:dyDescent="0.25">
      <c r="A1508">
        <v>2023</v>
      </c>
      <c r="B1508" t="s">
        <v>14</v>
      </c>
      <c r="C1508" t="s">
        <v>5</v>
      </c>
      <c r="E1508">
        <v>18384840</v>
      </c>
      <c r="F1508" t="s">
        <v>82</v>
      </c>
      <c r="G1508" t="str" cm="1">
        <f t="array" ref="G1508">_xlfn.LET(
    _xlpm.r, TRIM(B1508),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08" t="str" cm="1">
        <f t="array" ref="H1508">_xlfn.LET(
     _xlpm.r, TRIM(C1508),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09" spans="1:8" x14ac:dyDescent="0.25">
      <c r="A1509">
        <v>2023</v>
      </c>
      <c r="B1509" t="s">
        <v>14</v>
      </c>
      <c r="C1509" t="s">
        <v>5</v>
      </c>
      <c r="E1509">
        <v>30527684</v>
      </c>
      <c r="F1509" t="s">
        <v>82</v>
      </c>
      <c r="G1509" t="str" cm="1">
        <f t="array" ref="G1509">_xlfn.LET(
    _xlpm.r, TRIM(B1509),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09" t="str" cm="1">
        <f t="array" ref="H1509">_xlfn.LET(
     _xlpm.r, TRIM(C1509),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10" spans="1:8" x14ac:dyDescent="0.25">
      <c r="A1510">
        <v>2023</v>
      </c>
      <c r="B1510" t="s">
        <v>14</v>
      </c>
      <c r="C1510" t="s">
        <v>5</v>
      </c>
      <c r="E1510">
        <v>8915160</v>
      </c>
      <c r="F1510" t="s">
        <v>82</v>
      </c>
      <c r="G1510" t="str" cm="1">
        <f t="array" ref="G1510">_xlfn.LET(
    _xlpm.r, TRIM(B1510),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10" t="str" cm="1">
        <f t="array" ref="H1510">_xlfn.LET(
     _xlpm.r, TRIM(C1510),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11" spans="1:8" x14ac:dyDescent="0.25">
      <c r="A1511">
        <v>2023</v>
      </c>
      <c r="B1511" t="s">
        <v>14</v>
      </c>
      <c r="C1511" t="s">
        <v>5</v>
      </c>
      <c r="E1511">
        <v>3933900</v>
      </c>
      <c r="F1511" t="s">
        <v>82</v>
      </c>
      <c r="G1511" t="str" cm="1">
        <f t="array" ref="G1511">_xlfn.LET(
    _xlpm.r, TRIM(B1511),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11" t="str" cm="1">
        <f t="array" ref="H1511">_xlfn.LET(
     _xlpm.r, TRIM(C1511),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12" spans="1:8" x14ac:dyDescent="0.25">
      <c r="A1512">
        <v>2023</v>
      </c>
      <c r="B1512" t="s">
        <v>14</v>
      </c>
      <c r="C1512" t="s">
        <v>5</v>
      </c>
      <c r="E1512">
        <v>578600</v>
      </c>
      <c r="F1512" t="s">
        <v>82</v>
      </c>
      <c r="G1512" t="str" cm="1">
        <f t="array" ref="G1512">_xlfn.LET(
    _xlpm.r, TRIM(B1512),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12" t="str" cm="1">
        <f t="array" ref="H1512">_xlfn.LET(
     _xlpm.r, TRIM(C1512),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13" spans="1:8" x14ac:dyDescent="0.25">
      <c r="A1513">
        <v>2023</v>
      </c>
      <c r="B1513" t="s">
        <v>14</v>
      </c>
      <c r="C1513" t="s">
        <v>5</v>
      </c>
      <c r="E1513">
        <v>1585200</v>
      </c>
      <c r="F1513" t="s">
        <v>82</v>
      </c>
      <c r="G1513" t="str" cm="1">
        <f t="array" ref="G1513">_xlfn.LET(
    _xlpm.r, TRIM(B1513),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13" t="str" cm="1">
        <f t="array" ref="H1513">_xlfn.LET(
     _xlpm.r, TRIM(C1513),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14" spans="1:8" x14ac:dyDescent="0.25">
      <c r="A1514">
        <v>2023</v>
      </c>
      <c r="B1514" t="s">
        <v>14</v>
      </c>
      <c r="C1514" t="s">
        <v>5</v>
      </c>
      <c r="E1514">
        <v>405600</v>
      </c>
      <c r="F1514" t="s">
        <v>82</v>
      </c>
      <c r="G1514" t="str" cm="1">
        <f t="array" ref="G1514">_xlfn.LET(
    _xlpm.r, TRIM(B1514),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14" t="str" cm="1">
        <f t="array" ref="H1514">_xlfn.LET(
     _xlpm.r, TRIM(C1514),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15" spans="1:8" x14ac:dyDescent="0.25">
      <c r="A1515">
        <v>2023</v>
      </c>
      <c r="B1515" t="s">
        <v>14</v>
      </c>
      <c r="C1515" t="s">
        <v>5</v>
      </c>
      <c r="E1515">
        <v>141600</v>
      </c>
      <c r="F1515" t="s">
        <v>82</v>
      </c>
      <c r="G1515" t="str" cm="1">
        <f t="array" ref="G1515">_xlfn.LET(
    _xlpm.r, TRIM(B1515),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15" t="str" cm="1">
        <f t="array" ref="H1515">_xlfn.LET(
     _xlpm.r, TRIM(C1515),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16" spans="1:8" x14ac:dyDescent="0.25">
      <c r="A1516">
        <v>2023</v>
      </c>
      <c r="B1516" t="s">
        <v>14</v>
      </c>
      <c r="C1516" t="s">
        <v>5</v>
      </c>
      <c r="E1516">
        <v>175000</v>
      </c>
      <c r="F1516" t="s">
        <v>82</v>
      </c>
      <c r="G1516" t="str" cm="1">
        <f t="array" ref="G1516">_xlfn.LET(
    _xlpm.r, TRIM(B1516),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16" t="str" cm="1">
        <f t="array" ref="H1516">_xlfn.LET(
     _xlpm.r, TRIM(C1516),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17" spans="1:8" x14ac:dyDescent="0.25">
      <c r="A1517">
        <v>2023</v>
      </c>
      <c r="B1517" t="s">
        <v>14</v>
      </c>
      <c r="C1517" t="s">
        <v>5</v>
      </c>
      <c r="E1517">
        <v>281600</v>
      </c>
      <c r="F1517" t="s">
        <v>82</v>
      </c>
      <c r="G1517" t="str" cm="1">
        <f t="array" ref="G1517">_xlfn.LET(
    _xlpm.r, TRIM(B1517),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17" t="str" cm="1">
        <f t="array" ref="H1517">_xlfn.LET(
     _xlpm.r, TRIM(C1517),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18" spans="1:8" x14ac:dyDescent="0.25">
      <c r="A1518">
        <v>2023</v>
      </c>
      <c r="B1518" t="s">
        <v>14</v>
      </c>
      <c r="C1518" t="s">
        <v>5</v>
      </c>
      <c r="E1518">
        <v>2704200</v>
      </c>
      <c r="F1518" t="s">
        <v>82</v>
      </c>
      <c r="G1518" t="str" cm="1">
        <f t="array" ref="G1518">_xlfn.LET(
    _xlpm.r, TRIM(B1518),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18" t="str" cm="1">
        <f t="array" ref="H1518">_xlfn.LET(
     _xlpm.r, TRIM(C1518),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19" spans="1:8" x14ac:dyDescent="0.25">
      <c r="A1519">
        <v>2023</v>
      </c>
      <c r="B1519" t="s">
        <v>14</v>
      </c>
      <c r="C1519" t="s">
        <v>5</v>
      </c>
      <c r="E1519">
        <v>581600</v>
      </c>
      <c r="F1519" t="s">
        <v>82</v>
      </c>
      <c r="G1519" t="str" cm="1">
        <f t="array" ref="G1519">_xlfn.LET(
    _xlpm.r, TRIM(B1519),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19" t="str" cm="1">
        <f t="array" ref="H1519">_xlfn.LET(
     _xlpm.r, TRIM(C1519),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20" spans="1:8" x14ac:dyDescent="0.25">
      <c r="A1520">
        <v>2023</v>
      </c>
      <c r="B1520" t="s">
        <v>14</v>
      </c>
      <c r="C1520" t="s">
        <v>5</v>
      </c>
      <c r="E1520">
        <v>349600</v>
      </c>
      <c r="F1520" t="s">
        <v>82</v>
      </c>
      <c r="G1520" t="str" cm="1">
        <f t="array" ref="G1520">_xlfn.LET(
    _xlpm.r, TRIM(B1520),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20" t="str" cm="1">
        <f t="array" ref="H1520">_xlfn.LET(
     _xlpm.r, TRIM(C1520),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21" spans="1:8" x14ac:dyDescent="0.25">
      <c r="A1521">
        <v>2023</v>
      </c>
      <c r="B1521" t="s">
        <v>14</v>
      </c>
      <c r="C1521" t="s">
        <v>5</v>
      </c>
      <c r="E1521">
        <v>153000</v>
      </c>
      <c r="F1521" t="s">
        <v>82</v>
      </c>
      <c r="G1521" t="str" cm="1">
        <f t="array" ref="G1521">_xlfn.LET(
    _xlpm.r, TRIM(B1521),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21" t="str" cm="1">
        <f t="array" ref="H1521">_xlfn.LET(
     _xlpm.r, TRIM(C1521),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22" spans="1:8" x14ac:dyDescent="0.25">
      <c r="A1522">
        <v>2023</v>
      </c>
      <c r="B1522" t="s">
        <v>14</v>
      </c>
      <c r="C1522" t="s">
        <v>5</v>
      </c>
      <c r="E1522">
        <v>81600</v>
      </c>
      <c r="F1522" t="s">
        <v>82</v>
      </c>
      <c r="G1522" t="str" cm="1">
        <f t="array" ref="G1522">_xlfn.LET(
    _xlpm.r, TRIM(B1522),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22" t="str" cm="1">
        <f t="array" ref="H1522">_xlfn.LET(
     _xlpm.r, TRIM(C1522),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23" spans="1:8" x14ac:dyDescent="0.25">
      <c r="A1523">
        <v>2023</v>
      </c>
      <c r="B1523" t="s">
        <v>14</v>
      </c>
      <c r="C1523" t="s">
        <v>5</v>
      </c>
      <c r="E1523">
        <v>12432000</v>
      </c>
      <c r="F1523" t="s">
        <v>82</v>
      </c>
      <c r="G1523" t="str" cm="1">
        <f t="array" ref="G1523">_xlfn.LET(
    _xlpm.r, TRIM(B1523),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23" t="str" cm="1">
        <f t="array" ref="H1523">_xlfn.LET(
     _xlpm.r, TRIM(C1523),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24" spans="1:8" x14ac:dyDescent="0.25">
      <c r="A1524">
        <v>2023</v>
      </c>
      <c r="B1524" t="s">
        <v>14</v>
      </c>
      <c r="C1524" t="s">
        <v>5</v>
      </c>
      <c r="E1524">
        <v>1028484</v>
      </c>
      <c r="F1524" t="s">
        <v>82</v>
      </c>
      <c r="G1524" t="str" cm="1">
        <f t="array" ref="G1524">_xlfn.LET(
    _xlpm.r, TRIM(B1524),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24" t="str" cm="1">
        <f t="array" ref="H1524">_xlfn.LET(
     _xlpm.r, TRIM(C1524),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25" spans="1:8" x14ac:dyDescent="0.25">
      <c r="A1525">
        <v>2023</v>
      </c>
      <c r="B1525" t="s">
        <v>14</v>
      </c>
      <c r="C1525" t="s">
        <v>5</v>
      </c>
      <c r="E1525">
        <v>10981000</v>
      </c>
      <c r="F1525" t="s">
        <v>82</v>
      </c>
      <c r="G1525" t="str" cm="1">
        <f t="array" ref="G1525">_xlfn.LET(
    _xlpm.r, TRIM(B1525),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25" t="str" cm="1">
        <f t="array" ref="H1525">_xlfn.LET(
     _xlpm.r, TRIM(C1525),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26" spans="1:8" x14ac:dyDescent="0.25">
      <c r="A1526">
        <v>2023</v>
      </c>
      <c r="B1526" t="s">
        <v>14</v>
      </c>
      <c r="C1526" t="s">
        <v>6</v>
      </c>
      <c r="E1526">
        <v>357634500</v>
      </c>
      <c r="F1526" t="s">
        <v>82</v>
      </c>
      <c r="G1526" t="str" cm="1">
        <f t="array" ref="G1526">_xlfn.LET(
    _xlpm.r, TRIM(B1526),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26" t="str" cm="1">
        <f t="array" ref="H1526">_xlfn.LET(
     _xlpm.r, TRIM(C1526),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27" spans="1:8" x14ac:dyDescent="0.25">
      <c r="A1527">
        <v>2023</v>
      </c>
      <c r="B1527" t="s">
        <v>14</v>
      </c>
      <c r="C1527" t="s">
        <v>6</v>
      </c>
      <c r="E1527">
        <v>231488855</v>
      </c>
      <c r="F1527" t="s">
        <v>82</v>
      </c>
      <c r="G1527" t="str" cm="1">
        <f t="array" ref="G1527">_xlfn.LET(
    _xlpm.r, TRIM(B1527),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27" t="str" cm="1">
        <f t="array" ref="H1527">_xlfn.LET(
     _xlpm.r, TRIM(C1527),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28" spans="1:8" x14ac:dyDescent="0.25">
      <c r="A1528">
        <v>2023</v>
      </c>
      <c r="B1528" t="s">
        <v>14</v>
      </c>
      <c r="C1528" t="s">
        <v>6</v>
      </c>
      <c r="E1528">
        <v>3500000</v>
      </c>
      <c r="F1528" t="s">
        <v>82</v>
      </c>
      <c r="G1528" t="str" cm="1">
        <f t="array" ref="G1528">_xlfn.LET(
    _xlpm.r, TRIM(B1528),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28" t="str" cm="1">
        <f t="array" ref="H1528">_xlfn.LET(
     _xlpm.r, TRIM(C1528),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29" spans="1:8" x14ac:dyDescent="0.25">
      <c r="A1529">
        <v>2023</v>
      </c>
      <c r="B1529" t="s">
        <v>14</v>
      </c>
      <c r="C1529" t="s">
        <v>6</v>
      </c>
      <c r="E1529">
        <v>1603600</v>
      </c>
      <c r="F1529" t="s">
        <v>82</v>
      </c>
      <c r="G1529" t="str" cm="1">
        <f t="array" ref="G1529">_xlfn.LET(
    _xlpm.r, TRIM(B1529),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29" t="str" cm="1">
        <f t="array" ref="H1529">_xlfn.LET(
     _xlpm.r, TRIM(C1529),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30" spans="1:8" x14ac:dyDescent="0.25">
      <c r="A1530">
        <v>2023</v>
      </c>
      <c r="B1530" t="s">
        <v>14</v>
      </c>
      <c r="C1530" t="s">
        <v>6</v>
      </c>
      <c r="E1530">
        <v>54400</v>
      </c>
      <c r="F1530" t="s">
        <v>82</v>
      </c>
      <c r="G1530" t="str" cm="1">
        <f t="array" ref="G1530">_xlfn.LET(
    _xlpm.r, TRIM(B1530),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30" t="str" cm="1">
        <f t="array" ref="H1530">_xlfn.LET(
     _xlpm.r, TRIM(C1530),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31" spans="1:8" x14ac:dyDescent="0.25">
      <c r="A1531">
        <v>2023</v>
      </c>
      <c r="B1531" t="s">
        <v>14</v>
      </c>
      <c r="C1531" t="s">
        <v>6</v>
      </c>
      <c r="E1531">
        <v>399800</v>
      </c>
      <c r="F1531" t="s">
        <v>82</v>
      </c>
      <c r="G1531" t="str" cm="1">
        <f t="array" ref="G1531">_xlfn.LET(
    _xlpm.r, TRIM(B1531),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31" t="str" cm="1">
        <f t="array" ref="H1531">_xlfn.LET(
     _xlpm.r, TRIM(C1531),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32" spans="1:8" x14ac:dyDescent="0.25">
      <c r="A1532">
        <v>2023</v>
      </c>
      <c r="B1532" t="s">
        <v>14</v>
      </c>
      <c r="C1532" t="s">
        <v>6</v>
      </c>
      <c r="E1532">
        <v>24400</v>
      </c>
      <c r="F1532" t="s">
        <v>82</v>
      </c>
      <c r="G1532" t="str" cm="1">
        <f t="array" ref="G1532">_xlfn.LET(
    _xlpm.r, TRIM(B1532),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32" t="str" cm="1">
        <f t="array" ref="H1532">_xlfn.LET(
     _xlpm.r, TRIM(C1532),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33" spans="1:8" x14ac:dyDescent="0.25">
      <c r="A1533">
        <v>2023</v>
      </c>
      <c r="B1533" t="s">
        <v>14</v>
      </c>
      <c r="C1533" t="s">
        <v>6</v>
      </c>
      <c r="E1533">
        <v>3400</v>
      </c>
      <c r="F1533" t="s">
        <v>82</v>
      </c>
      <c r="G1533" t="str" cm="1">
        <f t="array" ref="G1533">_xlfn.LET(
    _xlpm.r, TRIM(B1533),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33" t="str" cm="1">
        <f t="array" ref="H1533">_xlfn.LET(
     _xlpm.r, TRIM(C1533),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34" spans="1:8" x14ac:dyDescent="0.25">
      <c r="A1534">
        <v>2023</v>
      </c>
      <c r="B1534" t="s">
        <v>14</v>
      </c>
      <c r="C1534" t="s">
        <v>6</v>
      </c>
      <c r="E1534">
        <v>54800</v>
      </c>
      <c r="F1534" t="s">
        <v>82</v>
      </c>
      <c r="G1534" t="str" cm="1">
        <f t="array" ref="G1534">_xlfn.LET(
    _xlpm.r, TRIM(B1534),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34" t="str" cm="1">
        <f t="array" ref="H1534">_xlfn.LET(
     _xlpm.r, TRIM(C1534),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35" spans="1:8" x14ac:dyDescent="0.25">
      <c r="A1535">
        <v>2023</v>
      </c>
      <c r="B1535" t="s">
        <v>14</v>
      </c>
      <c r="C1535" t="s">
        <v>6</v>
      </c>
      <c r="E1535">
        <v>45600</v>
      </c>
      <c r="F1535" t="s">
        <v>82</v>
      </c>
      <c r="G1535" t="str" cm="1">
        <f t="array" ref="G1535">_xlfn.LET(
    _xlpm.r, TRIM(B1535),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35" t="str" cm="1">
        <f t="array" ref="H1535">_xlfn.LET(
     _xlpm.r, TRIM(C1535),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36" spans="1:8" x14ac:dyDescent="0.25">
      <c r="A1536">
        <v>2023</v>
      </c>
      <c r="B1536" t="s">
        <v>14</v>
      </c>
      <c r="C1536" t="s">
        <v>6</v>
      </c>
      <c r="E1536">
        <v>1624300</v>
      </c>
      <c r="F1536" t="s">
        <v>82</v>
      </c>
      <c r="G1536" t="str" cm="1">
        <f t="array" ref="G1536">_xlfn.LET(
    _xlpm.r, TRIM(B1536),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36" t="str" cm="1">
        <f t="array" ref="H1536">_xlfn.LET(
     _xlpm.r, TRIM(C1536),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37" spans="1:8" x14ac:dyDescent="0.25">
      <c r="A1537">
        <v>2023</v>
      </c>
      <c r="B1537" t="s">
        <v>14</v>
      </c>
      <c r="C1537" t="s">
        <v>6</v>
      </c>
      <c r="E1537">
        <v>17400</v>
      </c>
      <c r="F1537" t="s">
        <v>82</v>
      </c>
      <c r="G1537" t="str" cm="1">
        <f t="array" ref="G1537">_xlfn.LET(
    _xlpm.r, TRIM(B1537),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37" t="str" cm="1">
        <f t="array" ref="H1537">_xlfn.LET(
     _xlpm.r, TRIM(C1537),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38" spans="1:8" x14ac:dyDescent="0.25">
      <c r="A1538">
        <v>2023</v>
      </c>
      <c r="B1538" t="s">
        <v>14</v>
      </c>
      <c r="C1538" t="s">
        <v>6</v>
      </c>
      <c r="E1538">
        <v>20200</v>
      </c>
      <c r="F1538" t="s">
        <v>82</v>
      </c>
      <c r="G1538" t="str" cm="1">
        <f t="array" ref="G1538">_xlfn.LET(
    _xlpm.r, TRIM(B1538),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38" t="str" cm="1">
        <f t="array" ref="H1538">_xlfn.LET(
     _xlpm.r, TRIM(C1538),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39" spans="1:8" x14ac:dyDescent="0.25">
      <c r="A1539">
        <v>2023</v>
      </c>
      <c r="B1539" t="s">
        <v>14</v>
      </c>
      <c r="C1539" t="s">
        <v>6</v>
      </c>
      <c r="E1539">
        <v>1400</v>
      </c>
      <c r="F1539" t="s">
        <v>82</v>
      </c>
      <c r="G1539" t="str" cm="1">
        <f t="array" ref="G1539">_xlfn.LET(
    _xlpm.r, TRIM(B1539),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39" t="str" cm="1">
        <f t="array" ref="H1539">_xlfn.LET(
     _xlpm.r, TRIM(C1539),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40" spans="1:8" x14ac:dyDescent="0.25">
      <c r="A1540">
        <v>2023</v>
      </c>
      <c r="B1540" t="s">
        <v>14</v>
      </c>
      <c r="C1540" t="s">
        <v>6</v>
      </c>
      <c r="E1540">
        <v>3526500</v>
      </c>
      <c r="F1540" t="s">
        <v>82</v>
      </c>
      <c r="G1540" t="str" cm="1">
        <f t="array" ref="G1540">_xlfn.LET(
    _xlpm.r, TRIM(B1540),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40" t="str" cm="1">
        <f t="array" ref="H1540">_xlfn.LET(
     _xlpm.r, TRIM(C1540),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41" spans="1:8" x14ac:dyDescent="0.25">
      <c r="A1541">
        <v>2023</v>
      </c>
      <c r="B1541" t="s">
        <v>14</v>
      </c>
      <c r="C1541" t="s">
        <v>6</v>
      </c>
      <c r="E1541">
        <v>277388</v>
      </c>
      <c r="F1541" t="s">
        <v>82</v>
      </c>
      <c r="G1541" t="str" cm="1">
        <f t="array" ref="G1541">_xlfn.LET(
    _xlpm.r, TRIM(B1541),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41" t="str" cm="1">
        <f t="array" ref="H1541">_xlfn.LET(
     _xlpm.r, TRIM(C1541),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42" spans="1:8" x14ac:dyDescent="0.25">
      <c r="A1542">
        <v>2023</v>
      </c>
      <c r="B1542" t="s">
        <v>14</v>
      </c>
      <c r="C1542" t="s">
        <v>6</v>
      </c>
      <c r="E1542">
        <v>3688457</v>
      </c>
      <c r="F1542" t="s">
        <v>82</v>
      </c>
      <c r="G1542" t="str" cm="1">
        <f t="array" ref="G1542">_xlfn.LET(
    _xlpm.r, TRIM(B1542),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42" t="str" cm="1">
        <f t="array" ref="H1542">_xlfn.LET(
     _xlpm.r, TRIM(C1542),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43" spans="1:8" x14ac:dyDescent="0.25">
      <c r="A1543">
        <v>2023</v>
      </c>
      <c r="B1543" t="s">
        <v>14</v>
      </c>
      <c r="C1543" t="s">
        <v>7</v>
      </c>
      <c r="E1543">
        <v>1000000</v>
      </c>
      <c r="F1543" t="s">
        <v>82</v>
      </c>
      <c r="G1543" t="str" cm="1">
        <f t="array" ref="G1543">_xlfn.LET(
    _xlpm.r, TRIM(B1543),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43" t="str" cm="1">
        <f t="array" ref="H1543">_xlfn.LET(
     _xlpm.r, TRIM(C1543),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1544" spans="1:8" x14ac:dyDescent="0.25">
      <c r="A1544">
        <v>2023</v>
      </c>
      <c r="B1544" t="s">
        <v>14</v>
      </c>
      <c r="C1544" t="s">
        <v>8</v>
      </c>
      <c r="E1544">
        <v>8490721</v>
      </c>
      <c r="F1544" t="s">
        <v>82</v>
      </c>
      <c r="G1544" t="str" cm="1">
        <f t="array" ref="G1544">_xlfn.LET(
    _xlpm.r, TRIM(B1544),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44" t="str" cm="1">
        <f t="array" ref="H1544">_xlfn.LET(
     _xlpm.r, TRIM(C1544),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45" spans="1:8" x14ac:dyDescent="0.25">
      <c r="A1545">
        <v>2023</v>
      </c>
      <c r="B1545" t="s">
        <v>14</v>
      </c>
      <c r="C1545" t="s">
        <v>8</v>
      </c>
      <c r="E1545">
        <v>200000</v>
      </c>
      <c r="F1545" t="s">
        <v>82</v>
      </c>
      <c r="G1545" t="str" cm="1">
        <f t="array" ref="G1545">_xlfn.LET(
    _xlpm.r, TRIM(B1545),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45" t="str" cm="1">
        <f t="array" ref="H1545">_xlfn.LET(
     _xlpm.r, TRIM(C1545),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46" spans="1:8" x14ac:dyDescent="0.25">
      <c r="A1546">
        <v>2023</v>
      </c>
      <c r="B1546" t="s">
        <v>14</v>
      </c>
      <c r="C1546" t="s">
        <v>8</v>
      </c>
      <c r="E1546">
        <v>2000</v>
      </c>
      <c r="F1546" t="s">
        <v>82</v>
      </c>
      <c r="G1546" t="str" cm="1">
        <f t="array" ref="G1546">_xlfn.LET(
    _xlpm.r, TRIM(B1546),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46" t="str" cm="1">
        <f t="array" ref="H1546">_xlfn.LET(
     _xlpm.r, TRIM(C1546),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47" spans="1:8" x14ac:dyDescent="0.25">
      <c r="A1547">
        <v>2023</v>
      </c>
      <c r="B1547" t="s">
        <v>14</v>
      </c>
      <c r="C1547" t="s">
        <v>8</v>
      </c>
      <c r="E1547">
        <v>100000</v>
      </c>
      <c r="F1547" t="s">
        <v>82</v>
      </c>
      <c r="G1547" t="str" cm="1">
        <f t="array" ref="G1547">_xlfn.LET(
    _xlpm.r, TRIM(B1547),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47" t="str" cm="1">
        <f t="array" ref="H1547">_xlfn.LET(
     _xlpm.r, TRIM(C1547),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48" spans="1:8" x14ac:dyDescent="0.25">
      <c r="A1548">
        <v>2023</v>
      </c>
      <c r="B1548" t="s">
        <v>14</v>
      </c>
      <c r="C1548" t="s">
        <v>8</v>
      </c>
      <c r="E1548">
        <v>245000</v>
      </c>
      <c r="F1548" t="s">
        <v>82</v>
      </c>
      <c r="G1548" t="str" cm="1">
        <f t="array" ref="G1548">_xlfn.LET(
    _xlpm.r, TRIM(B1548),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48" t="str" cm="1">
        <f t="array" ref="H1548">_xlfn.LET(
     _xlpm.r, TRIM(C1548),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49" spans="1:8" x14ac:dyDescent="0.25">
      <c r="A1549">
        <v>2023</v>
      </c>
      <c r="B1549" t="s">
        <v>14</v>
      </c>
      <c r="C1549" t="s">
        <v>8</v>
      </c>
      <c r="E1549">
        <v>30029</v>
      </c>
      <c r="F1549" t="s">
        <v>82</v>
      </c>
      <c r="G1549" t="str" cm="1">
        <f t="array" ref="G1549">_xlfn.LET(
    _xlpm.r, TRIM(B1549),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49" t="str" cm="1">
        <f t="array" ref="H1549">_xlfn.LET(
     _xlpm.r, TRIM(C1549),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50" spans="1:8" x14ac:dyDescent="0.25">
      <c r="A1550">
        <v>2023</v>
      </c>
      <c r="B1550" t="s">
        <v>14</v>
      </c>
      <c r="C1550" t="s">
        <v>8</v>
      </c>
      <c r="E1550">
        <v>570250</v>
      </c>
      <c r="F1550" t="s">
        <v>82</v>
      </c>
      <c r="G1550" t="str" cm="1">
        <f t="array" ref="G1550">_xlfn.LET(
    _xlpm.r, TRIM(B1550),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التربية والتعليم</v>
      </c>
      <c r="H1550" t="str" cm="1">
        <f t="array" ref="H1550">_xlfn.LET(
     _xlpm.r, TRIM(C1550),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51" spans="1:8" x14ac:dyDescent="0.25">
      <c r="A1551">
        <v>2023</v>
      </c>
      <c r="B1551" t="s">
        <v>15</v>
      </c>
      <c r="C1551" t="s">
        <v>5</v>
      </c>
      <c r="E1551">
        <v>399952</v>
      </c>
      <c r="F1551" t="s">
        <v>83</v>
      </c>
      <c r="G1551" t="str" cm="1">
        <f t="array" ref="G1551">_xlfn.LET(
    _xlpm.r, TRIM(B1551),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51" t="str" cm="1">
        <f t="array" ref="H1551">_xlfn.LET(
     _xlpm.r, TRIM(C1551),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52" spans="1:8" x14ac:dyDescent="0.25">
      <c r="A1552">
        <v>2023</v>
      </c>
      <c r="B1552" t="s">
        <v>15</v>
      </c>
      <c r="C1552" t="s">
        <v>5</v>
      </c>
      <c r="E1552">
        <v>14621796</v>
      </c>
      <c r="F1552" t="s">
        <v>83</v>
      </c>
      <c r="G1552" t="str" cm="1">
        <f t="array" ref="G1552">_xlfn.LET(
    _xlpm.r, TRIM(B1552),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52" t="str" cm="1">
        <f t="array" ref="H1552">_xlfn.LET(
     _xlpm.r, TRIM(C1552),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53" spans="1:8" x14ac:dyDescent="0.25">
      <c r="A1553">
        <v>2023</v>
      </c>
      <c r="B1553" t="s">
        <v>15</v>
      </c>
      <c r="C1553" t="s">
        <v>5</v>
      </c>
      <c r="E1553">
        <v>142711037</v>
      </c>
      <c r="F1553" t="s">
        <v>83</v>
      </c>
      <c r="G1553" t="str" cm="1">
        <f t="array" ref="G1553">_xlfn.LET(
    _xlpm.r, TRIM(B1553),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53" t="str" cm="1">
        <f t="array" ref="H1553">_xlfn.LET(
     _xlpm.r, TRIM(C1553),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54" spans="1:8" x14ac:dyDescent="0.25">
      <c r="A1554">
        <v>2023</v>
      </c>
      <c r="B1554" t="s">
        <v>15</v>
      </c>
      <c r="C1554" t="s">
        <v>5</v>
      </c>
      <c r="E1554">
        <v>18079992</v>
      </c>
      <c r="F1554" t="s">
        <v>83</v>
      </c>
      <c r="G1554" t="str" cm="1">
        <f t="array" ref="G1554">_xlfn.LET(
    _xlpm.r, TRIM(B1554),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54" t="str" cm="1">
        <f t="array" ref="H1554">_xlfn.LET(
     _xlpm.r, TRIM(C1554),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55" spans="1:8" x14ac:dyDescent="0.25">
      <c r="A1555">
        <v>2023</v>
      </c>
      <c r="B1555" t="s">
        <v>15</v>
      </c>
      <c r="C1555" t="s">
        <v>5</v>
      </c>
      <c r="E1555">
        <v>8550948</v>
      </c>
      <c r="F1555" t="s">
        <v>83</v>
      </c>
      <c r="G1555" t="str" cm="1">
        <f t="array" ref="G1555">_xlfn.LET(
    _xlpm.r, TRIM(B1555),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55" t="str" cm="1">
        <f t="array" ref="H1555">_xlfn.LET(
     _xlpm.r, TRIM(C1555),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56" spans="1:8" x14ac:dyDescent="0.25">
      <c r="A1556">
        <v>2023</v>
      </c>
      <c r="B1556" t="s">
        <v>15</v>
      </c>
      <c r="C1556" t="s">
        <v>5</v>
      </c>
      <c r="E1556">
        <v>15328404</v>
      </c>
      <c r="F1556" t="s">
        <v>83</v>
      </c>
      <c r="G1556" t="str" cm="1">
        <f t="array" ref="G1556">_xlfn.LET(
    _xlpm.r, TRIM(B1556),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56" t="str" cm="1">
        <f t="array" ref="H1556">_xlfn.LET(
     _xlpm.r, TRIM(C1556),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57" spans="1:8" x14ac:dyDescent="0.25">
      <c r="A1557">
        <v>2023</v>
      </c>
      <c r="B1557" t="s">
        <v>15</v>
      </c>
      <c r="C1557" t="s">
        <v>5</v>
      </c>
      <c r="E1557">
        <v>13547112</v>
      </c>
      <c r="F1557" t="s">
        <v>83</v>
      </c>
      <c r="G1557" t="str" cm="1">
        <f t="array" ref="G1557">_xlfn.LET(
    _xlpm.r, TRIM(B1557),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57" t="str" cm="1">
        <f t="array" ref="H1557">_xlfn.LET(
     _xlpm.r, TRIM(C1557),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58" spans="1:8" x14ac:dyDescent="0.25">
      <c r="A1558">
        <v>2023</v>
      </c>
      <c r="B1558" t="s">
        <v>15</v>
      </c>
      <c r="C1558" t="s">
        <v>5</v>
      </c>
      <c r="E1558">
        <v>6567202</v>
      </c>
      <c r="F1558" t="s">
        <v>83</v>
      </c>
      <c r="G1558" t="str" cm="1">
        <f t="array" ref="G1558">_xlfn.LET(
    _xlpm.r, TRIM(B1558),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58" t="str" cm="1">
        <f t="array" ref="H1558">_xlfn.LET(
     _xlpm.r, TRIM(C1558),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59" spans="1:8" x14ac:dyDescent="0.25">
      <c r="A1559">
        <v>2023</v>
      </c>
      <c r="B1559" t="s">
        <v>15</v>
      </c>
      <c r="C1559" t="s">
        <v>5</v>
      </c>
      <c r="E1559">
        <v>70000</v>
      </c>
      <c r="F1559" t="s">
        <v>83</v>
      </c>
      <c r="G1559" t="str" cm="1">
        <f t="array" ref="G1559">_xlfn.LET(
    _xlpm.r, TRIM(B1559),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59" t="str" cm="1">
        <f t="array" ref="H1559">_xlfn.LET(
     _xlpm.r, TRIM(C1559),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60" spans="1:8" x14ac:dyDescent="0.25">
      <c r="A1560">
        <v>2023</v>
      </c>
      <c r="B1560" t="s">
        <v>15</v>
      </c>
      <c r="C1560" t="s">
        <v>5</v>
      </c>
      <c r="E1560">
        <v>1348782</v>
      </c>
      <c r="F1560" t="s">
        <v>83</v>
      </c>
      <c r="G1560" t="str" cm="1">
        <f t="array" ref="G1560">_xlfn.LET(
    _xlpm.r, TRIM(B1560),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60" t="str" cm="1">
        <f t="array" ref="H1560">_xlfn.LET(
     _xlpm.r, TRIM(C1560),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61" spans="1:8" x14ac:dyDescent="0.25">
      <c r="A1561">
        <v>2023</v>
      </c>
      <c r="B1561" t="s">
        <v>15</v>
      </c>
      <c r="C1561" t="s">
        <v>5</v>
      </c>
      <c r="E1561">
        <v>932199</v>
      </c>
      <c r="F1561" t="s">
        <v>83</v>
      </c>
      <c r="G1561" t="str" cm="1">
        <f t="array" ref="G1561">_xlfn.LET(
    _xlpm.r, TRIM(B1561),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61" t="str" cm="1">
        <f t="array" ref="H1561">_xlfn.LET(
     _xlpm.r, TRIM(C1561),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62" spans="1:8" x14ac:dyDescent="0.25">
      <c r="A1562">
        <v>2023</v>
      </c>
      <c r="B1562" t="s">
        <v>15</v>
      </c>
      <c r="C1562" t="s">
        <v>5</v>
      </c>
      <c r="E1562">
        <v>8350000</v>
      </c>
      <c r="F1562" t="s">
        <v>83</v>
      </c>
      <c r="G1562" t="str" cm="1">
        <f t="array" ref="G1562">_xlfn.LET(
    _xlpm.r, TRIM(B1562),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62" t="str" cm="1">
        <f t="array" ref="H1562">_xlfn.LET(
     _xlpm.r, TRIM(C1562),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63" spans="1:8" x14ac:dyDescent="0.25">
      <c r="A1563">
        <v>2023</v>
      </c>
      <c r="B1563" t="s">
        <v>15</v>
      </c>
      <c r="C1563" t="s">
        <v>5</v>
      </c>
      <c r="E1563">
        <v>4083576</v>
      </c>
      <c r="F1563" t="s">
        <v>83</v>
      </c>
      <c r="G1563" t="str" cm="1">
        <f t="array" ref="G1563">_xlfn.LET(
    _xlpm.r, TRIM(B1563),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63" t="str" cm="1">
        <f t="array" ref="H1563">_xlfn.LET(
     _xlpm.r, TRIM(C1563),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64" spans="1:8" x14ac:dyDescent="0.25">
      <c r="A1564">
        <v>2023</v>
      </c>
      <c r="B1564" t="s">
        <v>15</v>
      </c>
      <c r="C1564" t="s">
        <v>5</v>
      </c>
      <c r="E1564">
        <v>2200000</v>
      </c>
      <c r="F1564" t="s">
        <v>83</v>
      </c>
      <c r="G1564" t="str" cm="1">
        <f t="array" ref="G1564">_xlfn.LET(
    _xlpm.r, TRIM(B1564),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64" t="str" cm="1">
        <f t="array" ref="H1564">_xlfn.LET(
     _xlpm.r, TRIM(C1564),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65" spans="1:8" x14ac:dyDescent="0.25">
      <c r="A1565">
        <v>2023</v>
      </c>
      <c r="B1565" t="s">
        <v>15</v>
      </c>
      <c r="C1565" t="s">
        <v>6</v>
      </c>
      <c r="E1565">
        <v>3480093</v>
      </c>
      <c r="F1565" t="s">
        <v>83</v>
      </c>
      <c r="G1565" t="str" cm="1">
        <f t="array" ref="G1565">_xlfn.LET(
    _xlpm.r, TRIM(B1565),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65" t="str" cm="1">
        <f t="array" ref="H1565">_xlfn.LET(
     _xlpm.r, TRIM(C1565),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66" spans="1:8" x14ac:dyDescent="0.25">
      <c r="A1566">
        <v>2023</v>
      </c>
      <c r="B1566" t="s">
        <v>15</v>
      </c>
      <c r="C1566" t="s">
        <v>6</v>
      </c>
      <c r="E1566">
        <v>153952442</v>
      </c>
      <c r="F1566" t="s">
        <v>83</v>
      </c>
      <c r="G1566" t="str" cm="1">
        <f t="array" ref="G1566">_xlfn.LET(
    _xlpm.r, TRIM(B1566),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66" t="str" cm="1">
        <f t="array" ref="H1566">_xlfn.LET(
     _xlpm.r, TRIM(C1566),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67" spans="1:8" x14ac:dyDescent="0.25">
      <c r="A1567">
        <v>2023</v>
      </c>
      <c r="B1567" t="s">
        <v>15</v>
      </c>
      <c r="C1567" t="s">
        <v>6</v>
      </c>
      <c r="E1567">
        <v>2284956</v>
      </c>
      <c r="F1567" t="s">
        <v>83</v>
      </c>
      <c r="G1567" t="str" cm="1">
        <f t="array" ref="G1567">_xlfn.LET(
    _xlpm.r, TRIM(B1567),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67" t="str" cm="1">
        <f t="array" ref="H1567">_xlfn.LET(
     _xlpm.r, TRIM(C1567),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68" spans="1:8" x14ac:dyDescent="0.25">
      <c r="A1568">
        <v>2023</v>
      </c>
      <c r="B1568" t="s">
        <v>15</v>
      </c>
      <c r="C1568" t="s">
        <v>6</v>
      </c>
      <c r="E1568">
        <v>1414600</v>
      </c>
      <c r="F1568" t="s">
        <v>83</v>
      </c>
      <c r="G1568" t="str" cm="1">
        <f t="array" ref="G1568">_xlfn.LET(
    _xlpm.r, TRIM(B1568),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68" t="str" cm="1">
        <f t="array" ref="H1568">_xlfn.LET(
     _xlpm.r, TRIM(C1568),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69" spans="1:8" x14ac:dyDescent="0.25">
      <c r="A1569">
        <v>2023</v>
      </c>
      <c r="B1569" t="s">
        <v>15</v>
      </c>
      <c r="C1569" t="s">
        <v>6</v>
      </c>
      <c r="E1569">
        <v>1568574</v>
      </c>
      <c r="F1569" t="s">
        <v>83</v>
      </c>
      <c r="G1569" t="str" cm="1">
        <f t="array" ref="G1569">_xlfn.LET(
    _xlpm.r, TRIM(B1569),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69" t="str" cm="1">
        <f t="array" ref="H1569">_xlfn.LET(
     _xlpm.r, TRIM(C1569),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70" spans="1:8" x14ac:dyDescent="0.25">
      <c r="A1570">
        <v>2023</v>
      </c>
      <c r="B1570" t="s">
        <v>15</v>
      </c>
      <c r="C1570" t="s">
        <v>6</v>
      </c>
      <c r="E1570">
        <v>1706350</v>
      </c>
      <c r="F1570" t="s">
        <v>83</v>
      </c>
      <c r="G1570" t="str" cm="1">
        <f t="array" ref="G1570">_xlfn.LET(
    _xlpm.r, TRIM(B1570),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70" t="str" cm="1">
        <f t="array" ref="H1570">_xlfn.LET(
     _xlpm.r, TRIM(C1570),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71" spans="1:8" x14ac:dyDescent="0.25">
      <c r="A1571">
        <v>2023</v>
      </c>
      <c r="B1571" t="s">
        <v>15</v>
      </c>
      <c r="C1571" t="s">
        <v>6</v>
      </c>
      <c r="E1571">
        <v>2502342</v>
      </c>
      <c r="F1571" t="s">
        <v>83</v>
      </c>
      <c r="G1571" t="str" cm="1">
        <f t="array" ref="G1571">_xlfn.LET(
    _xlpm.r, TRIM(B1571),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71" t="str" cm="1">
        <f t="array" ref="H1571">_xlfn.LET(
     _xlpm.r, TRIM(C1571),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72" spans="1:8" x14ac:dyDescent="0.25">
      <c r="A1572">
        <v>2023</v>
      </c>
      <c r="B1572" t="s">
        <v>15</v>
      </c>
      <c r="C1572" t="s">
        <v>6</v>
      </c>
      <c r="E1572">
        <v>440000</v>
      </c>
      <c r="F1572" t="s">
        <v>83</v>
      </c>
      <c r="G1572" t="str" cm="1">
        <f t="array" ref="G1572">_xlfn.LET(
    _xlpm.r, TRIM(B1572),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72" t="str" cm="1">
        <f t="array" ref="H1572">_xlfn.LET(
     _xlpm.r, TRIM(C1572),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73" spans="1:8" x14ac:dyDescent="0.25">
      <c r="A1573">
        <v>2023</v>
      </c>
      <c r="B1573" t="s">
        <v>15</v>
      </c>
      <c r="C1573" t="s">
        <v>6</v>
      </c>
      <c r="E1573">
        <v>3865148</v>
      </c>
      <c r="F1573" t="s">
        <v>83</v>
      </c>
      <c r="G1573" t="str" cm="1">
        <f t="array" ref="G1573">_xlfn.LET(
    _xlpm.r, TRIM(B1573),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73" t="str" cm="1">
        <f t="array" ref="H1573">_xlfn.LET(
     _xlpm.r, TRIM(C1573),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74" spans="1:8" x14ac:dyDescent="0.25">
      <c r="A1574">
        <v>2023</v>
      </c>
      <c r="B1574" t="s">
        <v>15</v>
      </c>
      <c r="C1574" t="s">
        <v>6</v>
      </c>
      <c r="E1574">
        <v>2090836</v>
      </c>
      <c r="F1574" t="s">
        <v>83</v>
      </c>
      <c r="G1574" t="str" cm="1">
        <f t="array" ref="G1574">_xlfn.LET(
    _xlpm.r, TRIM(B1574),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74" t="str" cm="1">
        <f t="array" ref="H1574">_xlfn.LET(
     _xlpm.r, TRIM(C1574),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75" spans="1:8" x14ac:dyDescent="0.25">
      <c r="A1575">
        <v>2023</v>
      </c>
      <c r="B1575" t="s">
        <v>15</v>
      </c>
      <c r="C1575" t="s">
        <v>6</v>
      </c>
      <c r="E1575">
        <v>11740035</v>
      </c>
      <c r="F1575" t="s">
        <v>83</v>
      </c>
      <c r="G1575" t="str" cm="1">
        <f t="array" ref="G1575">_xlfn.LET(
    _xlpm.r, TRIM(B1575),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75" t="str" cm="1">
        <f t="array" ref="H1575">_xlfn.LET(
     _xlpm.r, TRIM(C1575),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76" spans="1:8" x14ac:dyDescent="0.25">
      <c r="A1576">
        <v>2023</v>
      </c>
      <c r="B1576" t="s">
        <v>15</v>
      </c>
      <c r="C1576" t="s">
        <v>6</v>
      </c>
      <c r="E1576">
        <v>5109000</v>
      </c>
      <c r="F1576" t="s">
        <v>83</v>
      </c>
      <c r="G1576" t="str" cm="1">
        <f t="array" ref="G1576">_xlfn.LET(
    _xlpm.r, TRIM(B1576),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76" t="str" cm="1">
        <f t="array" ref="H1576">_xlfn.LET(
     _xlpm.r, TRIM(C1576),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77" spans="1:8" x14ac:dyDescent="0.25">
      <c r="A1577">
        <v>2023</v>
      </c>
      <c r="B1577" t="s">
        <v>15</v>
      </c>
      <c r="C1577" t="s">
        <v>6</v>
      </c>
      <c r="E1577">
        <v>1381624</v>
      </c>
      <c r="F1577" t="s">
        <v>83</v>
      </c>
      <c r="G1577" t="str" cm="1">
        <f t="array" ref="G1577">_xlfn.LET(
    _xlpm.r, TRIM(B1577),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77" t="str" cm="1">
        <f t="array" ref="H1577">_xlfn.LET(
     _xlpm.r, TRIM(C1577),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78" spans="1:8" x14ac:dyDescent="0.25">
      <c r="A1578">
        <v>2023</v>
      </c>
      <c r="B1578" t="s">
        <v>15</v>
      </c>
      <c r="C1578" t="s">
        <v>19</v>
      </c>
      <c r="E1578">
        <v>70000</v>
      </c>
      <c r="F1578" t="s">
        <v>83</v>
      </c>
      <c r="G1578" t="str" cm="1">
        <f t="array" ref="G1578">_xlfn.LET(
    _xlpm.r, TRIM(B1578),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78" t="str" cm="1">
        <f t="array" ref="H1578">_xlfn.LET(
     _xlpm.r, TRIM(C1578),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579" spans="1:8" x14ac:dyDescent="0.25">
      <c r="A1579">
        <v>2023</v>
      </c>
      <c r="B1579" t="s">
        <v>15</v>
      </c>
      <c r="C1579" t="s">
        <v>8</v>
      </c>
      <c r="E1579">
        <v>67386004</v>
      </c>
      <c r="F1579" t="s">
        <v>83</v>
      </c>
      <c r="G1579" t="str" cm="1">
        <f t="array" ref="G1579">_xlfn.LET(
    _xlpm.r, TRIM(B1579),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79" t="str" cm="1">
        <f t="array" ref="H1579">_xlfn.LET(
     _xlpm.r, TRIM(C1579),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80" spans="1:8" x14ac:dyDescent="0.25">
      <c r="A1580">
        <v>2023</v>
      </c>
      <c r="B1580" t="s">
        <v>15</v>
      </c>
      <c r="C1580" t="s">
        <v>8</v>
      </c>
      <c r="E1580">
        <v>10000</v>
      </c>
      <c r="F1580" t="s">
        <v>83</v>
      </c>
      <c r="G1580" t="str" cm="1">
        <f t="array" ref="G1580">_xlfn.LET(
    _xlpm.r, TRIM(B1580),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80" t="str" cm="1">
        <f t="array" ref="H1580">_xlfn.LET(
     _xlpm.r, TRIM(C1580),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81" spans="1:8" x14ac:dyDescent="0.25">
      <c r="A1581">
        <v>2023</v>
      </c>
      <c r="B1581" t="s">
        <v>15</v>
      </c>
      <c r="C1581" t="s">
        <v>8</v>
      </c>
      <c r="E1581">
        <v>150000</v>
      </c>
      <c r="F1581" t="s">
        <v>83</v>
      </c>
      <c r="G1581" t="str" cm="1">
        <f t="array" ref="G1581">_xlfn.LET(
    _xlpm.r, TRIM(B1581),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81" t="str" cm="1">
        <f t="array" ref="H1581">_xlfn.LET(
     _xlpm.r, TRIM(C1581),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82" spans="1:8" x14ac:dyDescent="0.25">
      <c r="A1582">
        <v>2023</v>
      </c>
      <c r="B1582" t="s">
        <v>15</v>
      </c>
      <c r="C1582" t="s">
        <v>8</v>
      </c>
      <c r="E1582">
        <v>10000</v>
      </c>
      <c r="F1582" t="s">
        <v>83</v>
      </c>
      <c r="G1582" t="str" cm="1">
        <f t="array" ref="G1582">_xlfn.LET(
    _xlpm.r, TRIM(B1582),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82" t="str" cm="1">
        <f t="array" ref="H1582">_xlfn.LET(
     _xlpm.r, TRIM(C1582),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83" spans="1:8" x14ac:dyDescent="0.25">
      <c r="A1583">
        <v>2023</v>
      </c>
      <c r="B1583" t="s">
        <v>15</v>
      </c>
      <c r="C1583" t="s">
        <v>8</v>
      </c>
      <c r="E1583">
        <v>25000</v>
      </c>
      <c r="F1583" t="s">
        <v>83</v>
      </c>
      <c r="G1583" t="str" cm="1">
        <f t="array" ref="G1583">_xlfn.LET(
    _xlpm.r, TRIM(B1583),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83" t="str" cm="1">
        <f t="array" ref="H1583">_xlfn.LET(
     _xlpm.r, TRIM(C1583),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84" spans="1:8" x14ac:dyDescent="0.25">
      <c r="A1584">
        <v>2023</v>
      </c>
      <c r="B1584" t="s">
        <v>15</v>
      </c>
      <c r="C1584" t="s">
        <v>8</v>
      </c>
      <c r="E1584">
        <v>10000</v>
      </c>
      <c r="F1584" t="s">
        <v>83</v>
      </c>
      <c r="G1584" t="str" cm="1">
        <f t="array" ref="G1584">_xlfn.LET(
    _xlpm.r, TRIM(B1584),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84" t="str" cm="1">
        <f t="array" ref="H1584">_xlfn.LET(
     _xlpm.r, TRIM(C1584),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85" spans="1:8" x14ac:dyDescent="0.25">
      <c r="A1585">
        <v>2023</v>
      </c>
      <c r="B1585" t="s">
        <v>15</v>
      </c>
      <c r="C1585" t="s">
        <v>8</v>
      </c>
      <c r="E1585">
        <v>405500</v>
      </c>
      <c r="F1585" t="s">
        <v>83</v>
      </c>
      <c r="G1585" t="str" cm="1">
        <f t="array" ref="G1585">_xlfn.LET(
    _xlpm.r, TRIM(B1585),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85" t="str" cm="1">
        <f t="array" ref="H1585">_xlfn.LET(
     _xlpm.r, TRIM(C1585),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86" spans="1:8" x14ac:dyDescent="0.25">
      <c r="A1586">
        <v>2023</v>
      </c>
      <c r="B1586" t="s">
        <v>15</v>
      </c>
      <c r="C1586" t="s">
        <v>8</v>
      </c>
      <c r="E1586">
        <v>34185</v>
      </c>
      <c r="F1586" t="s">
        <v>83</v>
      </c>
      <c r="G1586" t="str" cm="1">
        <f t="array" ref="G1586">_xlfn.LET(
    _xlpm.r, TRIM(B1586),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86" t="str" cm="1">
        <f t="array" ref="H1586">_xlfn.LET(
     _xlpm.r, TRIM(C1586),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87" spans="1:8" x14ac:dyDescent="0.25">
      <c r="A1587">
        <v>2023</v>
      </c>
      <c r="B1587" t="s">
        <v>15</v>
      </c>
      <c r="C1587" t="s">
        <v>8</v>
      </c>
      <c r="E1587">
        <v>458441</v>
      </c>
      <c r="F1587" t="s">
        <v>83</v>
      </c>
      <c r="G1587" t="str" cm="1">
        <f t="array" ref="G1587">_xlfn.LET(
    _xlpm.r, TRIM(B1587),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87" t="str" cm="1">
        <f t="array" ref="H1587">_xlfn.LET(
     _xlpm.r, TRIM(C1587),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88" spans="1:8" x14ac:dyDescent="0.25">
      <c r="A1588">
        <v>2023</v>
      </c>
      <c r="B1588" t="s">
        <v>15</v>
      </c>
      <c r="C1588" t="s">
        <v>8</v>
      </c>
      <c r="E1588">
        <v>40000</v>
      </c>
      <c r="F1588" t="s">
        <v>83</v>
      </c>
      <c r="G1588" t="str" cm="1">
        <f t="array" ref="G1588">_xlfn.LET(
    _xlpm.r, TRIM(B1588),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88" t="str" cm="1">
        <f t="array" ref="H1588">_xlfn.LET(
     _xlpm.r, TRIM(C1588),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89" spans="1:8" x14ac:dyDescent="0.25">
      <c r="A1589">
        <v>2023</v>
      </c>
      <c r="B1589" t="s">
        <v>15</v>
      </c>
      <c r="C1589" t="s">
        <v>8</v>
      </c>
      <c r="E1589">
        <v>14870</v>
      </c>
      <c r="F1589" t="s">
        <v>83</v>
      </c>
      <c r="G1589" t="str" cm="1">
        <f t="array" ref="G1589">_xlfn.LET(
    _xlpm.r, TRIM(B1589),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الصحة ووقاية المجتمع</v>
      </c>
      <c r="H1589" t="str" cm="1">
        <f t="array" ref="H1589">_xlfn.LET(
     _xlpm.r, TRIM(C1589),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90" spans="1:8" x14ac:dyDescent="0.25">
      <c r="A1590">
        <v>2023</v>
      </c>
      <c r="B1590" t="s">
        <v>16</v>
      </c>
      <c r="C1590" t="s">
        <v>5</v>
      </c>
      <c r="E1590">
        <v>109874</v>
      </c>
      <c r="F1590" t="s">
        <v>84</v>
      </c>
      <c r="G1590" t="str" cm="1">
        <f t="array" ref="G1590">_xlfn.LET(
    _xlpm.r, TRIM(B1590),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1590" t="str" cm="1">
        <f t="array" ref="H1590">_xlfn.LET(
     _xlpm.r, TRIM(C1590),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91" spans="1:8" x14ac:dyDescent="0.25">
      <c r="A1591">
        <v>2023</v>
      </c>
      <c r="B1591" t="s">
        <v>16</v>
      </c>
      <c r="C1591" t="s">
        <v>5</v>
      </c>
      <c r="E1591">
        <v>34905390</v>
      </c>
      <c r="F1591" t="s">
        <v>84</v>
      </c>
      <c r="G1591" t="str" cm="1">
        <f t="array" ref="G1591">_xlfn.LET(
    _xlpm.r, TRIM(B1591),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1591" t="str" cm="1">
        <f t="array" ref="H1591">_xlfn.LET(
     _xlpm.r, TRIM(C1591),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92" spans="1:8" x14ac:dyDescent="0.25">
      <c r="A1592">
        <v>2023</v>
      </c>
      <c r="B1592" t="s">
        <v>16</v>
      </c>
      <c r="C1592" t="s">
        <v>5</v>
      </c>
      <c r="E1592">
        <v>44382736</v>
      </c>
      <c r="F1592" t="s">
        <v>84</v>
      </c>
      <c r="G1592" t="str" cm="1">
        <f t="array" ref="G1592">_xlfn.LET(
    _xlpm.r, TRIM(B1592),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1592" t="str" cm="1">
        <f t="array" ref="H1592">_xlfn.LET(
     _xlpm.r, TRIM(C1592),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93" spans="1:8" x14ac:dyDescent="0.25">
      <c r="A1593">
        <v>2023</v>
      </c>
      <c r="B1593" t="s">
        <v>16</v>
      </c>
      <c r="C1593" t="s">
        <v>6</v>
      </c>
      <c r="E1593">
        <v>1659720</v>
      </c>
      <c r="F1593" t="s">
        <v>84</v>
      </c>
      <c r="G1593" t="str" cm="1">
        <f t="array" ref="G1593">_xlfn.LET(
    _xlpm.r, TRIM(B1593),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1593" t="str" cm="1">
        <f t="array" ref="H1593">_xlfn.LET(
     _xlpm.r, TRIM(C1593),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94" spans="1:8" x14ac:dyDescent="0.25">
      <c r="A1594">
        <v>2023</v>
      </c>
      <c r="B1594" t="s">
        <v>16</v>
      </c>
      <c r="C1594" t="s">
        <v>6</v>
      </c>
      <c r="E1594">
        <v>34166280</v>
      </c>
      <c r="F1594" t="s">
        <v>84</v>
      </c>
      <c r="G1594" t="str" cm="1">
        <f t="array" ref="G1594">_xlfn.LET(
    _xlpm.r, TRIM(B1594),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1594" t="str" cm="1">
        <f t="array" ref="H1594">_xlfn.LET(
     _xlpm.r, TRIM(C1594),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595" spans="1:8" x14ac:dyDescent="0.25">
      <c r="A1595">
        <v>2023</v>
      </c>
      <c r="B1595" t="s">
        <v>16</v>
      </c>
      <c r="C1595" t="s">
        <v>19</v>
      </c>
      <c r="E1595">
        <v>10000</v>
      </c>
      <c r="F1595" t="s">
        <v>84</v>
      </c>
      <c r="G1595" t="str" cm="1">
        <f t="array" ref="G1595">_xlfn.LET(
    _xlpm.r, TRIM(B1595),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1595" t="str" cm="1">
        <f t="array" ref="H1595">_xlfn.LET(
     _xlpm.r, TRIM(C1595),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596" spans="1:8" x14ac:dyDescent="0.25">
      <c r="A1596">
        <v>2023</v>
      </c>
      <c r="B1596" t="s">
        <v>16</v>
      </c>
      <c r="C1596" t="s">
        <v>8</v>
      </c>
      <c r="E1596">
        <v>8365000</v>
      </c>
      <c r="F1596" t="s">
        <v>84</v>
      </c>
      <c r="G1596" t="str" cm="1">
        <f t="array" ref="G1596">_xlfn.LET(
    _xlpm.r, TRIM(B1596),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الصناعة والتكنولوجيا المتقدمة</v>
      </c>
      <c r="H1596" t="str" cm="1">
        <f t="array" ref="H1596">_xlfn.LET(
     _xlpm.r, TRIM(C1596),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597" spans="1:8" x14ac:dyDescent="0.25">
      <c r="A1597">
        <v>2023</v>
      </c>
      <c r="B1597" t="s">
        <v>17</v>
      </c>
      <c r="C1597" t="s">
        <v>5</v>
      </c>
      <c r="E1597">
        <v>5066900</v>
      </c>
      <c r="F1597" t="s">
        <v>85</v>
      </c>
      <c r="G1597" t="str" cm="1">
        <f t="array" ref="G1597">_xlfn.LET(
    _xlpm.r, TRIM(B1597),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1597" t="str" cm="1">
        <f t="array" ref="H1597">_xlfn.LET(
     _xlpm.r, TRIM(C1597),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98" spans="1:8" x14ac:dyDescent="0.25">
      <c r="A1598">
        <v>2023</v>
      </c>
      <c r="B1598" t="s">
        <v>17</v>
      </c>
      <c r="C1598" t="s">
        <v>5</v>
      </c>
      <c r="E1598">
        <v>98580707</v>
      </c>
      <c r="F1598" t="s">
        <v>85</v>
      </c>
      <c r="G1598" t="str" cm="1">
        <f t="array" ref="G1598">_xlfn.LET(
    _xlpm.r, TRIM(B1598),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1598" t="str" cm="1">
        <f t="array" ref="H1598">_xlfn.LET(
     _xlpm.r, TRIM(C1598),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599" spans="1:8" x14ac:dyDescent="0.25">
      <c r="A1599">
        <v>2023</v>
      </c>
      <c r="B1599" t="s">
        <v>17</v>
      </c>
      <c r="C1599" t="s">
        <v>5</v>
      </c>
      <c r="E1599">
        <v>28432393</v>
      </c>
      <c r="F1599" t="s">
        <v>85</v>
      </c>
      <c r="G1599" t="str" cm="1">
        <f t="array" ref="G1599">_xlfn.LET(
    _xlpm.r, TRIM(B1599),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1599" t="str" cm="1">
        <f t="array" ref="H1599">_xlfn.LET(
     _xlpm.r, TRIM(C1599),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00" spans="1:8" x14ac:dyDescent="0.25">
      <c r="A1600">
        <v>2023</v>
      </c>
      <c r="B1600" t="s">
        <v>17</v>
      </c>
      <c r="C1600" t="s">
        <v>6</v>
      </c>
      <c r="E1600">
        <v>143926000</v>
      </c>
      <c r="F1600" t="s">
        <v>85</v>
      </c>
      <c r="G1600" t="str" cm="1">
        <f t="array" ref="G1600">_xlfn.LET(
    _xlpm.r, TRIM(B1600),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1600" t="str" cm="1">
        <f t="array" ref="H1600">_xlfn.LET(
     _xlpm.r, TRIM(C1600),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01" spans="1:8" x14ac:dyDescent="0.25">
      <c r="A1601">
        <v>2023</v>
      </c>
      <c r="B1601" t="s">
        <v>17</v>
      </c>
      <c r="C1601" t="s">
        <v>19</v>
      </c>
      <c r="E1601">
        <v>100000</v>
      </c>
      <c r="F1601" t="s">
        <v>85</v>
      </c>
      <c r="G1601" t="str" cm="1">
        <f t="array" ref="G1601">_xlfn.LET(
    _xlpm.r, TRIM(B1601),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1601" t="str" cm="1">
        <f t="array" ref="H1601">_xlfn.LET(
     _xlpm.r, TRIM(C1601),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602" spans="1:8" x14ac:dyDescent="0.25">
      <c r="A1602">
        <v>2023</v>
      </c>
      <c r="B1602" t="s">
        <v>17</v>
      </c>
      <c r="C1602" t="s">
        <v>8</v>
      </c>
      <c r="E1602">
        <v>2100000</v>
      </c>
      <c r="F1602" t="s">
        <v>85</v>
      </c>
      <c r="G1602" t="str" cm="1">
        <f t="array" ref="G1602">_xlfn.LET(
    _xlpm.r, TRIM(B1602),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المالية</v>
      </c>
      <c r="H1602" t="str" cm="1">
        <f t="array" ref="H1602">_xlfn.LET(
     _xlpm.r, TRIM(C1602),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603" spans="1:8" x14ac:dyDescent="0.25">
      <c r="A1603">
        <v>2023</v>
      </c>
      <c r="B1603" t="s">
        <v>18</v>
      </c>
      <c r="C1603" t="s">
        <v>5</v>
      </c>
      <c r="E1603">
        <v>999731</v>
      </c>
      <c r="F1603" t="s">
        <v>86</v>
      </c>
      <c r="G1603" t="str" cm="1">
        <f t="array" ref="G1603">_xlfn.LET(
    _xlpm.r, TRIM(B1603),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03" t="str" cm="1">
        <f t="array" ref="H1603">_xlfn.LET(
     _xlpm.r, TRIM(C1603),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04" spans="1:8" x14ac:dyDescent="0.25">
      <c r="A1604">
        <v>2023</v>
      </c>
      <c r="B1604" t="s">
        <v>18</v>
      </c>
      <c r="C1604" t="s">
        <v>5</v>
      </c>
      <c r="E1604">
        <v>81159296</v>
      </c>
      <c r="F1604" t="s">
        <v>86</v>
      </c>
      <c r="G1604" t="str" cm="1">
        <f t="array" ref="G1604">_xlfn.LET(
    _xlpm.r, TRIM(B1604),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04" t="str" cm="1">
        <f t="array" ref="H1604">_xlfn.LET(
     _xlpm.r, TRIM(C1604),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05" spans="1:8" x14ac:dyDescent="0.25">
      <c r="A1605">
        <v>2023</v>
      </c>
      <c r="B1605" t="s">
        <v>18</v>
      </c>
      <c r="C1605" t="s">
        <v>5</v>
      </c>
      <c r="E1605">
        <v>37095778</v>
      </c>
      <c r="F1605" t="s">
        <v>86</v>
      </c>
      <c r="G1605" t="str" cm="1">
        <f t="array" ref="G1605">_xlfn.LET(
    _xlpm.r, TRIM(B1605),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05" t="str" cm="1">
        <f t="array" ref="H1605">_xlfn.LET(
     _xlpm.r, TRIM(C1605),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06" spans="1:8" x14ac:dyDescent="0.25">
      <c r="A1606">
        <v>2023</v>
      </c>
      <c r="B1606" t="s">
        <v>18</v>
      </c>
      <c r="C1606" t="s">
        <v>5</v>
      </c>
      <c r="E1606">
        <v>3159607</v>
      </c>
      <c r="F1606" t="s">
        <v>86</v>
      </c>
      <c r="G1606" t="str" cm="1">
        <f t="array" ref="G1606">_xlfn.LET(
    _xlpm.r, TRIM(B1606),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06" t="str" cm="1">
        <f t="array" ref="H1606">_xlfn.LET(
     _xlpm.r, TRIM(C1606),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07" spans="1:8" x14ac:dyDescent="0.25">
      <c r="A1607">
        <v>2023</v>
      </c>
      <c r="B1607" t="s">
        <v>18</v>
      </c>
      <c r="C1607" t="s">
        <v>5</v>
      </c>
      <c r="E1607">
        <v>924953</v>
      </c>
      <c r="F1607" t="s">
        <v>86</v>
      </c>
      <c r="G1607" t="str" cm="1">
        <f t="array" ref="G1607">_xlfn.LET(
    _xlpm.r, TRIM(B1607),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07" t="str" cm="1">
        <f t="array" ref="H1607">_xlfn.LET(
     _xlpm.r, TRIM(C1607),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08" spans="1:8" x14ac:dyDescent="0.25">
      <c r="A1608">
        <v>2023</v>
      </c>
      <c r="B1608" t="s">
        <v>18</v>
      </c>
      <c r="C1608" t="s">
        <v>5</v>
      </c>
      <c r="E1608">
        <v>1342538</v>
      </c>
      <c r="F1608" t="s">
        <v>86</v>
      </c>
      <c r="G1608" t="str" cm="1">
        <f t="array" ref="G1608">_xlfn.LET(
    _xlpm.r, TRIM(B1608),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08" t="str" cm="1">
        <f t="array" ref="H1608">_xlfn.LET(
     _xlpm.r, TRIM(C1608),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09" spans="1:8" x14ac:dyDescent="0.25">
      <c r="A1609">
        <v>2023</v>
      </c>
      <c r="B1609" t="s">
        <v>18</v>
      </c>
      <c r="C1609" t="s">
        <v>5</v>
      </c>
      <c r="E1609">
        <v>5063550</v>
      </c>
      <c r="F1609" t="s">
        <v>86</v>
      </c>
      <c r="G1609" t="str" cm="1">
        <f t="array" ref="G1609">_xlfn.LET(
    _xlpm.r, TRIM(B1609),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09" t="str" cm="1">
        <f t="array" ref="H1609">_xlfn.LET(
     _xlpm.r, TRIM(C1609),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10" spans="1:8" x14ac:dyDescent="0.25">
      <c r="A1610">
        <v>2023</v>
      </c>
      <c r="B1610" t="s">
        <v>18</v>
      </c>
      <c r="C1610" t="s">
        <v>5</v>
      </c>
      <c r="E1610">
        <v>1896402</v>
      </c>
      <c r="F1610" t="s">
        <v>86</v>
      </c>
      <c r="G1610" t="str" cm="1">
        <f t="array" ref="G1610">_xlfn.LET(
    _xlpm.r, TRIM(B1610),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10" t="str" cm="1">
        <f t="array" ref="H1610">_xlfn.LET(
     _xlpm.r, TRIM(C1610),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11" spans="1:8" x14ac:dyDescent="0.25">
      <c r="A1611">
        <v>2023</v>
      </c>
      <c r="B1611" t="s">
        <v>18</v>
      </c>
      <c r="C1611" t="s">
        <v>5</v>
      </c>
      <c r="E1611">
        <v>899853</v>
      </c>
      <c r="F1611" t="s">
        <v>86</v>
      </c>
      <c r="G1611" t="str" cm="1">
        <f t="array" ref="G1611">_xlfn.LET(
    _xlpm.r, TRIM(B1611),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11" t="str" cm="1">
        <f t="array" ref="H1611">_xlfn.LET(
     _xlpm.r, TRIM(C1611),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12" spans="1:8" x14ac:dyDescent="0.25">
      <c r="A1612">
        <v>2023</v>
      </c>
      <c r="B1612" t="s">
        <v>18</v>
      </c>
      <c r="C1612" t="s">
        <v>5</v>
      </c>
      <c r="E1612">
        <v>2093842</v>
      </c>
      <c r="F1612" t="s">
        <v>86</v>
      </c>
      <c r="G1612" t="str" cm="1">
        <f t="array" ref="G1612">_xlfn.LET(
    _xlpm.r, TRIM(B1612),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12" t="str" cm="1">
        <f t="array" ref="H1612">_xlfn.LET(
     _xlpm.r, TRIM(C1612),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13" spans="1:8" x14ac:dyDescent="0.25">
      <c r="A1613">
        <v>2023</v>
      </c>
      <c r="B1613" t="s">
        <v>18</v>
      </c>
      <c r="C1613" t="s">
        <v>5</v>
      </c>
      <c r="E1613">
        <v>1589238</v>
      </c>
      <c r="F1613" t="s">
        <v>86</v>
      </c>
      <c r="G1613" t="str" cm="1">
        <f t="array" ref="G1613">_xlfn.LET(
    _xlpm.r, TRIM(B1613),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13" t="str" cm="1">
        <f t="array" ref="H1613">_xlfn.LET(
     _xlpm.r, TRIM(C1613),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14" spans="1:8" x14ac:dyDescent="0.25">
      <c r="A1614">
        <v>2023</v>
      </c>
      <c r="B1614" t="s">
        <v>18</v>
      </c>
      <c r="C1614" t="s">
        <v>5</v>
      </c>
      <c r="E1614">
        <v>2511080</v>
      </c>
      <c r="F1614" t="s">
        <v>86</v>
      </c>
      <c r="G1614" t="str" cm="1">
        <f t="array" ref="G1614">_xlfn.LET(
    _xlpm.r, TRIM(B1614),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14" t="str" cm="1">
        <f t="array" ref="H1614">_xlfn.LET(
     _xlpm.r, TRIM(C1614),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15" spans="1:8" x14ac:dyDescent="0.25">
      <c r="A1615">
        <v>2023</v>
      </c>
      <c r="B1615" t="s">
        <v>18</v>
      </c>
      <c r="C1615" t="s">
        <v>5</v>
      </c>
      <c r="E1615">
        <v>4262732</v>
      </c>
      <c r="F1615" t="s">
        <v>86</v>
      </c>
      <c r="G1615" t="str" cm="1">
        <f t="array" ref="G1615">_xlfn.LET(
    _xlpm.r, TRIM(B1615),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15" t="str" cm="1">
        <f t="array" ref="H1615">_xlfn.LET(
     _xlpm.r, TRIM(C1615),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16" spans="1:8" x14ac:dyDescent="0.25">
      <c r="A1616">
        <v>2023</v>
      </c>
      <c r="B1616" t="s">
        <v>18</v>
      </c>
      <c r="C1616" t="s">
        <v>5</v>
      </c>
      <c r="E1616">
        <v>519800</v>
      </c>
      <c r="F1616" t="s">
        <v>86</v>
      </c>
      <c r="G1616" t="str" cm="1">
        <f t="array" ref="G1616">_xlfn.LET(
    _xlpm.r, TRIM(B1616),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16" t="str" cm="1">
        <f t="array" ref="H1616">_xlfn.LET(
     _xlpm.r, TRIM(C1616),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17" spans="1:8" x14ac:dyDescent="0.25">
      <c r="A1617">
        <v>2023</v>
      </c>
      <c r="B1617" t="s">
        <v>18</v>
      </c>
      <c r="C1617" t="s">
        <v>5</v>
      </c>
      <c r="E1617">
        <v>713600</v>
      </c>
      <c r="F1617" t="s">
        <v>86</v>
      </c>
      <c r="G1617" t="str" cm="1">
        <f t="array" ref="G1617">_xlfn.LET(
    _xlpm.r, TRIM(B1617),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17" t="str" cm="1">
        <f t="array" ref="H1617">_xlfn.LET(
     _xlpm.r, TRIM(C1617),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18" spans="1:8" x14ac:dyDescent="0.25">
      <c r="A1618">
        <v>2023</v>
      </c>
      <c r="B1618" t="s">
        <v>18</v>
      </c>
      <c r="C1618" t="s">
        <v>6</v>
      </c>
      <c r="E1618">
        <v>80808537</v>
      </c>
      <c r="F1618" t="s">
        <v>86</v>
      </c>
      <c r="G1618" t="str" cm="1">
        <f t="array" ref="G1618">_xlfn.LET(
    _xlpm.r, TRIM(B1618),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18" t="str" cm="1">
        <f t="array" ref="H1618">_xlfn.LET(
     _xlpm.r, TRIM(C1618),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19" spans="1:8" x14ac:dyDescent="0.25">
      <c r="A1619">
        <v>2023</v>
      </c>
      <c r="B1619" t="s">
        <v>18</v>
      </c>
      <c r="C1619" t="s">
        <v>6</v>
      </c>
      <c r="E1619">
        <v>15276963</v>
      </c>
      <c r="F1619" t="s">
        <v>86</v>
      </c>
      <c r="G1619" t="str" cm="1">
        <f t="array" ref="G1619">_xlfn.LET(
    _xlpm.r, TRIM(B1619),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19" t="str" cm="1">
        <f t="array" ref="H1619">_xlfn.LET(
     _xlpm.r, TRIM(C1619),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20" spans="1:8" x14ac:dyDescent="0.25">
      <c r="A1620">
        <v>2023</v>
      </c>
      <c r="B1620" t="s">
        <v>18</v>
      </c>
      <c r="C1620" t="s">
        <v>6</v>
      </c>
      <c r="E1620">
        <v>166750</v>
      </c>
      <c r="F1620" t="s">
        <v>86</v>
      </c>
      <c r="G1620" t="str" cm="1">
        <f t="array" ref="G1620">_xlfn.LET(
    _xlpm.r, TRIM(B1620),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20" t="str" cm="1">
        <f t="array" ref="H1620">_xlfn.LET(
     _xlpm.r, TRIM(C1620),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21" spans="1:8" x14ac:dyDescent="0.25">
      <c r="A1621">
        <v>2023</v>
      </c>
      <c r="B1621" t="s">
        <v>18</v>
      </c>
      <c r="C1621" t="s">
        <v>6</v>
      </c>
      <c r="E1621">
        <v>182750</v>
      </c>
      <c r="F1621" t="s">
        <v>86</v>
      </c>
      <c r="G1621" t="str" cm="1">
        <f t="array" ref="G1621">_xlfn.LET(
    _xlpm.r, TRIM(B1621),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21" t="str" cm="1">
        <f t="array" ref="H1621">_xlfn.LET(
     _xlpm.r, TRIM(C1621),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22" spans="1:8" x14ac:dyDescent="0.25">
      <c r="A1622">
        <v>2023</v>
      </c>
      <c r="B1622" t="s">
        <v>18</v>
      </c>
      <c r="C1622" t="s">
        <v>6</v>
      </c>
      <c r="E1622">
        <v>239000</v>
      </c>
      <c r="F1622" t="s">
        <v>86</v>
      </c>
      <c r="G1622" t="str" cm="1">
        <f t="array" ref="G1622">_xlfn.LET(
    _xlpm.r, TRIM(B1622),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22" t="str" cm="1">
        <f t="array" ref="H1622">_xlfn.LET(
     _xlpm.r, TRIM(C1622),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23" spans="1:8" x14ac:dyDescent="0.25">
      <c r="A1623">
        <v>2023</v>
      </c>
      <c r="B1623" t="s">
        <v>18</v>
      </c>
      <c r="C1623" t="s">
        <v>6</v>
      </c>
      <c r="E1623">
        <v>913750</v>
      </c>
      <c r="F1623" t="s">
        <v>86</v>
      </c>
      <c r="G1623" t="str" cm="1">
        <f t="array" ref="G1623">_xlfn.LET(
    _xlpm.r, TRIM(B1623),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23" t="str" cm="1">
        <f t="array" ref="H1623">_xlfn.LET(
     _xlpm.r, TRIM(C1623),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24" spans="1:8" x14ac:dyDescent="0.25">
      <c r="A1624">
        <v>2023</v>
      </c>
      <c r="B1624" t="s">
        <v>18</v>
      </c>
      <c r="C1624" t="s">
        <v>6</v>
      </c>
      <c r="E1624">
        <v>799250</v>
      </c>
      <c r="F1624" t="s">
        <v>86</v>
      </c>
      <c r="G1624" t="str" cm="1">
        <f t="array" ref="G1624">_xlfn.LET(
    _xlpm.r, TRIM(B1624),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24" t="str" cm="1">
        <f t="array" ref="H1624">_xlfn.LET(
     _xlpm.r, TRIM(C1624),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25" spans="1:8" x14ac:dyDescent="0.25">
      <c r="A1625">
        <v>2023</v>
      </c>
      <c r="B1625" t="s">
        <v>18</v>
      </c>
      <c r="C1625" t="s">
        <v>19</v>
      </c>
      <c r="E1625">
        <v>50000</v>
      </c>
      <c r="F1625" t="s">
        <v>86</v>
      </c>
      <c r="G1625" t="str" cm="1">
        <f t="array" ref="G1625">_xlfn.LET(
    _xlpm.r, TRIM(B1625),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25" t="str" cm="1">
        <f t="array" ref="H1625">_xlfn.LET(
     _xlpm.r, TRIM(C1625),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626" spans="1:8" x14ac:dyDescent="0.25">
      <c r="A1626">
        <v>2023</v>
      </c>
      <c r="B1626" t="s">
        <v>18</v>
      </c>
      <c r="C1626" t="s">
        <v>8</v>
      </c>
      <c r="E1626">
        <v>3974454</v>
      </c>
      <c r="F1626" t="s">
        <v>86</v>
      </c>
      <c r="G1626" t="str" cm="1">
        <f t="array" ref="G1626">_xlfn.LET(
    _xlpm.r, TRIM(B1626),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26" t="str" cm="1">
        <f t="array" ref="H1626">_xlfn.LET(
     _xlpm.r, TRIM(C1626),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627" spans="1:8" x14ac:dyDescent="0.25">
      <c r="A1627">
        <v>2023</v>
      </c>
      <c r="B1627" t="s">
        <v>18</v>
      </c>
      <c r="C1627" t="s">
        <v>8</v>
      </c>
      <c r="E1627">
        <v>1005546</v>
      </c>
      <c r="F1627" t="s">
        <v>86</v>
      </c>
      <c r="G1627" t="str" cm="1">
        <f t="array" ref="G1627">_xlfn.LET(
    _xlpm.r, TRIM(B1627),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27" t="str" cm="1">
        <f t="array" ref="H1627">_xlfn.LET(
     _xlpm.r, TRIM(C1627),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628" spans="1:8" x14ac:dyDescent="0.25">
      <c r="A1628">
        <v>2023</v>
      </c>
      <c r="B1628" t="s">
        <v>18</v>
      </c>
      <c r="C1628" t="s">
        <v>8</v>
      </c>
      <c r="E1628">
        <v>300000</v>
      </c>
      <c r="F1628" t="s">
        <v>86</v>
      </c>
      <c r="G1628" t="str" cm="1">
        <f t="array" ref="G1628">_xlfn.LET(
    _xlpm.r, TRIM(B1628),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الاقتصاد</v>
      </c>
      <c r="H1628" t="str" cm="1">
        <f t="array" ref="H1628">_xlfn.LET(
     _xlpm.r, TRIM(C1628),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629" spans="1:8" x14ac:dyDescent="0.25">
      <c r="A1629">
        <v>2023</v>
      </c>
      <c r="B1629" t="s">
        <v>20</v>
      </c>
      <c r="C1629" t="s">
        <v>5</v>
      </c>
      <c r="E1629">
        <v>119214000</v>
      </c>
      <c r="F1629" t="s">
        <v>87</v>
      </c>
      <c r="G1629" t="str" cm="1">
        <f t="array" ref="G1629">_xlfn.LET(
    _xlpm.r, TRIM(B1629),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ديوان المحاسبة</v>
      </c>
      <c r="H1629" t="str" cm="1">
        <f t="array" ref="H1629">_xlfn.LET(
     _xlpm.r, TRIM(C1629),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30" spans="1:8" x14ac:dyDescent="0.25">
      <c r="A1630">
        <v>2023</v>
      </c>
      <c r="B1630" t="s">
        <v>20</v>
      </c>
      <c r="C1630" t="s">
        <v>6</v>
      </c>
      <c r="E1630">
        <v>12000000</v>
      </c>
      <c r="F1630" t="s">
        <v>87</v>
      </c>
      <c r="G1630" t="str" cm="1">
        <f t="array" ref="G1630">_xlfn.LET(
    _xlpm.r, TRIM(B1630),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ديوان المحاسبة</v>
      </c>
      <c r="H1630" t="str" cm="1">
        <f t="array" ref="H1630">_xlfn.LET(
     _xlpm.r, TRIM(C1630),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31" spans="1:8" x14ac:dyDescent="0.25">
      <c r="A1631">
        <v>2023</v>
      </c>
      <c r="B1631" t="s">
        <v>20</v>
      </c>
      <c r="C1631" t="s">
        <v>8</v>
      </c>
      <c r="E1631">
        <v>2500000</v>
      </c>
      <c r="F1631" t="s">
        <v>87</v>
      </c>
      <c r="G1631" t="str" cm="1">
        <f t="array" ref="G1631">_xlfn.LET(
    _xlpm.r, TRIM(B1631),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ديوان المحاسبة</v>
      </c>
      <c r="H1631" t="str" cm="1">
        <f t="array" ref="H1631">_xlfn.LET(
     _xlpm.r, TRIM(C1631),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632" spans="1:8" x14ac:dyDescent="0.25">
      <c r="A1632">
        <v>2023</v>
      </c>
      <c r="B1632" t="s">
        <v>21</v>
      </c>
      <c r="C1632" t="s">
        <v>5</v>
      </c>
      <c r="E1632">
        <v>2351600</v>
      </c>
      <c r="F1632" t="s">
        <v>88</v>
      </c>
      <c r="G1632" t="str" cm="1">
        <f t="array" ref="G1632">_xlfn.LET(
    _xlpm.r, TRIM(B1632),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32" t="str" cm="1">
        <f t="array" ref="H1632">_xlfn.LET(
     _xlpm.r, TRIM(C1632),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33" spans="1:8" x14ac:dyDescent="0.25">
      <c r="A1633">
        <v>2023</v>
      </c>
      <c r="B1633" t="s">
        <v>21</v>
      </c>
      <c r="C1633" t="s">
        <v>5</v>
      </c>
      <c r="E1633">
        <v>70903812</v>
      </c>
      <c r="F1633" t="s">
        <v>88</v>
      </c>
      <c r="G1633" t="str" cm="1">
        <f t="array" ref="G1633">_xlfn.LET(
    _xlpm.r, TRIM(B1633),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33" t="str" cm="1">
        <f t="array" ref="H1633">_xlfn.LET(
     _xlpm.r, TRIM(C1633),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34" spans="1:8" x14ac:dyDescent="0.25">
      <c r="A1634">
        <v>2023</v>
      </c>
      <c r="B1634" t="s">
        <v>21</v>
      </c>
      <c r="C1634" t="s">
        <v>5</v>
      </c>
      <c r="E1634">
        <v>230591104</v>
      </c>
      <c r="F1634" t="s">
        <v>88</v>
      </c>
      <c r="G1634" t="str" cm="1">
        <f t="array" ref="G1634">_xlfn.LET(
    _xlpm.r, TRIM(B1634),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34" t="str" cm="1">
        <f t="array" ref="H1634">_xlfn.LET(
     _xlpm.r, TRIM(C1634),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35" spans="1:8" x14ac:dyDescent="0.25">
      <c r="A1635">
        <v>2023</v>
      </c>
      <c r="B1635" t="s">
        <v>21</v>
      </c>
      <c r="C1635" t="s">
        <v>5</v>
      </c>
      <c r="E1635">
        <v>40151100</v>
      </c>
      <c r="F1635" t="s">
        <v>88</v>
      </c>
      <c r="G1635" t="str" cm="1">
        <f t="array" ref="G1635">_xlfn.LET(
    _xlpm.r, TRIM(B1635),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35" t="str" cm="1">
        <f t="array" ref="H1635">_xlfn.LET(
     _xlpm.r, TRIM(C1635),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36" spans="1:8" x14ac:dyDescent="0.25">
      <c r="A1636">
        <v>2023</v>
      </c>
      <c r="B1636" t="s">
        <v>21</v>
      </c>
      <c r="C1636" t="s">
        <v>5</v>
      </c>
      <c r="E1636">
        <v>24539160</v>
      </c>
      <c r="F1636" t="s">
        <v>88</v>
      </c>
      <c r="G1636" t="str" cm="1">
        <f t="array" ref="G1636">_xlfn.LET(
    _xlpm.r, TRIM(B1636),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36" t="str" cm="1">
        <f t="array" ref="H1636">_xlfn.LET(
     _xlpm.r, TRIM(C1636),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37" spans="1:8" x14ac:dyDescent="0.25">
      <c r="A1637">
        <v>2023</v>
      </c>
      <c r="B1637" t="s">
        <v>21</v>
      </c>
      <c r="C1637" t="s">
        <v>5</v>
      </c>
      <c r="E1637">
        <v>21565584</v>
      </c>
      <c r="F1637" t="s">
        <v>88</v>
      </c>
      <c r="G1637" t="str" cm="1">
        <f t="array" ref="G1637">_xlfn.LET(
    _xlpm.r, TRIM(B1637),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37" t="str" cm="1">
        <f t="array" ref="H1637">_xlfn.LET(
     _xlpm.r, TRIM(C1637),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38" spans="1:8" x14ac:dyDescent="0.25">
      <c r="A1638">
        <v>2023</v>
      </c>
      <c r="B1638" t="s">
        <v>21</v>
      </c>
      <c r="C1638" t="s">
        <v>5</v>
      </c>
      <c r="E1638">
        <v>30532884</v>
      </c>
      <c r="F1638" t="s">
        <v>88</v>
      </c>
      <c r="G1638" t="str" cm="1">
        <f t="array" ref="G1638">_xlfn.LET(
    _xlpm.r, TRIM(B1638),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38" t="str" cm="1">
        <f t="array" ref="H1638">_xlfn.LET(
     _xlpm.r, TRIM(C1638),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39" spans="1:8" x14ac:dyDescent="0.25">
      <c r="A1639">
        <v>2023</v>
      </c>
      <c r="B1639" t="s">
        <v>21</v>
      </c>
      <c r="C1639" t="s">
        <v>5</v>
      </c>
      <c r="E1639">
        <v>11215308</v>
      </c>
      <c r="F1639" t="s">
        <v>88</v>
      </c>
      <c r="G1639" t="str" cm="1">
        <f t="array" ref="G1639">_xlfn.LET(
    _xlpm.r, TRIM(B1639),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39" t="str" cm="1">
        <f t="array" ref="H1639">_xlfn.LET(
     _xlpm.r, TRIM(C1639),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40" spans="1:8" x14ac:dyDescent="0.25">
      <c r="A1640">
        <v>2023</v>
      </c>
      <c r="B1640" t="s">
        <v>21</v>
      </c>
      <c r="C1640" t="s">
        <v>5</v>
      </c>
      <c r="E1640">
        <v>26074248</v>
      </c>
      <c r="F1640" t="s">
        <v>88</v>
      </c>
      <c r="G1640" t="str" cm="1">
        <f t="array" ref="G1640">_xlfn.LET(
    _xlpm.r, TRIM(B1640),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40" t="str" cm="1">
        <f t="array" ref="H1640">_xlfn.LET(
     _xlpm.r, TRIM(C1640),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41" spans="1:8" x14ac:dyDescent="0.25">
      <c r="A1641">
        <v>2023</v>
      </c>
      <c r="B1641" t="s">
        <v>21</v>
      </c>
      <c r="C1641" t="s">
        <v>5</v>
      </c>
      <c r="E1641">
        <v>3262200</v>
      </c>
      <c r="F1641" t="s">
        <v>88</v>
      </c>
      <c r="G1641" t="str" cm="1">
        <f t="array" ref="G1641">_xlfn.LET(
    _xlpm.r, TRIM(B1641),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41" t="str" cm="1">
        <f t="array" ref="H1641">_xlfn.LET(
     _xlpm.r, TRIM(C1641),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42" spans="1:8" x14ac:dyDescent="0.25">
      <c r="A1642">
        <v>2023</v>
      </c>
      <c r="B1642" t="s">
        <v>21</v>
      </c>
      <c r="C1642" t="s">
        <v>6</v>
      </c>
      <c r="E1642">
        <v>23832104</v>
      </c>
      <c r="F1642" t="s">
        <v>88</v>
      </c>
      <c r="G1642" t="str" cm="1">
        <f t="array" ref="G1642">_xlfn.LET(
    _xlpm.r, TRIM(B1642),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42" t="str" cm="1">
        <f t="array" ref="H1642">_xlfn.LET(
     _xlpm.r, TRIM(C1642),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43" spans="1:8" x14ac:dyDescent="0.25">
      <c r="A1643">
        <v>2023</v>
      </c>
      <c r="B1643" t="s">
        <v>21</v>
      </c>
      <c r="C1643" t="s">
        <v>6</v>
      </c>
      <c r="E1643">
        <v>84259276</v>
      </c>
      <c r="F1643" t="s">
        <v>88</v>
      </c>
      <c r="G1643" t="str" cm="1">
        <f t="array" ref="G1643">_xlfn.LET(
    _xlpm.r, TRIM(B1643),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43" t="str" cm="1">
        <f t="array" ref="H1643">_xlfn.LET(
     _xlpm.r, TRIM(C1643),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44" spans="1:8" x14ac:dyDescent="0.25">
      <c r="A1644">
        <v>2023</v>
      </c>
      <c r="B1644" t="s">
        <v>21</v>
      </c>
      <c r="C1644" t="s">
        <v>6</v>
      </c>
      <c r="E1644">
        <v>2180140</v>
      </c>
      <c r="F1644" t="s">
        <v>88</v>
      </c>
      <c r="G1644" t="str" cm="1">
        <f t="array" ref="G1644">_xlfn.LET(
    _xlpm.r, TRIM(B1644),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44" t="str" cm="1">
        <f t="array" ref="H1644">_xlfn.LET(
     _xlpm.r, TRIM(C1644),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45" spans="1:8" x14ac:dyDescent="0.25">
      <c r="A1645">
        <v>2023</v>
      </c>
      <c r="B1645" t="s">
        <v>21</v>
      </c>
      <c r="C1645" t="s">
        <v>6</v>
      </c>
      <c r="E1645">
        <v>374710</v>
      </c>
      <c r="F1645" t="s">
        <v>88</v>
      </c>
      <c r="G1645" t="str" cm="1">
        <f t="array" ref="G1645">_xlfn.LET(
    _xlpm.r, TRIM(B1645),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45" t="str" cm="1">
        <f t="array" ref="H1645">_xlfn.LET(
     _xlpm.r, TRIM(C1645),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46" spans="1:8" x14ac:dyDescent="0.25">
      <c r="A1646">
        <v>2023</v>
      </c>
      <c r="B1646" t="s">
        <v>21</v>
      </c>
      <c r="C1646" t="s">
        <v>6</v>
      </c>
      <c r="E1646">
        <v>374710</v>
      </c>
      <c r="F1646" t="s">
        <v>88</v>
      </c>
      <c r="G1646" t="str" cm="1">
        <f t="array" ref="G1646">_xlfn.LET(
    _xlpm.r, TRIM(B1646),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46" t="str" cm="1">
        <f t="array" ref="H1646">_xlfn.LET(
     _xlpm.r, TRIM(C1646),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47" spans="1:8" x14ac:dyDescent="0.25">
      <c r="A1647">
        <v>2023</v>
      </c>
      <c r="B1647" t="s">
        <v>21</v>
      </c>
      <c r="C1647" t="s">
        <v>6</v>
      </c>
      <c r="E1647">
        <v>374710</v>
      </c>
      <c r="F1647" t="s">
        <v>88</v>
      </c>
      <c r="G1647" t="str" cm="1">
        <f t="array" ref="G1647">_xlfn.LET(
    _xlpm.r, TRIM(B1647),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47" t="str" cm="1">
        <f t="array" ref="H1647">_xlfn.LET(
     _xlpm.r, TRIM(C1647),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48" spans="1:8" x14ac:dyDescent="0.25">
      <c r="A1648">
        <v>2023</v>
      </c>
      <c r="B1648" t="s">
        <v>21</v>
      </c>
      <c r="C1648" t="s">
        <v>6</v>
      </c>
      <c r="E1648">
        <v>49350</v>
      </c>
      <c r="F1648" t="s">
        <v>88</v>
      </c>
      <c r="G1648" t="str" cm="1">
        <f t="array" ref="G1648">_xlfn.LET(
    _xlpm.r, TRIM(B1648),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48" t="str" cm="1">
        <f t="array" ref="H1648">_xlfn.LET(
     _xlpm.r, TRIM(C1648),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49" spans="1:8" x14ac:dyDescent="0.25">
      <c r="A1649">
        <v>2023</v>
      </c>
      <c r="B1649" t="s">
        <v>21</v>
      </c>
      <c r="C1649" t="s">
        <v>19</v>
      </c>
      <c r="E1649">
        <v>734000</v>
      </c>
      <c r="F1649" t="s">
        <v>88</v>
      </c>
      <c r="G1649" t="str" cm="1">
        <f t="array" ref="G1649">_xlfn.LET(
    _xlpm.r, TRIM(B1649),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49" t="str" cm="1">
        <f t="array" ref="H1649">_xlfn.LET(
     _xlpm.r, TRIM(C1649),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650" spans="1:8" x14ac:dyDescent="0.25">
      <c r="A1650">
        <v>2023</v>
      </c>
      <c r="B1650" t="s">
        <v>21</v>
      </c>
      <c r="C1650" t="s">
        <v>8</v>
      </c>
      <c r="E1650">
        <v>56815000</v>
      </c>
      <c r="F1650" t="s">
        <v>88</v>
      </c>
      <c r="G1650" t="str" cm="1">
        <f t="array" ref="G1650">_xlfn.LET(
    _xlpm.r, TRIM(B1650),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الموارد البشرية والتوطين</v>
      </c>
      <c r="H1650" t="str" cm="1">
        <f t="array" ref="H1650">_xlfn.LET(
     _xlpm.r, TRIM(C1650),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651" spans="1:8" x14ac:dyDescent="0.25">
      <c r="A1651">
        <v>2023</v>
      </c>
      <c r="B1651" t="s">
        <v>54</v>
      </c>
      <c r="C1651" t="s">
        <v>5</v>
      </c>
      <c r="E1651">
        <v>4936000</v>
      </c>
      <c r="F1651" t="s">
        <v>118</v>
      </c>
      <c r="G1651" t="str" cm="1">
        <f t="array" ref="G1651">_xlfn.LET(
    _xlpm.r, TRIM(B1651),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 جابر السويدي</v>
      </c>
      <c r="H1651" t="str" cm="1">
        <f t="array" ref="H1651">_xlfn.LET(
     _xlpm.r, TRIM(C1651),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52" spans="1:8" x14ac:dyDescent="0.25">
      <c r="A1652">
        <v>2023</v>
      </c>
      <c r="B1652" t="s">
        <v>54</v>
      </c>
      <c r="C1652" t="s">
        <v>6</v>
      </c>
      <c r="E1652">
        <v>190000</v>
      </c>
      <c r="F1652" t="s">
        <v>118</v>
      </c>
      <c r="G1652" t="str" cm="1">
        <f t="array" ref="G1652">_xlfn.LET(
    _xlpm.r, TRIM(B1652),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 جابر السويدي</v>
      </c>
      <c r="H1652" t="str" cm="1">
        <f t="array" ref="H1652">_xlfn.LET(
     _xlpm.r, TRIM(C1652),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53" spans="1:8" x14ac:dyDescent="0.25">
      <c r="A1653">
        <v>2023</v>
      </c>
      <c r="B1653" t="s">
        <v>22</v>
      </c>
      <c r="C1653" t="s">
        <v>5</v>
      </c>
      <c r="E1653">
        <v>18810696</v>
      </c>
      <c r="F1653" t="s">
        <v>89</v>
      </c>
      <c r="G1653" t="str" cm="1">
        <f t="array" ref="G1653">_xlfn.LET(
    _xlpm.r, TRIM(B1653),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53" t="str" cm="1">
        <f t="array" ref="H1653">_xlfn.LET(
     _xlpm.r, TRIM(C1653),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54" spans="1:8" x14ac:dyDescent="0.25">
      <c r="A1654">
        <v>2023</v>
      </c>
      <c r="B1654" t="s">
        <v>22</v>
      </c>
      <c r="C1654" t="s">
        <v>5</v>
      </c>
      <c r="E1654">
        <v>311961500</v>
      </c>
      <c r="F1654" t="s">
        <v>89</v>
      </c>
      <c r="G1654" t="str" cm="1">
        <f t="array" ref="G1654">_xlfn.LET(
    _xlpm.r, TRIM(B1654),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54" t="str" cm="1">
        <f t="array" ref="H1654">_xlfn.LET(
     _xlpm.r, TRIM(C1654),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55" spans="1:8" x14ac:dyDescent="0.25">
      <c r="A1655">
        <v>2023</v>
      </c>
      <c r="B1655" t="s">
        <v>22</v>
      </c>
      <c r="C1655" t="s">
        <v>5</v>
      </c>
      <c r="E1655">
        <v>4432044</v>
      </c>
      <c r="F1655" t="s">
        <v>89</v>
      </c>
      <c r="G1655" t="str" cm="1">
        <f t="array" ref="G1655">_xlfn.LET(
    _xlpm.r, TRIM(B1655),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55" t="str" cm="1">
        <f t="array" ref="H1655">_xlfn.LET(
     _xlpm.r, TRIM(C1655),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56" spans="1:8" x14ac:dyDescent="0.25">
      <c r="A1656">
        <v>2023</v>
      </c>
      <c r="B1656" t="s">
        <v>22</v>
      </c>
      <c r="C1656" t="s">
        <v>5</v>
      </c>
      <c r="E1656">
        <v>238644408</v>
      </c>
      <c r="F1656" t="s">
        <v>89</v>
      </c>
      <c r="G1656" t="str" cm="1">
        <f t="array" ref="G1656">_xlfn.LET(
    _xlpm.r, TRIM(B1656),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56" t="str" cm="1">
        <f t="array" ref="H1656">_xlfn.LET(
     _xlpm.r, TRIM(C1656),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57" spans="1:8" x14ac:dyDescent="0.25">
      <c r="A1657">
        <v>2023</v>
      </c>
      <c r="B1657" t="s">
        <v>22</v>
      </c>
      <c r="C1657" t="s">
        <v>5</v>
      </c>
      <c r="E1657">
        <v>93394824</v>
      </c>
      <c r="F1657" t="s">
        <v>89</v>
      </c>
      <c r="G1657" t="str" cm="1">
        <f t="array" ref="G1657">_xlfn.LET(
    _xlpm.r, TRIM(B1657),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57" t="str" cm="1">
        <f t="array" ref="H1657">_xlfn.LET(
     _xlpm.r, TRIM(C1657),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58" spans="1:8" x14ac:dyDescent="0.25">
      <c r="A1658">
        <v>2023</v>
      </c>
      <c r="B1658" t="s">
        <v>22</v>
      </c>
      <c r="C1658" t="s">
        <v>5</v>
      </c>
      <c r="E1658">
        <v>86135528</v>
      </c>
      <c r="F1658" t="s">
        <v>89</v>
      </c>
      <c r="G1658" t="str" cm="1">
        <f t="array" ref="G1658">_xlfn.LET(
    _xlpm.r, TRIM(B1658),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58" t="str" cm="1">
        <f t="array" ref="H1658">_xlfn.LET(
     _xlpm.r, TRIM(C1658),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59" spans="1:8" x14ac:dyDescent="0.25">
      <c r="A1659">
        <v>2023</v>
      </c>
      <c r="B1659" t="s">
        <v>22</v>
      </c>
      <c r="C1659" t="s">
        <v>5</v>
      </c>
      <c r="E1659">
        <v>1106100</v>
      </c>
      <c r="F1659" t="s">
        <v>89</v>
      </c>
      <c r="G1659" t="str" cm="1">
        <f t="array" ref="G1659">_xlfn.LET(
    _xlpm.r, TRIM(B1659),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59" t="str" cm="1">
        <f t="array" ref="H1659">_xlfn.LET(
     _xlpm.r, TRIM(C1659),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60" spans="1:8" x14ac:dyDescent="0.25">
      <c r="A1660">
        <v>2023</v>
      </c>
      <c r="B1660" t="s">
        <v>22</v>
      </c>
      <c r="C1660" t="s">
        <v>5</v>
      </c>
      <c r="E1660">
        <v>30291900</v>
      </c>
      <c r="F1660" t="s">
        <v>89</v>
      </c>
      <c r="G1660" t="str" cm="1">
        <f t="array" ref="G1660">_xlfn.LET(
    _xlpm.r, TRIM(B1660),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60" t="str" cm="1">
        <f t="array" ref="H1660">_xlfn.LET(
     _xlpm.r, TRIM(C1660),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61" spans="1:8" x14ac:dyDescent="0.25">
      <c r="A1661">
        <v>2023</v>
      </c>
      <c r="B1661" t="s">
        <v>22</v>
      </c>
      <c r="C1661" t="s">
        <v>6</v>
      </c>
      <c r="E1661">
        <v>90152400</v>
      </c>
      <c r="F1661" t="s">
        <v>89</v>
      </c>
      <c r="G1661" t="str" cm="1">
        <f t="array" ref="G1661">_xlfn.LET(
    _xlpm.r, TRIM(B1661),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61" t="str" cm="1">
        <f t="array" ref="H1661">_xlfn.LET(
     _xlpm.r, TRIM(C1661),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62" spans="1:8" x14ac:dyDescent="0.25">
      <c r="A1662">
        <v>2023</v>
      </c>
      <c r="B1662" t="s">
        <v>22</v>
      </c>
      <c r="C1662" t="s">
        <v>6</v>
      </c>
      <c r="E1662">
        <v>11361600</v>
      </c>
      <c r="F1662" t="s">
        <v>89</v>
      </c>
      <c r="G1662" t="str" cm="1">
        <f t="array" ref="G1662">_xlfn.LET(
    _xlpm.r, TRIM(B1662),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62" t="str" cm="1">
        <f t="array" ref="H1662">_xlfn.LET(
     _xlpm.r, TRIM(C1662),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63" spans="1:8" x14ac:dyDescent="0.25">
      <c r="A1663">
        <v>2023</v>
      </c>
      <c r="B1663" t="s">
        <v>22</v>
      </c>
      <c r="C1663" t="s">
        <v>6</v>
      </c>
      <c r="E1663">
        <v>2370000</v>
      </c>
      <c r="F1663" t="s">
        <v>89</v>
      </c>
      <c r="G1663" t="str" cm="1">
        <f t="array" ref="G1663">_xlfn.LET(
    _xlpm.r, TRIM(B1663),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63" t="str" cm="1">
        <f t="array" ref="H1663">_xlfn.LET(
     _xlpm.r, TRIM(C1663),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64" spans="1:8" x14ac:dyDescent="0.25">
      <c r="A1664">
        <v>2023</v>
      </c>
      <c r="B1664" t="s">
        <v>22</v>
      </c>
      <c r="C1664" t="s">
        <v>19</v>
      </c>
      <c r="E1664">
        <v>120000</v>
      </c>
      <c r="F1664" t="s">
        <v>89</v>
      </c>
      <c r="G1664" t="str" cm="1">
        <f t="array" ref="G1664">_xlfn.LET(
    _xlpm.r, TRIM(B1664),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64" t="str" cm="1">
        <f t="array" ref="H1664">_xlfn.LET(
     _xlpm.r, TRIM(C1664),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665" spans="1:8" x14ac:dyDescent="0.25">
      <c r="A1665">
        <v>2023</v>
      </c>
      <c r="B1665" t="s">
        <v>22</v>
      </c>
      <c r="C1665" t="s">
        <v>8</v>
      </c>
      <c r="E1665">
        <v>1755000</v>
      </c>
      <c r="F1665" t="s">
        <v>89</v>
      </c>
      <c r="G1665" t="str" cm="1">
        <f t="array" ref="G1665">_xlfn.LET(
    _xlpm.r, TRIM(B1665),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65" t="str" cm="1">
        <f t="array" ref="H1665">_xlfn.LET(
     _xlpm.r, TRIM(C1665),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666" spans="1:8" x14ac:dyDescent="0.25">
      <c r="A1666">
        <v>2023</v>
      </c>
      <c r="B1666" t="s">
        <v>22</v>
      </c>
      <c r="C1666" t="s">
        <v>8</v>
      </c>
      <c r="E1666">
        <v>250000</v>
      </c>
      <c r="F1666" t="s">
        <v>89</v>
      </c>
      <c r="G1666" t="str" cm="1">
        <f t="array" ref="G1666">_xlfn.LET(
    _xlpm.r, TRIM(B1666),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66" t="str" cm="1">
        <f t="array" ref="H1666">_xlfn.LET(
     _xlpm.r, TRIM(C1666),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667" spans="1:8" x14ac:dyDescent="0.25">
      <c r="A1667">
        <v>2023</v>
      </c>
      <c r="B1667" t="s">
        <v>22</v>
      </c>
      <c r="C1667" t="s">
        <v>8</v>
      </c>
      <c r="E1667">
        <v>1000000</v>
      </c>
      <c r="F1667" t="s">
        <v>89</v>
      </c>
      <c r="G1667" t="str" cm="1">
        <f t="array" ref="G1667">_xlfn.LET(
    _xlpm.r, TRIM(B1667),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67" t="str" cm="1">
        <f t="array" ref="H1667">_xlfn.LET(
     _xlpm.r, TRIM(C1667),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668" spans="1:8" x14ac:dyDescent="0.25">
      <c r="A1668">
        <v>2023</v>
      </c>
      <c r="B1668" t="s">
        <v>22</v>
      </c>
      <c r="C1668" t="s">
        <v>8</v>
      </c>
      <c r="E1668">
        <v>2501000</v>
      </c>
      <c r="F1668" t="s">
        <v>89</v>
      </c>
      <c r="G1668" t="str" cm="1">
        <f t="array" ref="G1668">_xlfn.LET(
    _xlpm.r, TRIM(B1668),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العدل</v>
      </c>
      <c r="H1668" t="str" cm="1">
        <f t="array" ref="H1668">_xlfn.LET(
     _xlpm.r, TRIM(C1668),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669" spans="1:8" x14ac:dyDescent="0.25">
      <c r="A1669">
        <v>2023</v>
      </c>
      <c r="B1669" t="s">
        <v>23</v>
      </c>
      <c r="C1669" t="s">
        <v>5</v>
      </c>
      <c r="E1669">
        <v>4052635</v>
      </c>
      <c r="F1669" t="s">
        <v>90</v>
      </c>
      <c r="G1669" t="str" cm="1">
        <f t="array" ref="G1669">_xlfn.LET(
    _xlpm.r, TRIM(B1669),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69" t="str" cm="1">
        <f t="array" ref="H1669">_xlfn.LET(
     _xlpm.r, TRIM(C1669),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70" spans="1:8" x14ac:dyDescent="0.25">
      <c r="A1670">
        <v>2023</v>
      </c>
      <c r="B1670" t="s">
        <v>23</v>
      </c>
      <c r="C1670" t="s">
        <v>5</v>
      </c>
      <c r="E1670">
        <v>18879792</v>
      </c>
      <c r="F1670" t="s">
        <v>90</v>
      </c>
      <c r="G1670" t="str" cm="1">
        <f t="array" ref="G1670">_xlfn.LET(
    _xlpm.r, TRIM(B1670),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70" t="str" cm="1">
        <f t="array" ref="H1670">_xlfn.LET(
     _xlpm.r, TRIM(C1670),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71" spans="1:8" x14ac:dyDescent="0.25">
      <c r="A1671">
        <v>2023</v>
      </c>
      <c r="B1671" t="s">
        <v>23</v>
      </c>
      <c r="C1671" t="s">
        <v>5</v>
      </c>
      <c r="E1671">
        <v>117209477</v>
      </c>
      <c r="F1671" t="s">
        <v>90</v>
      </c>
      <c r="G1671" t="str" cm="1">
        <f t="array" ref="G1671">_xlfn.LET(
    _xlpm.r, TRIM(B1671),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71" t="str" cm="1">
        <f t="array" ref="H1671">_xlfn.LET(
     _xlpm.r, TRIM(C1671),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72" spans="1:8" x14ac:dyDescent="0.25">
      <c r="A1672">
        <v>2023</v>
      </c>
      <c r="B1672" t="s">
        <v>23</v>
      </c>
      <c r="C1672" t="s">
        <v>5</v>
      </c>
      <c r="E1672">
        <v>13824252</v>
      </c>
      <c r="F1672" t="s">
        <v>90</v>
      </c>
      <c r="G1672" t="str" cm="1">
        <f t="array" ref="G1672">_xlfn.LET(
    _xlpm.r, TRIM(B1672),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72" t="str" cm="1">
        <f t="array" ref="H1672">_xlfn.LET(
     _xlpm.r, TRIM(C1672),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73" spans="1:8" x14ac:dyDescent="0.25">
      <c r="A1673">
        <v>2023</v>
      </c>
      <c r="B1673" t="s">
        <v>23</v>
      </c>
      <c r="C1673" t="s">
        <v>5</v>
      </c>
      <c r="E1673">
        <v>2633196</v>
      </c>
      <c r="F1673" t="s">
        <v>90</v>
      </c>
      <c r="G1673" t="str" cm="1">
        <f t="array" ref="G1673">_xlfn.LET(
    _xlpm.r, TRIM(B1673),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73" t="str" cm="1">
        <f t="array" ref="H1673">_xlfn.LET(
     _xlpm.r, TRIM(C1673),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74" spans="1:8" x14ac:dyDescent="0.25">
      <c r="A1674">
        <v>2023</v>
      </c>
      <c r="B1674" t="s">
        <v>23</v>
      </c>
      <c r="C1674" t="s">
        <v>5</v>
      </c>
      <c r="E1674">
        <v>13903560</v>
      </c>
      <c r="F1674" t="s">
        <v>90</v>
      </c>
      <c r="G1674" t="str" cm="1">
        <f t="array" ref="G1674">_xlfn.LET(
    _xlpm.r, TRIM(B1674),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74" t="str" cm="1">
        <f t="array" ref="H1674">_xlfn.LET(
     _xlpm.r, TRIM(C1674),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75" spans="1:8" x14ac:dyDescent="0.25">
      <c r="A1675">
        <v>2023</v>
      </c>
      <c r="B1675" t="s">
        <v>23</v>
      </c>
      <c r="C1675" t="s">
        <v>5</v>
      </c>
      <c r="E1675">
        <v>11103060</v>
      </c>
      <c r="F1675" t="s">
        <v>90</v>
      </c>
      <c r="G1675" t="str" cm="1">
        <f t="array" ref="G1675">_xlfn.LET(
    _xlpm.r, TRIM(B1675),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75" t="str" cm="1">
        <f t="array" ref="H1675">_xlfn.LET(
     _xlpm.r, TRIM(C1675),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76" spans="1:8" x14ac:dyDescent="0.25">
      <c r="A1676">
        <v>2023</v>
      </c>
      <c r="B1676" t="s">
        <v>23</v>
      </c>
      <c r="C1676" t="s">
        <v>5</v>
      </c>
      <c r="E1676">
        <v>5720100</v>
      </c>
      <c r="F1676" t="s">
        <v>90</v>
      </c>
      <c r="G1676" t="str" cm="1">
        <f t="array" ref="G1676">_xlfn.LET(
    _xlpm.r, TRIM(B1676),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76" t="str" cm="1">
        <f t="array" ref="H1676">_xlfn.LET(
     _xlpm.r, TRIM(C1676),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77" spans="1:8" x14ac:dyDescent="0.25">
      <c r="A1677">
        <v>2023</v>
      </c>
      <c r="B1677" t="s">
        <v>23</v>
      </c>
      <c r="C1677" t="s">
        <v>5</v>
      </c>
      <c r="E1677">
        <v>494928</v>
      </c>
      <c r="F1677" t="s">
        <v>90</v>
      </c>
      <c r="G1677" t="str" cm="1">
        <f t="array" ref="G1677">_xlfn.LET(
    _xlpm.r, TRIM(B1677),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77" t="str" cm="1">
        <f t="array" ref="H1677">_xlfn.LET(
     _xlpm.r, TRIM(C1677),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78" spans="1:8" x14ac:dyDescent="0.25">
      <c r="A1678">
        <v>2023</v>
      </c>
      <c r="B1678" t="s">
        <v>23</v>
      </c>
      <c r="C1678" t="s">
        <v>6</v>
      </c>
      <c r="E1678">
        <v>35000</v>
      </c>
      <c r="F1678" t="s">
        <v>90</v>
      </c>
      <c r="G1678" t="str" cm="1">
        <f t="array" ref="G1678">_xlfn.LET(
    _xlpm.r, TRIM(B1678),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78" t="str" cm="1">
        <f t="array" ref="H1678">_xlfn.LET(
     _xlpm.r, TRIM(C1678),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79" spans="1:8" x14ac:dyDescent="0.25">
      <c r="A1679">
        <v>2023</v>
      </c>
      <c r="B1679" t="s">
        <v>23</v>
      </c>
      <c r="C1679" t="s">
        <v>6</v>
      </c>
      <c r="E1679">
        <v>83393000</v>
      </c>
      <c r="F1679" t="s">
        <v>90</v>
      </c>
      <c r="G1679" t="str" cm="1">
        <f t="array" ref="G1679">_xlfn.LET(
    _xlpm.r, TRIM(B1679),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79" t="str" cm="1">
        <f t="array" ref="H1679">_xlfn.LET(
     _xlpm.r, TRIM(C1679),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80" spans="1:8" x14ac:dyDescent="0.25">
      <c r="A1680">
        <v>2023</v>
      </c>
      <c r="B1680" t="s">
        <v>23</v>
      </c>
      <c r="C1680" t="s">
        <v>6</v>
      </c>
      <c r="E1680">
        <v>4328000</v>
      </c>
      <c r="F1680" t="s">
        <v>90</v>
      </c>
      <c r="G1680" t="str" cm="1">
        <f t="array" ref="G1680">_xlfn.LET(
    _xlpm.r, TRIM(B1680),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80" t="str" cm="1">
        <f t="array" ref="H1680">_xlfn.LET(
     _xlpm.r, TRIM(C1680),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81" spans="1:8" x14ac:dyDescent="0.25">
      <c r="A1681">
        <v>2023</v>
      </c>
      <c r="B1681" t="s">
        <v>23</v>
      </c>
      <c r="C1681" t="s">
        <v>6</v>
      </c>
      <c r="E1681">
        <v>5000</v>
      </c>
      <c r="F1681" t="s">
        <v>90</v>
      </c>
      <c r="G1681" t="str" cm="1">
        <f t="array" ref="G1681">_xlfn.LET(
    _xlpm.r, TRIM(B1681),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81" t="str" cm="1">
        <f t="array" ref="H1681">_xlfn.LET(
     _xlpm.r, TRIM(C1681),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82" spans="1:8" x14ac:dyDescent="0.25">
      <c r="A1682">
        <v>2023</v>
      </c>
      <c r="B1682" t="s">
        <v>23</v>
      </c>
      <c r="C1682" t="s">
        <v>6</v>
      </c>
      <c r="E1682">
        <v>5000</v>
      </c>
      <c r="F1682" t="s">
        <v>90</v>
      </c>
      <c r="G1682" t="str" cm="1">
        <f t="array" ref="G1682">_xlfn.LET(
    _xlpm.r, TRIM(B1682),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82" t="str" cm="1">
        <f t="array" ref="H1682">_xlfn.LET(
     _xlpm.r, TRIM(C1682),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83" spans="1:8" x14ac:dyDescent="0.25">
      <c r="A1683">
        <v>2023</v>
      </c>
      <c r="B1683" t="s">
        <v>23</v>
      </c>
      <c r="C1683" t="s">
        <v>6</v>
      </c>
      <c r="E1683">
        <v>752000</v>
      </c>
      <c r="F1683" t="s">
        <v>90</v>
      </c>
      <c r="G1683" t="str" cm="1">
        <f t="array" ref="G1683">_xlfn.LET(
    _xlpm.r, TRIM(B1683),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83" t="str" cm="1">
        <f t="array" ref="H1683">_xlfn.LET(
     _xlpm.r, TRIM(C1683),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84" spans="1:8" x14ac:dyDescent="0.25">
      <c r="A1684">
        <v>2023</v>
      </c>
      <c r="B1684" t="s">
        <v>23</v>
      </c>
      <c r="C1684" t="s">
        <v>7</v>
      </c>
      <c r="E1684">
        <v>11780000</v>
      </c>
      <c r="F1684" t="s">
        <v>90</v>
      </c>
      <c r="G1684" t="str" cm="1">
        <f t="array" ref="G1684">_xlfn.LET(
    _xlpm.r, TRIM(B1684),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84" t="str" cm="1">
        <f t="array" ref="H1684">_xlfn.LET(
     _xlpm.r, TRIM(C1684),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1685" spans="1:8" x14ac:dyDescent="0.25">
      <c r="A1685">
        <v>2023</v>
      </c>
      <c r="B1685" t="s">
        <v>23</v>
      </c>
      <c r="C1685" t="s">
        <v>19</v>
      </c>
      <c r="E1685">
        <v>10000</v>
      </c>
      <c r="F1685" t="s">
        <v>90</v>
      </c>
      <c r="G1685" t="str" cm="1">
        <f t="array" ref="G1685">_xlfn.LET(
    _xlpm.r, TRIM(B1685),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85" t="str" cm="1">
        <f t="array" ref="H1685">_xlfn.LET(
     _xlpm.r, TRIM(C1685),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686" spans="1:8" x14ac:dyDescent="0.25">
      <c r="A1686">
        <v>2023</v>
      </c>
      <c r="B1686" t="s">
        <v>23</v>
      </c>
      <c r="C1686" t="s">
        <v>8</v>
      </c>
      <c r="E1686">
        <v>6220000</v>
      </c>
      <c r="F1686" t="s">
        <v>90</v>
      </c>
      <c r="G1686" t="str" cm="1">
        <f t="array" ref="G1686">_xlfn.LET(
    _xlpm.r, TRIM(B1686),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86" t="str" cm="1">
        <f t="array" ref="H1686">_xlfn.LET(
     _xlpm.r, TRIM(C1686),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687" spans="1:8" x14ac:dyDescent="0.25">
      <c r="A1687">
        <v>2023</v>
      </c>
      <c r="B1687" t="s">
        <v>23</v>
      </c>
      <c r="C1687" t="s">
        <v>8</v>
      </c>
      <c r="E1687">
        <v>900000</v>
      </c>
      <c r="F1687" t="s">
        <v>90</v>
      </c>
      <c r="G1687" t="str" cm="1">
        <f t="array" ref="G1687">_xlfn.LET(
    _xlpm.r, TRIM(B1687),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التغير المناخي والبيئة</v>
      </c>
      <c r="H1687" t="str" cm="1">
        <f t="array" ref="H1687">_xlfn.LET(
     _xlpm.r, TRIM(C1687),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688" spans="1:8" x14ac:dyDescent="0.25">
      <c r="A1688">
        <v>2023</v>
      </c>
      <c r="B1688" t="s">
        <v>24</v>
      </c>
      <c r="C1688" t="s">
        <v>5</v>
      </c>
      <c r="E1688">
        <v>468956</v>
      </c>
      <c r="F1688" t="s">
        <v>91</v>
      </c>
      <c r="G1688" t="str" cm="1">
        <f t="array" ref="G1688">_xlfn.LET(
    _xlpm.r, TRIM(B1688),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688" t="str" cm="1">
        <f t="array" ref="H1688">_xlfn.LET(
     _xlpm.r, TRIM(C1688),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89" spans="1:8" x14ac:dyDescent="0.25">
      <c r="A1689">
        <v>2023</v>
      </c>
      <c r="B1689" t="s">
        <v>24</v>
      </c>
      <c r="C1689" t="s">
        <v>5</v>
      </c>
      <c r="E1689">
        <v>27695460</v>
      </c>
      <c r="F1689" t="s">
        <v>91</v>
      </c>
      <c r="G1689" t="str" cm="1">
        <f t="array" ref="G1689">_xlfn.LET(
    _xlpm.r, TRIM(B1689),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689" t="str" cm="1">
        <f t="array" ref="H1689">_xlfn.LET(
     _xlpm.r, TRIM(C1689),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90" spans="1:8" x14ac:dyDescent="0.25">
      <c r="A1690">
        <v>2023</v>
      </c>
      <c r="B1690" t="s">
        <v>24</v>
      </c>
      <c r="C1690" t="s">
        <v>5</v>
      </c>
      <c r="E1690">
        <v>115286204</v>
      </c>
      <c r="F1690" t="s">
        <v>91</v>
      </c>
      <c r="G1690" t="str" cm="1">
        <f t="array" ref="G1690">_xlfn.LET(
    _xlpm.r, TRIM(B1690),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690" t="str" cm="1">
        <f t="array" ref="H1690">_xlfn.LET(
     _xlpm.r, TRIM(C1690),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91" spans="1:8" x14ac:dyDescent="0.25">
      <c r="A1691">
        <v>2023</v>
      </c>
      <c r="B1691" t="s">
        <v>24</v>
      </c>
      <c r="C1691" t="s">
        <v>5</v>
      </c>
      <c r="E1691">
        <v>10101600</v>
      </c>
      <c r="F1691" t="s">
        <v>91</v>
      </c>
      <c r="G1691" t="str" cm="1">
        <f t="array" ref="G1691">_xlfn.LET(
    _xlpm.r, TRIM(B1691),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691" t="str" cm="1">
        <f t="array" ref="H1691">_xlfn.LET(
     _xlpm.r, TRIM(C1691),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92" spans="1:8" x14ac:dyDescent="0.25">
      <c r="A1692">
        <v>2023</v>
      </c>
      <c r="B1692" t="s">
        <v>24</v>
      </c>
      <c r="C1692" t="s">
        <v>5</v>
      </c>
      <c r="E1692">
        <v>15989852</v>
      </c>
      <c r="F1692" t="s">
        <v>91</v>
      </c>
      <c r="G1692" t="str" cm="1">
        <f t="array" ref="G1692">_xlfn.LET(
    _xlpm.r, TRIM(B1692),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692" t="str" cm="1">
        <f t="array" ref="H1692">_xlfn.LET(
     _xlpm.r, TRIM(C1692),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93" spans="1:8" x14ac:dyDescent="0.25">
      <c r="A1693">
        <v>2023</v>
      </c>
      <c r="B1693" t="s">
        <v>24</v>
      </c>
      <c r="C1693" t="s">
        <v>5</v>
      </c>
      <c r="E1693">
        <v>29068988</v>
      </c>
      <c r="F1693" t="s">
        <v>91</v>
      </c>
      <c r="G1693" t="str" cm="1">
        <f t="array" ref="G1693">_xlfn.LET(
    _xlpm.r, TRIM(B1693),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693" t="str" cm="1">
        <f t="array" ref="H1693">_xlfn.LET(
     _xlpm.r, TRIM(C1693),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94" spans="1:8" x14ac:dyDescent="0.25">
      <c r="A1694">
        <v>2023</v>
      </c>
      <c r="B1694" t="s">
        <v>24</v>
      </c>
      <c r="C1694" t="s">
        <v>5</v>
      </c>
      <c r="E1694">
        <v>28549988</v>
      </c>
      <c r="F1694" t="s">
        <v>91</v>
      </c>
      <c r="G1694" t="str" cm="1">
        <f t="array" ref="G1694">_xlfn.LET(
    _xlpm.r, TRIM(B1694),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694" t="str" cm="1">
        <f t="array" ref="H1694">_xlfn.LET(
     _xlpm.r, TRIM(C1694),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95" spans="1:8" x14ac:dyDescent="0.25">
      <c r="A1695">
        <v>2023</v>
      </c>
      <c r="B1695" t="s">
        <v>24</v>
      </c>
      <c r="C1695" t="s">
        <v>5</v>
      </c>
      <c r="E1695">
        <v>9200952</v>
      </c>
      <c r="F1695" t="s">
        <v>91</v>
      </c>
      <c r="G1695" t="str" cm="1">
        <f t="array" ref="G1695">_xlfn.LET(
    _xlpm.r, TRIM(B1695),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695" t="str" cm="1">
        <f t="array" ref="H1695">_xlfn.LET(
     _xlpm.r, TRIM(C1695),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696" spans="1:8" x14ac:dyDescent="0.25">
      <c r="A1696">
        <v>2023</v>
      </c>
      <c r="B1696" t="s">
        <v>24</v>
      </c>
      <c r="C1696" t="s">
        <v>6</v>
      </c>
      <c r="E1696">
        <v>1377000</v>
      </c>
      <c r="F1696" t="s">
        <v>91</v>
      </c>
      <c r="G1696" t="str" cm="1">
        <f t="array" ref="G1696">_xlfn.LET(
    _xlpm.r, TRIM(B1696),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696" t="str" cm="1">
        <f t="array" ref="H1696">_xlfn.LET(
     _xlpm.r, TRIM(C1696),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97" spans="1:8" x14ac:dyDescent="0.25">
      <c r="A1697">
        <v>2023</v>
      </c>
      <c r="B1697" t="s">
        <v>24</v>
      </c>
      <c r="C1697" t="s">
        <v>6</v>
      </c>
      <c r="E1697">
        <v>42858000</v>
      </c>
      <c r="F1697" t="s">
        <v>91</v>
      </c>
      <c r="G1697" t="str" cm="1">
        <f t="array" ref="G1697">_xlfn.LET(
    _xlpm.r, TRIM(B1697),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697" t="str" cm="1">
        <f t="array" ref="H1697">_xlfn.LET(
     _xlpm.r, TRIM(C1697),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98" spans="1:8" x14ac:dyDescent="0.25">
      <c r="A1698">
        <v>2023</v>
      </c>
      <c r="B1698" t="s">
        <v>24</v>
      </c>
      <c r="C1698" t="s">
        <v>6</v>
      </c>
      <c r="E1698">
        <v>3885000</v>
      </c>
      <c r="F1698" t="s">
        <v>91</v>
      </c>
      <c r="G1698" t="str" cm="1">
        <f t="array" ref="G1698">_xlfn.LET(
    _xlpm.r, TRIM(B1698),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698" t="str" cm="1">
        <f t="array" ref="H1698">_xlfn.LET(
     _xlpm.r, TRIM(C1698),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699" spans="1:8" x14ac:dyDescent="0.25">
      <c r="A1699">
        <v>2023</v>
      </c>
      <c r="B1699" t="s">
        <v>24</v>
      </c>
      <c r="C1699" t="s">
        <v>6</v>
      </c>
      <c r="E1699">
        <v>991000</v>
      </c>
      <c r="F1699" t="s">
        <v>91</v>
      </c>
      <c r="G1699" t="str" cm="1">
        <f t="array" ref="G1699">_xlfn.LET(
    _xlpm.r, TRIM(B1699),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699" t="str" cm="1">
        <f t="array" ref="H1699">_xlfn.LET(
     _xlpm.r, TRIM(C1699),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00" spans="1:8" x14ac:dyDescent="0.25">
      <c r="A1700">
        <v>2023</v>
      </c>
      <c r="B1700" t="s">
        <v>24</v>
      </c>
      <c r="C1700" t="s">
        <v>6</v>
      </c>
      <c r="E1700">
        <v>608000</v>
      </c>
      <c r="F1700" t="s">
        <v>91</v>
      </c>
      <c r="G1700" t="str" cm="1">
        <f t="array" ref="G1700">_xlfn.LET(
    _xlpm.r, TRIM(B1700),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700" t="str" cm="1">
        <f t="array" ref="H1700">_xlfn.LET(
     _xlpm.r, TRIM(C1700),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01" spans="1:8" x14ac:dyDescent="0.25">
      <c r="A1701">
        <v>2023</v>
      </c>
      <c r="B1701" t="s">
        <v>24</v>
      </c>
      <c r="C1701" t="s">
        <v>6</v>
      </c>
      <c r="E1701">
        <v>635000</v>
      </c>
      <c r="F1701" t="s">
        <v>91</v>
      </c>
      <c r="G1701" t="str" cm="1">
        <f t="array" ref="G1701">_xlfn.LET(
    _xlpm.r, TRIM(B1701),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701" t="str" cm="1">
        <f t="array" ref="H1701">_xlfn.LET(
     _xlpm.r, TRIM(C1701),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02" spans="1:8" x14ac:dyDescent="0.25">
      <c r="A1702">
        <v>2023</v>
      </c>
      <c r="B1702" t="s">
        <v>24</v>
      </c>
      <c r="C1702" t="s">
        <v>6</v>
      </c>
      <c r="E1702">
        <v>172000</v>
      </c>
      <c r="F1702" t="s">
        <v>91</v>
      </c>
      <c r="G1702" t="str" cm="1">
        <f t="array" ref="G1702">_xlfn.LET(
    _xlpm.r, TRIM(B1702),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702" t="str" cm="1">
        <f t="array" ref="H1702">_xlfn.LET(
     _xlpm.r, TRIM(C1702),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03" spans="1:8" x14ac:dyDescent="0.25">
      <c r="A1703">
        <v>2023</v>
      </c>
      <c r="B1703" t="s">
        <v>24</v>
      </c>
      <c r="C1703" t="s">
        <v>7</v>
      </c>
      <c r="E1703">
        <v>995539000</v>
      </c>
      <c r="F1703" t="s">
        <v>91</v>
      </c>
      <c r="G1703" t="str" cm="1">
        <f t="array" ref="G1703">_xlfn.LET(
    _xlpm.r, TRIM(B1703),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703" t="str" cm="1">
        <f t="array" ref="H1703">_xlfn.LET(
     _xlpm.r, TRIM(C1703),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1704" spans="1:8" x14ac:dyDescent="0.25">
      <c r="A1704">
        <v>2023</v>
      </c>
      <c r="B1704" t="s">
        <v>24</v>
      </c>
      <c r="C1704" t="s">
        <v>7</v>
      </c>
      <c r="E1704">
        <v>529250000</v>
      </c>
      <c r="F1704" t="s">
        <v>91</v>
      </c>
      <c r="G1704" t="str" cm="1">
        <f t="array" ref="G1704">_xlfn.LET(
    _xlpm.r, TRIM(B1704),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704" t="str" cm="1">
        <f t="array" ref="H1704">_xlfn.LET(
     _xlpm.r, TRIM(C1704),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1705" spans="1:8" x14ac:dyDescent="0.25">
      <c r="A1705">
        <v>2023</v>
      </c>
      <c r="B1705" t="s">
        <v>24</v>
      </c>
      <c r="C1705" t="s">
        <v>7</v>
      </c>
      <c r="E1705">
        <v>473140000</v>
      </c>
      <c r="F1705" t="s">
        <v>91</v>
      </c>
      <c r="G1705" t="str" cm="1">
        <f t="array" ref="G1705">_xlfn.LET(
    _xlpm.r, TRIM(B1705),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705" t="str" cm="1">
        <f t="array" ref="H1705">_xlfn.LET(
     _xlpm.r, TRIM(C1705),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1706" spans="1:8" x14ac:dyDescent="0.25">
      <c r="A1706">
        <v>2023</v>
      </c>
      <c r="B1706" t="s">
        <v>24</v>
      </c>
      <c r="C1706" t="s">
        <v>7</v>
      </c>
      <c r="E1706">
        <v>156380000</v>
      </c>
      <c r="F1706" t="s">
        <v>91</v>
      </c>
      <c r="G1706" t="str" cm="1">
        <f t="array" ref="G1706">_xlfn.LET(
    _xlpm.r, TRIM(B1706),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706" t="str" cm="1">
        <f t="array" ref="H1706">_xlfn.LET(
     _xlpm.r, TRIM(C1706),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1707" spans="1:8" x14ac:dyDescent="0.25">
      <c r="A1707">
        <v>2023</v>
      </c>
      <c r="B1707" t="s">
        <v>24</v>
      </c>
      <c r="C1707" t="s">
        <v>7</v>
      </c>
      <c r="E1707">
        <v>344730000</v>
      </c>
      <c r="F1707" t="s">
        <v>91</v>
      </c>
      <c r="G1707" t="str" cm="1">
        <f t="array" ref="G1707">_xlfn.LET(
    _xlpm.r, TRIM(B1707),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707" t="str" cm="1">
        <f t="array" ref="H1707">_xlfn.LET(
     _xlpm.r, TRIM(C1707),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1708" spans="1:8" x14ac:dyDescent="0.25">
      <c r="A1708">
        <v>2023</v>
      </c>
      <c r="B1708" t="s">
        <v>24</v>
      </c>
      <c r="C1708" t="s">
        <v>7</v>
      </c>
      <c r="E1708">
        <v>352012000</v>
      </c>
      <c r="F1708" t="s">
        <v>91</v>
      </c>
      <c r="G1708" t="str" cm="1">
        <f t="array" ref="G1708">_xlfn.LET(
    _xlpm.r, TRIM(B1708),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708" t="str" cm="1">
        <f t="array" ref="H1708">_xlfn.LET(
     _xlpm.r, TRIM(C1708),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1709" spans="1:8" x14ac:dyDescent="0.25">
      <c r="A1709">
        <v>2023</v>
      </c>
      <c r="B1709" t="s">
        <v>24</v>
      </c>
      <c r="C1709" t="s">
        <v>7</v>
      </c>
      <c r="E1709">
        <v>69957000</v>
      </c>
      <c r="F1709" t="s">
        <v>91</v>
      </c>
      <c r="G1709" t="str" cm="1">
        <f t="array" ref="G1709">_xlfn.LET(
    _xlpm.r, TRIM(B1709),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709" t="str" cm="1">
        <f t="array" ref="H1709">_xlfn.LET(
     _xlpm.r, TRIM(C1709),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1710" spans="1:8" x14ac:dyDescent="0.25">
      <c r="A1710">
        <v>2023</v>
      </c>
      <c r="B1710" t="s">
        <v>24</v>
      </c>
      <c r="C1710" t="s">
        <v>19</v>
      </c>
      <c r="E1710">
        <v>40000</v>
      </c>
      <c r="F1710" t="s">
        <v>91</v>
      </c>
      <c r="G1710" t="str" cm="1">
        <f t="array" ref="G1710">_xlfn.LET(
    _xlpm.r, TRIM(B1710),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710" t="str" cm="1">
        <f t="array" ref="H1710">_xlfn.LET(
     _xlpm.r, TRIM(C1710),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711" spans="1:8" x14ac:dyDescent="0.25">
      <c r="A1711">
        <v>2023</v>
      </c>
      <c r="B1711" t="s">
        <v>24</v>
      </c>
      <c r="C1711" t="s">
        <v>8</v>
      </c>
      <c r="E1711">
        <v>3070000</v>
      </c>
      <c r="F1711" t="s">
        <v>91</v>
      </c>
      <c r="G1711" t="str" cm="1">
        <f t="array" ref="G1711">_xlfn.LET(
    _xlpm.r, TRIM(B1711),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711" t="str" cm="1">
        <f t="array" ref="H1711">_xlfn.LET(
     _xlpm.r, TRIM(C1711),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12" spans="1:8" x14ac:dyDescent="0.25">
      <c r="A1712">
        <v>2023</v>
      </c>
      <c r="B1712" t="s">
        <v>24</v>
      </c>
      <c r="C1712" t="s">
        <v>8</v>
      </c>
      <c r="E1712">
        <v>6060000</v>
      </c>
      <c r="F1712" t="s">
        <v>91</v>
      </c>
      <c r="G1712" t="str" cm="1">
        <f t="array" ref="G1712">_xlfn.LET(
    _xlpm.r, TRIM(B1712),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تنمية المجتمع</v>
      </c>
      <c r="H1712" t="str" cm="1">
        <f t="array" ref="H1712">_xlfn.LET(
     _xlpm.r, TRIM(C1712),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13" spans="1:8" x14ac:dyDescent="0.25">
      <c r="A1713">
        <v>2023</v>
      </c>
      <c r="B1713" t="s">
        <v>25</v>
      </c>
      <c r="C1713" t="s">
        <v>5</v>
      </c>
      <c r="E1713">
        <v>793996</v>
      </c>
      <c r="F1713" t="s">
        <v>92</v>
      </c>
      <c r="G1713" t="str" cm="1">
        <f t="array" ref="G1713">_xlfn.LET(
    _xlpm.r, TRIM(B1713),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1713" t="str" cm="1">
        <f t="array" ref="H1713">_xlfn.LET(
     _xlpm.r, TRIM(C1713),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14" spans="1:8" x14ac:dyDescent="0.25">
      <c r="A1714">
        <v>2023</v>
      </c>
      <c r="B1714" t="s">
        <v>25</v>
      </c>
      <c r="C1714" t="s">
        <v>5</v>
      </c>
      <c r="E1714">
        <v>19886976</v>
      </c>
      <c r="F1714" t="s">
        <v>92</v>
      </c>
      <c r="G1714" t="str" cm="1">
        <f t="array" ref="G1714">_xlfn.LET(
    _xlpm.r, TRIM(B1714),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1714" t="str" cm="1">
        <f t="array" ref="H1714">_xlfn.LET(
     _xlpm.r, TRIM(C1714),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15" spans="1:8" x14ac:dyDescent="0.25">
      <c r="A1715">
        <v>2023</v>
      </c>
      <c r="B1715" t="s">
        <v>25</v>
      </c>
      <c r="C1715" t="s">
        <v>5</v>
      </c>
      <c r="E1715">
        <v>6068028</v>
      </c>
      <c r="F1715" t="s">
        <v>92</v>
      </c>
      <c r="G1715" t="str" cm="1">
        <f t="array" ref="G1715">_xlfn.LET(
    _xlpm.r, TRIM(B1715),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1715" t="str" cm="1">
        <f t="array" ref="H1715">_xlfn.LET(
     _xlpm.r, TRIM(C1715),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16" spans="1:8" x14ac:dyDescent="0.25">
      <c r="A1716">
        <v>2023</v>
      </c>
      <c r="B1716" t="s">
        <v>25</v>
      </c>
      <c r="C1716" t="s">
        <v>6</v>
      </c>
      <c r="E1716">
        <v>48460000</v>
      </c>
      <c r="F1716" t="s">
        <v>92</v>
      </c>
      <c r="G1716" t="str" cm="1">
        <f t="array" ref="G1716">_xlfn.LET(
    _xlpm.r, TRIM(B1716),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1716" t="str" cm="1">
        <f t="array" ref="H1716">_xlfn.LET(
     _xlpm.r, TRIM(C1716),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17" spans="1:8" x14ac:dyDescent="0.25">
      <c r="A1717">
        <v>2023</v>
      </c>
      <c r="B1717" t="s">
        <v>25</v>
      </c>
      <c r="C1717" t="s">
        <v>6</v>
      </c>
      <c r="E1717">
        <v>2379000</v>
      </c>
      <c r="F1717" t="s">
        <v>92</v>
      </c>
      <c r="G1717" t="str" cm="1">
        <f t="array" ref="G1717">_xlfn.LET(
    _xlpm.r, TRIM(B1717),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1717" t="str" cm="1">
        <f t="array" ref="H1717">_xlfn.LET(
     _xlpm.r, TRIM(C1717),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18" spans="1:8" x14ac:dyDescent="0.25">
      <c r="A1718">
        <v>2023</v>
      </c>
      <c r="B1718" t="s">
        <v>25</v>
      </c>
      <c r="C1718" t="s">
        <v>8</v>
      </c>
      <c r="E1718">
        <v>13555000</v>
      </c>
      <c r="F1718" t="s">
        <v>92</v>
      </c>
      <c r="G1718" t="str" cm="1">
        <f t="array" ref="G1718">_xlfn.LET(
    _xlpm.r, TRIM(B1718),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لشؤون المجلس الوطني</v>
      </c>
      <c r="H1718" t="str" cm="1">
        <f t="array" ref="H1718">_xlfn.LET(
     _xlpm.r, TRIM(C1718),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19" spans="1:8" x14ac:dyDescent="0.25">
      <c r="A1719">
        <v>2023</v>
      </c>
      <c r="B1719" t="s">
        <v>26</v>
      </c>
      <c r="C1719" t="s">
        <v>5</v>
      </c>
      <c r="E1719">
        <v>5068000</v>
      </c>
      <c r="F1719" t="s">
        <v>93</v>
      </c>
      <c r="G1719" t="str" cm="1">
        <f t="array" ref="G1719">_xlfn.LET(
    _xlpm.r, TRIM(B1719),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(132) - ميثاء الشامسي</v>
      </c>
      <c r="H1719" t="str" cm="1">
        <f t="array" ref="H1719">_xlfn.LET(
     _xlpm.r, TRIM(C1719),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20" spans="1:8" x14ac:dyDescent="0.25">
      <c r="A1720">
        <v>2023</v>
      </c>
      <c r="B1720" t="s">
        <v>26</v>
      </c>
      <c r="C1720" t="s">
        <v>6</v>
      </c>
      <c r="E1720">
        <v>627000</v>
      </c>
      <c r="F1720" t="s">
        <v>93</v>
      </c>
      <c r="G1720" t="str" cm="1">
        <f t="array" ref="G1720">_xlfn.LET(
    _xlpm.r, TRIM(B1720),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الدولة (132) - ميثاء الشامسي</v>
      </c>
      <c r="H1720" t="str" cm="1">
        <f t="array" ref="H1720">_xlfn.LET(
     _xlpm.r, TRIM(C1720),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21" spans="1:8" x14ac:dyDescent="0.25">
      <c r="A1721">
        <v>2023</v>
      </c>
      <c r="B1721" t="s">
        <v>28</v>
      </c>
      <c r="C1721" t="s">
        <v>6</v>
      </c>
      <c r="E1721">
        <v>700000</v>
      </c>
      <c r="F1721" t="s">
        <v>95</v>
      </c>
      <c r="G1721" t="str" cm="1">
        <f t="array" ref="G1721">_xlfn.LET(
    _xlpm.r, TRIM(B1721),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721" t="str" cm="1">
        <f t="array" ref="H1721">_xlfn.LET(
     _xlpm.r, TRIM(C1721),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22" spans="1:8" x14ac:dyDescent="0.25">
      <c r="A1722">
        <v>2023</v>
      </c>
      <c r="B1722" t="s">
        <v>28</v>
      </c>
      <c r="C1722" t="s">
        <v>29</v>
      </c>
      <c r="E1722">
        <v>1515675000</v>
      </c>
      <c r="F1722" t="s">
        <v>95</v>
      </c>
      <c r="G1722" t="str" cm="1">
        <f t="array" ref="G1722">_xlfn.LET(
    _xlpm.r, TRIM(B1722),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722" t="str" cm="1">
        <f t="array" ref="H1722">_xlfn.LET(
     _xlpm.r, TRIM(C1722),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الفوائد</v>
      </c>
    </row>
    <row r="1723" spans="1:8" x14ac:dyDescent="0.25">
      <c r="A1723">
        <v>2023</v>
      </c>
      <c r="B1723" t="s">
        <v>28</v>
      </c>
      <c r="C1723" t="s">
        <v>30</v>
      </c>
      <c r="E1723">
        <v>1920642000</v>
      </c>
      <c r="F1723" t="s">
        <v>95</v>
      </c>
      <c r="G1723" t="str" cm="1">
        <f t="array" ref="G1723">_xlfn.LET(
    _xlpm.r, TRIM(B1723),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723" t="str" cm="1">
        <f t="array" ref="H1723">_xlfn.LET(
     _xlpm.r, TRIM(C1723),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المنح</v>
      </c>
    </row>
    <row r="1724" spans="1:8" x14ac:dyDescent="0.25">
      <c r="A1724">
        <v>2023</v>
      </c>
      <c r="B1724" t="s">
        <v>28</v>
      </c>
      <c r="C1724" t="s">
        <v>31</v>
      </c>
      <c r="E1724">
        <v>5068600000</v>
      </c>
      <c r="F1724" t="s">
        <v>95</v>
      </c>
      <c r="G1724" t="str" cm="1">
        <f t="array" ref="G1724">_xlfn.LET(
    _xlpm.r, TRIM(B1724),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724" t="str" cm="1">
        <f t="array" ref="H1724">_xlfn.LET(
     _xlpm.r, TRIM(C1724),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المنافع الاجتماعية</v>
      </c>
    </row>
    <row r="1725" spans="1:8" x14ac:dyDescent="0.25">
      <c r="A1725">
        <v>2023</v>
      </c>
      <c r="B1725" t="s">
        <v>28</v>
      </c>
      <c r="C1725" t="s">
        <v>19</v>
      </c>
      <c r="E1725">
        <v>7625907000</v>
      </c>
      <c r="F1725" t="s">
        <v>95</v>
      </c>
      <c r="G1725" t="str" cm="1">
        <f t="array" ref="G1725">_xlfn.LET(
    _xlpm.r, TRIM(B1725),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725" t="str" cm="1">
        <f t="array" ref="H1725">_xlfn.LET(
     _xlpm.r, TRIM(C1725),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726" spans="1:8" x14ac:dyDescent="0.25">
      <c r="A1726">
        <v>2023</v>
      </c>
      <c r="B1726" t="s">
        <v>28</v>
      </c>
      <c r="C1726" t="s">
        <v>8</v>
      </c>
      <c r="E1726">
        <v>2146435000</v>
      </c>
      <c r="F1726" t="s">
        <v>95</v>
      </c>
      <c r="G1726" t="str" cm="1">
        <f t="array" ref="G1726">_xlfn.LET(
    _xlpm.r, TRIM(B1726),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إيرادات ونفقات اتحادية أخرى</v>
      </c>
      <c r="H1726" t="str" cm="1">
        <f t="array" ref="H1726">_xlfn.LET(
     _xlpm.r, TRIM(C1726),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27" spans="1:8" x14ac:dyDescent="0.25">
      <c r="A1727">
        <v>2023</v>
      </c>
      <c r="B1727" t="s">
        <v>55</v>
      </c>
      <c r="C1727" t="s">
        <v>5</v>
      </c>
      <c r="E1727">
        <v>19974000</v>
      </c>
      <c r="F1727" t="s">
        <v>119</v>
      </c>
      <c r="G1727" t="str" cm="1">
        <f t="array" ref="G1727">_xlfn.LET(
    _xlpm.r, TRIM(B1727),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المكتب الاتحادي للرقابة القضائية</v>
      </c>
      <c r="H1727" t="str" cm="1">
        <f t="array" ref="H1727">_xlfn.LET(
     _xlpm.r, TRIM(C1727),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28" spans="1:8" x14ac:dyDescent="0.25">
      <c r="A1728">
        <v>2023</v>
      </c>
      <c r="B1728" t="s">
        <v>55</v>
      </c>
      <c r="C1728" t="s">
        <v>6</v>
      </c>
      <c r="E1728">
        <v>2540000</v>
      </c>
      <c r="F1728" t="s">
        <v>119</v>
      </c>
      <c r="G1728" t="str" cm="1">
        <f t="array" ref="G1728">_xlfn.LET(
    _xlpm.r, TRIM(B1728),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المكتب الاتحادي للرقابة القضائية</v>
      </c>
      <c r="H1728" t="str" cm="1">
        <f t="array" ref="H1728">_xlfn.LET(
     _xlpm.r, TRIM(C1728),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29" spans="1:8" x14ac:dyDescent="0.25">
      <c r="A1729">
        <v>2023</v>
      </c>
      <c r="B1729" t="s">
        <v>55</v>
      </c>
      <c r="C1729" t="s">
        <v>8</v>
      </c>
      <c r="E1729">
        <v>2245000</v>
      </c>
      <c r="F1729" t="s">
        <v>119</v>
      </c>
      <c r="G1729" t="str" cm="1">
        <f t="array" ref="G1729">_xlfn.LET(
    _xlpm.r, TRIM(B1729),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المكتب الاتحادي للرقابة القضائية</v>
      </c>
      <c r="H1729" t="str" cm="1">
        <f t="array" ref="H1729">_xlfn.LET(
     _xlpm.r, TRIM(C1729),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30" spans="1:8" x14ac:dyDescent="0.25">
      <c r="A1730">
        <v>2023</v>
      </c>
      <c r="B1730" t="s">
        <v>32</v>
      </c>
      <c r="C1730" t="s">
        <v>5</v>
      </c>
      <c r="E1730">
        <v>18687000</v>
      </c>
      <c r="F1730" t="s">
        <v>96</v>
      </c>
      <c r="G1730" t="str" cm="1">
        <f t="array" ref="G1730">_xlfn.LET(
    _xlpm.r, TRIM(B1730),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مكتب نائب الرئيس للشؤون السياسية</v>
      </c>
      <c r="H1730" t="str" cm="1">
        <f t="array" ref="H1730">_xlfn.LET(
     _xlpm.r, TRIM(C1730),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31" spans="1:8" x14ac:dyDescent="0.25">
      <c r="A1731">
        <v>2023</v>
      </c>
      <c r="B1731" t="s">
        <v>32</v>
      </c>
      <c r="C1731" t="s">
        <v>6</v>
      </c>
      <c r="E1731">
        <v>6958000</v>
      </c>
      <c r="F1731" t="s">
        <v>96</v>
      </c>
      <c r="G1731" t="str" cm="1">
        <f t="array" ref="G1731">_xlfn.LET(
    _xlpm.r, TRIM(B1731),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مكتب نائب الرئيس للشؤون السياسية</v>
      </c>
      <c r="H1731" t="str" cm="1">
        <f t="array" ref="H1731">_xlfn.LET(
     _xlpm.r, TRIM(C1731),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32" spans="1:8" x14ac:dyDescent="0.25">
      <c r="A1732">
        <v>2023</v>
      </c>
      <c r="B1732" t="s">
        <v>32</v>
      </c>
      <c r="C1732" t="s">
        <v>19</v>
      </c>
      <c r="E1732">
        <v>9000</v>
      </c>
      <c r="F1732" t="s">
        <v>96</v>
      </c>
      <c r="G1732" t="str" cm="1">
        <f t="array" ref="G1732">_xlfn.LET(
    _xlpm.r, TRIM(B1732),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مكتب نائب الرئيس للشؤون السياسية</v>
      </c>
      <c r="H1732" t="str" cm="1">
        <f t="array" ref="H1732">_xlfn.LET(
     _xlpm.r, TRIM(C1732),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733" spans="1:8" x14ac:dyDescent="0.25">
      <c r="A1733">
        <v>2023</v>
      </c>
      <c r="B1733" t="s">
        <v>32</v>
      </c>
      <c r="C1733" t="s">
        <v>8</v>
      </c>
      <c r="E1733">
        <v>900000</v>
      </c>
      <c r="F1733" t="s">
        <v>96</v>
      </c>
      <c r="G1733" t="str" cm="1">
        <f t="array" ref="G1733">_xlfn.LET(
    _xlpm.r, TRIM(B1733),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مكتب نائب الرئيس للشؤون السياسية</v>
      </c>
      <c r="H1733" t="str" cm="1">
        <f t="array" ref="H1733">_xlfn.LET(
     _xlpm.r, TRIM(C1733),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34" spans="1:8" x14ac:dyDescent="0.25">
      <c r="A1734">
        <v>2023</v>
      </c>
      <c r="B1734" t="s">
        <v>33</v>
      </c>
      <c r="C1734" t="s">
        <v>5</v>
      </c>
      <c r="E1734">
        <v>39358537</v>
      </c>
      <c r="F1734" t="s">
        <v>97</v>
      </c>
      <c r="G1734" t="str" cm="1">
        <f t="array" ref="G1734">_xlfn.LET(
    _xlpm.r, TRIM(B1734),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734" t="str" cm="1">
        <f t="array" ref="H1734">_xlfn.LET(
     _xlpm.r, TRIM(C1734),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35" spans="1:8" x14ac:dyDescent="0.25">
      <c r="A1735">
        <v>2023</v>
      </c>
      <c r="B1735" t="s">
        <v>33</v>
      </c>
      <c r="C1735" t="s">
        <v>5</v>
      </c>
      <c r="E1735">
        <v>3652680</v>
      </c>
      <c r="F1735" t="s">
        <v>97</v>
      </c>
      <c r="G1735" t="str" cm="1">
        <f t="array" ref="G1735">_xlfn.LET(
    _xlpm.r, TRIM(B1735),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735" t="str" cm="1">
        <f t="array" ref="H1735">_xlfn.LET(
     _xlpm.r, TRIM(C1735),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36" spans="1:8" x14ac:dyDescent="0.25">
      <c r="A1736">
        <v>2023</v>
      </c>
      <c r="B1736" t="s">
        <v>33</v>
      </c>
      <c r="C1736" t="s">
        <v>5</v>
      </c>
      <c r="E1736">
        <v>1261103467</v>
      </c>
      <c r="F1736" t="s">
        <v>97</v>
      </c>
      <c r="G1736" t="str" cm="1">
        <f t="array" ref="G1736">_xlfn.LET(
    _xlpm.r, TRIM(B1736),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736" t="str" cm="1">
        <f t="array" ref="H1736">_xlfn.LET(
     _xlpm.r, TRIM(C1736),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37" spans="1:8" x14ac:dyDescent="0.25">
      <c r="A1737">
        <v>2023</v>
      </c>
      <c r="B1737" t="s">
        <v>33</v>
      </c>
      <c r="C1737" t="s">
        <v>5</v>
      </c>
      <c r="E1737">
        <v>1016807040</v>
      </c>
      <c r="F1737" t="s">
        <v>97</v>
      </c>
      <c r="G1737" t="str" cm="1">
        <f t="array" ref="G1737">_xlfn.LET(
    _xlpm.r, TRIM(B1737),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737" t="str" cm="1">
        <f t="array" ref="H1737">_xlfn.LET(
     _xlpm.r, TRIM(C1737),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38" spans="1:8" x14ac:dyDescent="0.25">
      <c r="A1738">
        <v>2023</v>
      </c>
      <c r="B1738" t="s">
        <v>33</v>
      </c>
      <c r="C1738" t="s">
        <v>5</v>
      </c>
      <c r="E1738">
        <v>343354068</v>
      </c>
      <c r="F1738" t="s">
        <v>97</v>
      </c>
      <c r="G1738" t="str" cm="1">
        <f t="array" ref="G1738">_xlfn.LET(
    _xlpm.r, TRIM(B1738),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738" t="str" cm="1">
        <f t="array" ref="H1738">_xlfn.LET(
     _xlpm.r, TRIM(C1738),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39" spans="1:8" x14ac:dyDescent="0.25">
      <c r="A1739">
        <v>2023</v>
      </c>
      <c r="B1739" t="s">
        <v>33</v>
      </c>
      <c r="C1739" t="s">
        <v>5</v>
      </c>
      <c r="E1739">
        <v>620545212</v>
      </c>
      <c r="F1739" t="s">
        <v>97</v>
      </c>
      <c r="G1739" t="str" cm="1">
        <f t="array" ref="G1739">_xlfn.LET(
    _xlpm.r, TRIM(B1739),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739" t="str" cm="1">
        <f t="array" ref="H1739">_xlfn.LET(
     _xlpm.r, TRIM(C1739),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40" spans="1:8" x14ac:dyDescent="0.25">
      <c r="A1740">
        <v>2023</v>
      </c>
      <c r="B1740" t="s">
        <v>33</v>
      </c>
      <c r="C1740" t="s">
        <v>5</v>
      </c>
      <c r="E1740">
        <v>818008356</v>
      </c>
      <c r="F1740" t="s">
        <v>97</v>
      </c>
      <c r="G1740" t="str" cm="1">
        <f t="array" ref="G1740">_xlfn.LET(
    _xlpm.r, TRIM(B1740),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740" t="str" cm="1">
        <f t="array" ref="H1740">_xlfn.LET(
     _xlpm.r, TRIM(C1740),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41" spans="1:8" x14ac:dyDescent="0.25">
      <c r="A1741">
        <v>2023</v>
      </c>
      <c r="B1741" t="s">
        <v>33</v>
      </c>
      <c r="C1741" t="s">
        <v>5</v>
      </c>
      <c r="E1741">
        <v>179312640</v>
      </c>
      <c r="F1741" t="s">
        <v>97</v>
      </c>
      <c r="G1741" t="str" cm="1">
        <f t="array" ref="G1741">_xlfn.LET(
    _xlpm.r, TRIM(B1741),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741" t="str" cm="1">
        <f t="array" ref="H1741">_xlfn.LET(
     _xlpm.r, TRIM(C1741),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42" spans="1:8" x14ac:dyDescent="0.25">
      <c r="A1742">
        <v>2023</v>
      </c>
      <c r="B1742" t="s">
        <v>33</v>
      </c>
      <c r="C1742" t="s">
        <v>6</v>
      </c>
      <c r="E1742">
        <v>817774000</v>
      </c>
      <c r="F1742" t="s">
        <v>97</v>
      </c>
      <c r="G1742" t="str" cm="1">
        <f t="array" ref="G1742">_xlfn.LET(
    _xlpm.r, TRIM(B1742),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742" t="str" cm="1">
        <f t="array" ref="H1742">_xlfn.LET(
     _xlpm.r, TRIM(C1742),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43" spans="1:8" x14ac:dyDescent="0.25">
      <c r="A1743">
        <v>2023</v>
      </c>
      <c r="B1743" t="s">
        <v>33</v>
      </c>
      <c r="C1743" t="s">
        <v>7</v>
      </c>
      <c r="E1743">
        <v>500000</v>
      </c>
      <c r="F1743" t="s">
        <v>97</v>
      </c>
      <c r="G1743" t="str" cm="1">
        <f t="array" ref="G1743">_xlfn.LET(
    _xlpm.r, TRIM(B1743),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743" t="str" cm="1">
        <f t="array" ref="H1743">_xlfn.LET(
     _xlpm.r, TRIM(C1743),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1744" spans="1:8" x14ac:dyDescent="0.25">
      <c r="A1744">
        <v>2023</v>
      </c>
      <c r="B1744" t="s">
        <v>33</v>
      </c>
      <c r="C1744" t="s">
        <v>19</v>
      </c>
      <c r="E1744">
        <v>1000000</v>
      </c>
      <c r="F1744" t="s">
        <v>97</v>
      </c>
      <c r="G1744" t="str" cm="1">
        <f t="array" ref="G1744">_xlfn.LET(
    _xlpm.r, TRIM(B1744),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744" t="str" cm="1">
        <f t="array" ref="H1744">_xlfn.LET(
     _xlpm.r, TRIM(C1744),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745" spans="1:8" x14ac:dyDescent="0.25">
      <c r="A1745">
        <v>2023</v>
      </c>
      <c r="B1745" t="s">
        <v>33</v>
      </c>
      <c r="C1745" t="s">
        <v>8</v>
      </c>
      <c r="E1745">
        <v>64986000</v>
      </c>
      <c r="F1745" t="s">
        <v>97</v>
      </c>
      <c r="G1745" t="str" cm="1">
        <f t="array" ref="G1745">_xlfn.LET(
    _xlpm.r, TRIM(B1745),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للتعليم المدرسي</v>
      </c>
      <c r="H1745" t="str" cm="1">
        <f t="array" ref="H1745">_xlfn.LET(
     _xlpm.r, TRIM(C1745),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46" spans="1:8" x14ac:dyDescent="0.25">
      <c r="A1746">
        <v>2023</v>
      </c>
      <c r="B1746" t="s">
        <v>34</v>
      </c>
      <c r="C1746" t="s">
        <v>5</v>
      </c>
      <c r="E1746">
        <v>1999548</v>
      </c>
      <c r="F1746" t="s">
        <v>98</v>
      </c>
      <c r="G1746" t="str" cm="1">
        <f t="array" ref="G1746">_xlfn.LET(
    _xlpm.r, TRIM(B1746),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46" t="str" cm="1">
        <f t="array" ref="H1746">_xlfn.LET(
     _xlpm.r, TRIM(C1746),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47" spans="1:8" x14ac:dyDescent="0.25">
      <c r="A1747">
        <v>2023</v>
      </c>
      <c r="B1747" t="s">
        <v>34</v>
      </c>
      <c r="C1747" t="s">
        <v>5</v>
      </c>
      <c r="E1747">
        <v>0</v>
      </c>
      <c r="F1747" t="s">
        <v>98</v>
      </c>
      <c r="G1747" t="str" cm="1">
        <f t="array" ref="G1747">_xlfn.LET(
    _xlpm.r, TRIM(B1747),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47" t="str" cm="1">
        <f t="array" ref="H1747">_xlfn.LET(
     _xlpm.r, TRIM(C1747),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48" spans="1:8" x14ac:dyDescent="0.25">
      <c r="A1748">
        <v>2023</v>
      </c>
      <c r="B1748" t="s">
        <v>34</v>
      </c>
      <c r="C1748" t="s">
        <v>5</v>
      </c>
      <c r="E1748">
        <v>418356612</v>
      </c>
      <c r="F1748" t="s">
        <v>98</v>
      </c>
      <c r="G1748" t="str" cm="1">
        <f t="array" ref="G1748">_xlfn.LET(
    _xlpm.r, TRIM(B1748),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48" t="str" cm="1">
        <f t="array" ref="H1748">_xlfn.LET(
     _xlpm.r, TRIM(C1748),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49" spans="1:8" x14ac:dyDescent="0.25">
      <c r="A1749">
        <v>2023</v>
      </c>
      <c r="B1749" t="s">
        <v>34</v>
      </c>
      <c r="C1749" t="s">
        <v>5</v>
      </c>
      <c r="E1749">
        <v>805369112</v>
      </c>
      <c r="F1749" t="s">
        <v>98</v>
      </c>
      <c r="G1749" t="str" cm="1">
        <f t="array" ref="G1749">_xlfn.LET(
    _xlpm.r, TRIM(B1749),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49" t="str" cm="1">
        <f t="array" ref="H1749">_xlfn.LET(
     _xlpm.r, TRIM(C1749),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50" spans="1:8" x14ac:dyDescent="0.25">
      <c r="A1750">
        <v>2023</v>
      </c>
      <c r="B1750" t="s">
        <v>34</v>
      </c>
      <c r="C1750" t="s">
        <v>5</v>
      </c>
      <c r="E1750">
        <v>72779364</v>
      </c>
      <c r="F1750" t="s">
        <v>98</v>
      </c>
      <c r="G1750" t="str" cm="1">
        <f t="array" ref="G1750">_xlfn.LET(
    _xlpm.r, TRIM(B1750),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50" t="str" cm="1">
        <f t="array" ref="H1750">_xlfn.LET(
     _xlpm.r, TRIM(C1750),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51" spans="1:8" x14ac:dyDescent="0.25">
      <c r="A1751">
        <v>2023</v>
      </c>
      <c r="B1751" t="s">
        <v>34</v>
      </c>
      <c r="C1751" t="s">
        <v>5</v>
      </c>
      <c r="E1751">
        <v>335782776</v>
      </c>
      <c r="F1751" t="s">
        <v>98</v>
      </c>
      <c r="G1751" t="str" cm="1">
        <f t="array" ref="G1751">_xlfn.LET(
    _xlpm.r, TRIM(B1751),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51" t="str" cm="1">
        <f t="array" ref="H1751">_xlfn.LET(
     _xlpm.r, TRIM(C1751),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52" spans="1:8" x14ac:dyDescent="0.25">
      <c r="A1752">
        <v>2023</v>
      </c>
      <c r="B1752" t="s">
        <v>34</v>
      </c>
      <c r="C1752" t="s">
        <v>5</v>
      </c>
      <c r="E1752">
        <v>446470196</v>
      </c>
      <c r="F1752" t="s">
        <v>98</v>
      </c>
      <c r="G1752" t="str" cm="1">
        <f t="array" ref="G1752">_xlfn.LET(
    _xlpm.r, TRIM(B1752),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52" t="str" cm="1">
        <f t="array" ref="H1752">_xlfn.LET(
     _xlpm.r, TRIM(C1752),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53" spans="1:8" x14ac:dyDescent="0.25">
      <c r="A1753">
        <v>2023</v>
      </c>
      <c r="B1753" t="s">
        <v>34</v>
      </c>
      <c r="C1753" t="s">
        <v>5</v>
      </c>
      <c r="E1753">
        <v>114426392</v>
      </c>
      <c r="F1753" t="s">
        <v>98</v>
      </c>
      <c r="G1753" t="str" cm="1">
        <f t="array" ref="G1753">_xlfn.LET(
    _xlpm.r, TRIM(B1753),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53" t="str" cm="1">
        <f t="array" ref="H1753">_xlfn.LET(
     _xlpm.r, TRIM(C1753),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54" spans="1:8" x14ac:dyDescent="0.25">
      <c r="A1754">
        <v>2023</v>
      </c>
      <c r="B1754" t="s">
        <v>34</v>
      </c>
      <c r="C1754" t="s">
        <v>6</v>
      </c>
      <c r="E1754">
        <v>325200</v>
      </c>
      <c r="F1754" t="s">
        <v>98</v>
      </c>
      <c r="G1754" t="str" cm="1">
        <f t="array" ref="G1754">_xlfn.LET(
    _xlpm.r, TRIM(B1754),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54" t="str" cm="1">
        <f t="array" ref="H1754">_xlfn.LET(
     _xlpm.r, TRIM(C1754),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55" spans="1:8" x14ac:dyDescent="0.25">
      <c r="A1755">
        <v>2023</v>
      </c>
      <c r="B1755" t="s">
        <v>34</v>
      </c>
      <c r="C1755" t="s">
        <v>6</v>
      </c>
      <c r="E1755">
        <v>496324078</v>
      </c>
      <c r="F1755" t="s">
        <v>98</v>
      </c>
      <c r="G1755" t="str" cm="1">
        <f t="array" ref="G1755">_xlfn.LET(
    _xlpm.r, TRIM(B1755),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55" t="str" cm="1">
        <f t="array" ref="H1755">_xlfn.LET(
     _xlpm.r, TRIM(C1755),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56" spans="1:8" x14ac:dyDescent="0.25">
      <c r="A1756">
        <v>2023</v>
      </c>
      <c r="B1756" t="s">
        <v>34</v>
      </c>
      <c r="C1756" t="s">
        <v>6</v>
      </c>
      <c r="E1756">
        <v>686667751</v>
      </c>
      <c r="F1756" t="s">
        <v>98</v>
      </c>
      <c r="G1756" t="str" cm="1">
        <f t="array" ref="G1756">_xlfn.LET(
    _xlpm.r, TRIM(B1756),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56" t="str" cm="1">
        <f t="array" ref="H1756">_xlfn.LET(
     _xlpm.r, TRIM(C1756),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57" spans="1:8" x14ac:dyDescent="0.25">
      <c r="A1757">
        <v>2023</v>
      </c>
      <c r="B1757" t="s">
        <v>34</v>
      </c>
      <c r="C1757" t="s">
        <v>6</v>
      </c>
      <c r="E1757">
        <v>34678784</v>
      </c>
      <c r="F1757" t="s">
        <v>98</v>
      </c>
      <c r="G1757" t="str" cm="1">
        <f t="array" ref="G1757">_xlfn.LET(
    _xlpm.r, TRIM(B1757),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57" t="str" cm="1">
        <f t="array" ref="H1757">_xlfn.LET(
     _xlpm.r, TRIM(C1757),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58" spans="1:8" x14ac:dyDescent="0.25">
      <c r="A1758">
        <v>2023</v>
      </c>
      <c r="B1758" t="s">
        <v>34</v>
      </c>
      <c r="C1758" t="s">
        <v>6</v>
      </c>
      <c r="E1758">
        <v>206641314</v>
      </c>
      <c r="F1758" t="s">
        <v>98</v>
      </c>
      <c r="G1758" t="str" cm="1">
        <f t="array" ref="G1758">_xlfn.LET(
    _xlpm.r, TRIM(B1758),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58" t="str" cm="1">
        <f t="array" ref="H1758">_xlfn.LET(
     _xlpm.r, TRIM(C1758),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59" spans="1:8" x14ac:dyDescent="0.25">
      <c r="A1759">
        <v>2023</v>
      </c>
      <c r="B1759" t="s">
        <v>34</v>
      </c>
      <c r="C1759" t="s">
        <v>6</v>
      </c>
      <c r="E1759">
        <v>252858042</v>
      </c>
      <c r="F1759" t="s">
        <v>98</v>
      </c>
      <c r="G1759" t="str" cm="1">
        <f t="array" ref="G1759">_xlfn.LET(
    _xlpm.r, TRIM(B1759),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59" t="str" cm="1">
        <f t="array" ref="H1759">_xlfn.LET(
     _xlpm.r, TRIM(C1759),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60" spans="1:8" x14ac:dyDescent="0.25">
      <c r="A1760">
        <v>2023</v>
      </c>
      <c r="B1760" t="s">
        <v>34</v>
      </c>
      <c r="C1760" t="s">
        <v>6</v>
      </c>
      <c r="E1760">
        <v>76204831</v>
      </c>
      <c r="F1760" t="s">
        <v>98</v>
      </c>
      <c r="G1760" t="str" cm="1">
        <f t="array" ref="G1760">_xlfn.LET(
    _xlpm.r, TRIM(B1760),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60" t="str" cm="1">
        <f t="array" ref="H1760">_xlfn.LET(
     _xlpm.r, TRIM(C1760),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61" spans="1:8" x14ac:dyDescent="0.25">
      <c r="A1761">
        <v>2023</v>
      </c>
      <c r="B1761" t="s">
        <v>34</v>
      </c>
      <c r="C1761" t="s">
        <v>19</v>
      </c>
      <c r="E1761">
        <v>77000</v>
      </c>
      <c r="F1761" t="s">
        <v>98</v>
      </c>
      <c r="G1761" t="str" cm="1">
        <f t="array" ref="G1761">_xlfn.LET(
    _xlpm.r, TRIM(B1761),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61" t="str" cm="1">
        <f t="array" ref="H1761">_xlfn.LET(
     _xlpm.r, TRIM(C1761),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762" spans="1:8" x14ac:dyDescent="0.25">
      <c r="A1762">
        <v>2023</v>
      </c>
      <c r="B1762" t="s">
        <v>34</v>
      </c>
      <c r="C1762" t="s">
        <v>8</v>
      </c>
      <c r="E1762">
        <v>174743000</v>
      </c>
      <c r="F1762" t="s">
        <v>98</v>
      </c>
      <c r="G1762" t="str" cm="1">
        <f t="array" ref="G1762">_xlfn.LET(
    _xlpm.r, TRIM(B1762),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62" t="str" cm="1">
        <f t="array" ref="H1762">_xlfn.LET(
     _xlpm.r, TRIM(C1762),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63" spans="1:8" x14ac:dyDescent="0.25">
      <c r="A1763">
        <v>2023</v>
      </c>
      <c r="B1763" t="s">
        <v>34</v>
      </c>
      <c r="C1763" t="s">
        <v>8</v>
      </c>
      <c r="E1763">
        <v>54112000</v>
      </c>
      <c r="F1763" t="s">
        <v>98</v>
      </c>
      <c r="G1763" t="str" cm="1">
        <f t="array" ref="G1763">_xlfn.LET(
    _xlpm.r, TRIM(B1763),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63" t="str" cm="1">
        <f t="array" ref="H1763">_xlfn.LET(
     _xlpm.r, TRIM(C1763),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64" spans="1:8" x14ac:dyDescent="0.25">
      <c r="A1764">
        <v>2023</v>
      </c>
      <c r="B1764" t="s">
        <v>34</v>
      </c>
      <c r="C1764" t="s">
        <v>8</v>
      </c>
      <c r="E1764">
        <v>24886000</v>
      </c>
      <c r="F1764" t="s">
        <v>98</v>
      </c>
      <c r="G1764" t="str" cm="1">
        <f t="array" ref="G1764">_xlfn.LET(
    _xlpm.r, TRIM(B1764),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64" t="str" cm="1">
        <f t="array" ref="H1764">_xlfn.LET(
     _xlpm.r, TRIM(C1764),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65" spans="1:8" x14ac:dyDescent="0.25">
      <c r="A1765">
        <v>2023</v>
      </c>
      <c r="B1765" t="s">
        <v>34</v>
      </c>
      <c r="C1765" t="s">
        <v>8</v>
      </c>
      <c r="E1765">
        <v>23050000</v>
      </c>
      <c r="F1765" t="s">
        <v>98</v>
      </c>
      <c r="G1765" t="str" cm="1">
        <f t="array" ref="G1765">_xlfn.LET(
    _xlpm.r, TRIM(B1765),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65" t="str" cm="1">
        <f t="array" ref="H1765">_xlfn.LET(
     _xlpm.r, TRIM(C1765),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66" spans="1:8" x14ac:dyDescent="0.25">
      <c r="A1766">
        <v>2023</v>
      </c>
      <c r="B1766" t="s">
        <v>34</v>
      </c>
      <c r="C1766" t="s">
        <v>8</v>
      </c>
      <c r="E1766">
        <v>27309000</v>
      </c>
      <c r="F1766" t="s">
        <v>98</v>
      </c>
      <c r="G1766" t="str" cm="1">
        <f t="array" ref="G1766">_xlfn.LET(
    _xlpm.r, TRIM(B1766),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66" t="str" cm="1">
        <f t="array" ref="H1766">_xlfn.LET(
     _xlpm.r, TRIM(C1766),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67" spans="1:8" x14ac:dyDescent="0.25">
      <c r="A1767">
        <v>2023</v>
      </c>
      <c r="B1767" t="s">
        <v>34</v>
      </c>
      <c r="C1767" t="s">
        <v>8</v>
      </c>
      <c r="E1767">
        <v>16800000</v>
      </c>
      <c r="F1767" t="s">
        <v>98</v>
      </c>
      <c r="G1767" t="str" cm="1">
        <f t="array" ref="G1767">_xlfn.LET(
    _xlpm.r, TRIM(B1767),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مؤسسة الإمارات للخدمات الصحية</v>
      </c>
      <c r="H1767" t="str" cm="1">
        <f t="array" ref="H1767">_xlfn.LET(
     _xlpm.r, TRIM(C1767),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68" spans="1:8" x14ac:dyDescent="0.25">
      <c r="A1768">
        <v>2023</v>
      </c>
      <c r="B1768" t="s">
        <v>35</v>
      </c>
      <c r="C1768" t="s">
        <v>5</v>
      </c>
      <c r="E1768">
        <v>280000</v>
      </c>
      <c r="F1768" t="s">
        <v>99</v>
      </c>
      <c r="G1768" t="str" cm="1">
        <f t="array" ref="G1768">_xlfn.LET(
    _xlpm.r, TRIM(B1768),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1768" t="str" cm="1">
        <f t="array" ref="H1768">_xlfn.LET(
     _xlpm.r, TRIM(C1768),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69" spans="1:8" x14ac:dyDescent="0.25">
      <c r="A1769">
        <v>2023</v>
      </c>
      <c r="B1769" t="s">
        <v>35</v>
      </c>
      <c r="C1769" t="s">
        <v>5</v>
      </c>
      <c r="E1769">
        <v>57536056</v>
      </c>
      <c r="F1769" t="s">
        <v>99</v>
      </c>
      <c r="G1769" t="str" cm="1">
        <f t="array" ref="G1769">_xlfn.LET(
    _xlpm.r, TRIM(B1769),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1769" t="str" cm="1">
        <f t="array" ref="H1769">_xlfn.LET(
     _xlpm.r, TRIM(C1769),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70" spans="1:8" x14ac:dyDescent="0.25">
      <c r="A1770">
        <v>2023</v>
      </c>
      <c r="B1770" t="s">
        <v>35</v>
      </c>
      <c r="C1770" t="s">
        <v>5</v>
      </c>
      <c r="E1770">
        <v>6048756</v>
      </c>
      <c r="F1770" t="s">
        <v>99</v>
      </c>
      <c r="G1770" t="str" cm="1">
        <f t="array" ref="G1770">_xlfn.LET(
    _xlpm.r, TRIM(B1770),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1770" t="str" cm="1">
        <f t="array" ref="H1770">_xlfn.LET(
     _xlpm.r, TRIM(C1770),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71" spans="1:8" x14ac:dyDescent="0.25">
      <c r="A1771">
        <v>2023</v>
      </c>
      <c r="B1771" t="s">
        <v>35</v>
      </c>
      <c r="C1771" t="s">
        <v>5</v>
      </c>
      <c r="E1771">
        <v>791412</v>
      </c>
      <c r="F1771" t="s">
        <v>99</v>
      </c>
      <c r="G1771" t="str" cm="1">
        <f t="array" ref="G1771">_xlfn.LET(
    _xlpm.r, TRIM(B1771),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1771" t="str" cm="1">
        <f t="array" ref="H1771">_xlfn.LET(
     _xlpm.r, TRIM(C1771),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72" spans="1:8" x14ac:dyDescent="0.25">
      <c r="A1772">
        <v>2023</v>
      </c>
      <c r="B1772" t="s">
        <v>35</v>
      </c>
      <c r="C1772" t="s">
        <v>5</v>
      </c>
      <c r="E1772">
        <v>1063320</v>
      </c>
      <c r="F1772" t="s">
        <v>99</v>
      </c>
      <c r="G1772" t="str" cm="1">
        <f t="array" ref="G1772">_xlfn.LET(
    _xlpm.r, TRIM(B1772),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1772" t="str" cm="1">
        <f t="array" ref="H1772">_xlfn.LET(
     _xlpm.r, TRIM(C1772),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73" spans="1:8" x14ac:dyDescent="0.25">
      <c r="A1773">
        <v>2023</v>
      </c>
      <c r="B1773" t="s">
        <v>35</v>
      </c>
      <c r="C1773" t="s">
        <v>5</v>
      </c>
      <c r="E1773">
        <v>965616</v>
      </c>
      <c r="F1773" t="s">
        <v>99</v>
      </c>
      <c r="G1773" t="str" cm="1">
        <f t="array" ref="G1773">_xlfn.LET(
    _xlpm.r, TRIM(B1773),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1773" t="str" cm="1">
        <f t="array" ref="H1773">_xlfn.LET(
     _xlpm.r, TRIM(C1773),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74" spans="1:8" x14ac:dyDescent="0.25">
      <c r="A1774">
        <v>2023</v>
      </c>
      <c r="B1774" t="s">
        <v>35</v>
      </c>
      <c r="C1774" t="s">
        <v>5</v>
      </c>
      <c r="E1774">
        <v>793668</v>
      </c>
      <c r="F1774" t="s">
        <v>99</v>
      </c>
      <c r="G1774" t="str" cm="1">
        <f t="array" ref="G1774">_xlfn.LET(
    _xlpm.r, TRIM(B1774),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1774" t="str" cm="1">
        <f t="array" ref="H1774">_xlfn.LET(
     _xlpm.r, TRIM(C1774),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75" spans="1:8" x14ac:dyDescent="0.25">
      <c r="A1775">
        <v>2023</v>
      </c>
      <c r="B1775" t="s">
        <v>35</v>
      </c>
      <c r="C1775" t="s">
        <v>5</v>
      </c>
      <c r="E1775">
        <v>2171604</v>
      </c>
      <c r="F1775" t="s">
        <v>99</v>
      </c>
      <c r="G1775" t="str" cm="1">
        <f t="array" ref="G1775">_xlfn.LET(
    _xlpm.r, TRIM(B1775),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1775" t="str" cm="1">
        <f t="array" ref="H1775">_xlfn.LET(
     _xlpm.r, TRIM(C1775),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76" spans="1:8" x14ac:dyDescent="0.25">
      <c r="A1776">
        <v>2023</v>
      </c>
      <c r="B1776" t="s">
        <v>35</v>
      </c>
      <c r="C1776" t="s">
        <v>5</v>
      </c>
      <c r="E1776">
        <v>1432200</v>
      </c>
      <c r="F1776" t="s">
        <v>99</v>
      </c>
      <c r="G1776" t="str" cm="1">
        <f t="array" ref="G1776">_xlfn.LET(
    _xlpm.r, TRIM(B1776),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1776" t="str" cm="1">
        <f t="array" ref="H1776">_xlfn.LET(
     _xlpm.r, TRIM(C1776),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77" spans="1:8" x14ac:dyDescent="0.25">
      <c r="A1777">
        <v>2023</v>
      </c>
      <c r="B1777" t="s">
        <v>35</v>
      </c>
      <c r="C1777" t="s">
        <v>5</v>
      </c>
      <c r="E1777">
        <v>385368</v>
      </c>
      <c r="F1777" t="s">
        <v>99</v>
      </c>
      <c r="G1777" t="str" cm="1">
        <f t="array" ref="G1777">_xlfn.LET(
    _xlpm.r, TRIM(B1777),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1777" t="str" cm="1">
        <f t="array" ref="H1777">_xlfn.LET(
     _xlpm.r, TRIM(C1777),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78" spans="1:8" x14ac:dyDescent="0.25">
      <c r="A1778">
        <v>2023</v>
      </c>
      <c r="B1778" t="s">
        <v>35</v>
      </c>
      <c r="C1778" t="s">
        <v>6</v>
      </c>
      <c r="E1778">
        <v>24523000</v>
      </c>
      <c r="F1778" t="s">
        <v>99</v>
      </c>
      <c r="G1778" t="str" cm="1">
        <f t="array" ref="G1778">_xlfn.LET(
    _xlpm.r, TRIM(B1778),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1778" t="str" cm="1">
        <f t="array" ref="H1778">_xlfn.LET(
     _xlpm.r, TRIM(C1778),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79" spans="1:8" x14ac:dyDescent="0.25">
      <c r="A1779">
        <v>2023</v>
      </c>
      <c r="B1779" t="s">
        <v>35</v>
      </c>
      <c r="C1779" t="s">
        <v>8</v>
      </c>
      <c r="E1779">
        <v>3550000</v>
      </c>
      <c r="F1779" t="s">
        <v>99</v>
      </c>
      <c r="G1779" t="str" cm="1">
        <f t="array" ref="G1779">_xlfn.LET(
    _xlpm.r, TRIM(B1779),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أنباء الإمارات</v>
      </c>
      <c r="H1779" t="str" cm="1">
        <f t="array" ref="H1779">_xlfn.LET(
     _xlpm.r, TRIM(C1779),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80" spans="1:8" x14ac:dyDescent="0.25">
      <c r="A1780">
        <v>2023</v>
      </c>
      <c r="B1780" t="s">
        <v>36</v>
      </c>
      <c r="C1780" t="s">
        <v>5</v>
      </c>
      <c r="E1780">
        <v>180250000</v>
      </c>
      <c r="F1780" t="s">
        <v>100</v>
      </c>
      <c r="G1780" t="str" cm="1">
        <f t="array" ref="G1780">_xlfn.LET(
    _xlpm.r, TRIM(B1780),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الوطني الاتحادي</v>
      </c>
      <c r="H1780" t="str" cm="1">
        <f t="array" ref="H1780">_xlfn.LET(
     _xlpm.r, TRIM(C1780),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81" spans="1:8" x14ac:dyDescent="0.25">
      <c r="A1781">
        <v>2023</v>
      </c>
      <c r="B1781" t="s">
        <v>36</v>
      </c>
      <c r="C1781" t="s">
        <v>6</v>
      </c>
      <c r="E1781">
        <v>23260000</v>
      </c>
      <c r="F1781" t="s">
        <v>100</v>
      </c>
      <c r="G1781" t="str" cm="1">
        <f t="array" ref="G1781">_xlfn.LET(
    _xlpm.r, TRIM(B1781),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الوطني الاتحادي</v>
      </c>
      <c r="H1781" t="str" cm="1">
        <f t="array" ref="H1781">_xlfn.LET(
     _xlpm.r, TRIM(C1781),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82" spans="1:8" x14ac:dyDescent="0.25">
      <c r="A1782">
        <v>2023</v>
      </c>
      <c r="B1782" t="s">
        <v>36</v>
      </c>
      <c r="C1782" t="s">
        <v>8</v>
      </c>
      <c r="E1782">
        <v>15000000</v>
      </c>
      <c r="F1782" t="s">
        <v>100</v>
      </c>
      <c r="G1782" t="str" cm="1">
        <f t="array" ref="G1782">_xlfn.LET(
    _xlpm.r, TRIM(B1782),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الوطني الاتحادي</v>
      </c>
      <c r="H1782" t="str" cm="1">
        <f t="array" ref="H1782">_xlfn.LET(
     _xlpm.r, TRIM(C1782),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83" spans="1:8" x14ac:dyDescent="0.25">
      <c r="A1783">
        <v>2023</v>
      </c>
      <c r="B1783" t="s">
        <v>36</v>
      </c>
      <c r="C1783" t="s">
        <v>8</v>
      </c>
      <c r="E1783">
        <v>1530000</v>
      </c>
      <c r="F1783" t="s">
        <v>100</v>
      </c>
      <c r="G1783" t="str" cm="1">
        <f t="array" ref="G1783">_xlfn.LET(
    _xlpm.r, TRIM(B1783),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الوطني الاتحادي</v>
      </c>
      <c r="H1783" t="str" cm="1">
        <f t="array" ref="H1783">_xlfn.LET(
     _xlpm.r, TRIM(C1783),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84" spans="1:8" x14ac:dyDescent="0.25">
      <c r="A1784">
        <v>2023</v>
      </c>
      <c r="B1784" t="s">
        <v>37</v>
      </c>
      <c r="C1784" t="s">
        <v>5</v>
      </c>
      <c r="E1784">
        <v>11879000</v>
      </c>
      <c r="F1784" t="s">
        <v>101</v>
      </c>
      <c r="G1784" t="str" cm="1">
        <f t="array" ref="G1784">_xlfn.LET(
    _xlpm.r, TRIM(B1784),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الاتحادي للمعلومات الجغرافية</v>
      </c>
      <c r="H1784" t="str" cm="1">
        <f t="array" ref="H1784">_xlfn.LET(
     _xlpm.r, TRIM(C1784),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85" spans="1:8" x14ac:dyDescent="0.25">
      <c r="A1785">
        <v>2023</v>
      </c>
      <c r="B1785" t="s">
        <v>37</v>
      </c>
      <c r="C1785" t="s">
        <v>6</v>
      </c>
      <c r="E1785">
        <v>10031000</v>
      </c>
      <c r="F1785" t="s">
        <v>101</v>
      </c>
      <c r="G1785" t="str" cm="1">
        <f t="array" ref="G1785">_xlfn.LET(
    _xlpm.r, TRIM(B1785),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الاتحادي للمعلومات الجغرافية</v>
      </c>
      <c r="H1785" t="str" cm="1">
        <f t="array" ref="H1785">_xlfn.LET(
     _xlpm.r, TRIM(C1785),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86" spans="1:8" x14ac:dyDescent="0.25">
      <c r="A1786">
        <v>2023</v>
      </c>
      <c r="B1786" t="s">
        <v>37</v>
      </c>
      <c r="C1786" t="s">
        <v>8</v>
      </c>
      <c r="E1786">
        <v>10390000</v>
      </c>
      <c r="F1786" t="s">
        <v>101</v>
      </c>
      <c r="G1786" t="str" cm="1">
        <f t="array" ref="G1786">_xlfn.LET(
    _xlpm.r, TRIM(B1786),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الاتحادي للمعلومات الجغرافية</v>
      </c>
      <c r="H1786" t="str" cm="1">
        <f t="array" ref="H1786">_xlfn.LET(
     _xlpm.r, TRIM(C1786),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87" spans="1:8" x14ac:dyDescent="0.25">
      <c r="A1787">
        <v>2023</v>
      </c>
      <c r="B1787" t="s">
        <v>38</v>
      </c>
      <c r="C1787" t="s">
        <v>5</v>
      </c>
      <c r="E1787">
        <v>965582</v>
      </c>
      <c r="F1787" t="s">
        <v>102</v>
      </c>
      <c r="G1787" t="str" cm="1">
        <f t="array" ref="G1787">_xlfn.LET(
    _xlpm.r, TRIM(B1787),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1787" t="str" cm="1">
        <f t="array" ref="H1787">_xlfn.LET(
     _xlpm.r, TRIM(C1787),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88" spans="1:8" x14ac:dyDescent="0.25">
      <c r="A1788">
        <v>2023</v>
      </c>
      <c r="B1788" t="s">
        <v>38</v>
      </c>
      <c r="C1788" t="s">
        <v>5</v>
      </c>
      <c r="E1788">
        <v>733068</v>
      </c>
      <c r="F1788" t="s">
        <v>102</v>
      </c>
      <c r="G1788" t="str" cm="1">
        <f t="array" ref="G1788">_xlfn.LET(
    _xlpm.r, TRIM(B1788),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1788" t="str" cm="1">
        <f t="array" ref="H1788">_xlfn.LET(
     _xlpm.r, TRIM(C1788),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89" spans="1:8" x14ac:dyDescent="0.25">
      <c r="A1789">
        <v>2023</v>
      </c>
      <c r="B1789" t="s">
        <v>38</v>
      </c>
      <c r="C1789" t="s">
        <v>5</v>
      </c>
      <c r="E1789">
        <v>35367902</v>
      </c>
      <c r="F1789" t="s">
        <v>102</v>
      </c>
      <c r="G1789" t="str" cm="1">
        <f t="array" ref="G1789">_xlfn.LET(
    _xlpm.r, TRIM(B1789),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1789" t="str" cm="1">
        <f t="array" ref="H1789">_xlfn.LET(
     _xlpm.r, TRIM(C1789),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90" spans="1:8" x14ac:dyDescent="0.25">
      <c r="A1790">
        <v>2023</v>
      </c>
      <c r="B1790" t="s">
        <v>38</v>
      </c>
      <c r="C1790" t="s">
        <v>5</v>
      </c>
      <c r="E1790">
        <v>4043448</v>
      </c>
      <c r="F1790" t="s">
        <v>102</v>
      </c>
      <c r="G1790" t="str" cm="1">
        <f t="array" ref="G1790">_xlfn.LET(
    _xlpm.r, TRIM(B1790),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1790" t="str" cm="1">
        <f t="array" ref="H1790">_xlfn.LET(
     _xlpm.r, TRIM(C1790),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91" spans="1:8" x14ac:dyDescent="0.25">
      <c r="A1791">
        <v>2023</v>
      </c>
      <c r="B1791" t="s">
        <v>38</v>
      </c>
      <c r="C1791" t="s">
        <v>6</v>
      </c>
      <c r="E1791">
        <v>22633000</v>
      </c>
      <c r="F1791" t="s">
        <v>102</v>
      </c>
      <c r="G1791" t="str" cm="1">
        <f t="array" ref="G1791">_xlfn.LET(
    _xlpm.r, TRIM(B1791),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1791" t="str" cm="1">
        <f t="array" ref="H1791">_xlfn.LET(
     _xlpm.r, TRIM(C1791),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92" spans="1:8" x14ac:dyDescent="0.25">
      <c r="A1792">
        <v>2023</v>
      </c>
      <c r="B1792" t="s">
        <v>38</v>
      </c>
      <c r="C1792" t="s">
        <v>7</v>
      </c>
      <c r="E1792">
        <v>153300000</v>
      </c>
      <c r="F1792" t="s">
        <v>102</v>
      </c>
      <c r="G1792" t="str" cm="1">
        <f t="array" ref="G1792">_xlfn.LET(
    _xlpm.r, TRIM(B1792),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1792" t="str" cm="1">
        <f t="array" ref="H1792">_xlfn.LET(
     _xlpm.r, TRIM(C1792),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الإعانات</v>
      </c>
    </row>
    <row r="1793" spans="1:8" x14ac:dyDescent="0.25">
      <c r="A1793">
        <v>2023</v>
      </c>
      <c r="B1793" t="s">
        <v>38</v>
      </c>
      <c r="C1793" t="s">
        <v>8</v>
      </c>
      <c r="E1793">
        <v>135000</v>
      </c>
      <c r="F1793" t="s">
        <v>102</v>
      </c>
      <c r="G1793" t="str" cm="1">
        <f t="array" ref="G1793">_xlfn.LET(
    _xlpm.r, TRIM(B1793),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للرياضة</v>
      </c>
      <c r="H1793" t="str" cm="1">
        <f t="array" ref="H1793">_xlfn.LET(
     _xlpm.r, TRIM(C1793),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94" spans="1:8" x14ac:dyDescent="0.25">
      <c r="A1794">
        <v>2023</v>
      </c>
      <c r="B1794" t="s">
        <v>39</v>
      </c>
      <c r="C1794" t="s">
        <v>5</v>
      </c>
      <c r="E1794">
        <v>2844000</v>
      </c>
      <c r="F1794" t="s">
        <v>103</v>
      </c>
      <c r="G1794" t="str" cm="1">
        <f t="array" ref="G1794">_xlfn.LET(
    _xlpm.r, TRIM(B1794),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مجلس الإمارات للتوازن بين الجنسين</v>
      </c>
      <c r="H1794" t="str" cm="1">
        <f t="array" ref="H1794">_xlfn.LET(
     _xlpm.r, TRIM(C1794),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95" spans="1:8" x14ac:dyDescent="0.25">
      <c r="A1795">
        <v>2023</v>
      </c>
      <c r="B1795" t="s">
        <v>39</v>
      </c>
      <c r="C1795" t="s">
        <v>6</v>
      </c>
      <c r="E1795">
        <v>2076000</v>
      </c>
      <c r="F1795" t="s">
        <v>103</v>
      </c>
      <c r="G1795" t="str" cm="1">
        <f t="array" ref="G1795">_xlfn.LET(
    _xlpm.r, TRIM(B1795),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مجلس الإمارات للتوازن بين الجنسين</v>
      </c>
      <c r="H1795" t="str" cm="1">
        <f t="array" ref="H1795">_xlfn.LET(
     _xlpm.r, TRIM(C1795),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96" spans="1:8" x14ac:dyDescent="0.25">
      <c r="A1796">
        <v>2023</v>
      </c>
      <c r="B1796" t="s">
        <v>39</v>
      </c>
      <c r="C1796" t="s">
        <v>8</v>
      </c>
      <c r="E1796">
        <v>33000</v>
      </c>
      <c r="F1796" t="s">
        <v>103</v>
      </c>
      <c r="G1796" t="str" cm="1">
        <f t="array" ref="G1796">_xlfn.LET(
    _xlpm.r, TRIM(B1796),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مجلس الإمارات للتوازن بين الجنسين</v>
      </c>
      <c r="H1796" t="str" cm="1">
        <f t="array" ref="H1796">_xlfn.LET(
     _xlpm.r, TRIM(C1796),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797" spans="1:8" x14ac:dyDescent="0.25">
      <c r="A1797">
        <v>2023</v>
      </c>
      <c r="B1797" t="s">
        <v>40</v>
      </c>
      <c r="C1797" t="s">
        <v>5</v>
      </c>
      <c r="E1797">
        <v>18036000</v>
      </c>
      <c r="F1797" t="s">
        <v>104</v>
      </c>
      <c r="G1797" t="str" cm="1">
        <f t="array" ref="G1797">_xlfn.LET(
    _xlpm.r, TRIM(B1797),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التسامح والتعايش</v>
      </c>
      <c r="H1797" t="str" cm="1">
        <f t="array" ref="H1797">_xlfn.LET(
     _xlpm.r, TRIM(C1797),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798" spans="1:8" x14ac:dyDescent="0.25">
      <c r="A1798">
        <v>2023</v>
      </c>
      <c r="B1798" t="s">
        <v>40</v>
      </c>
      <c r="C1798" t="s">
        <v>6</v>
      </c>
      <c r="E1798">
        <v>20167000</v>
      </c>
      <c r="F1798" t="s">
        <v>104</v>
      </c>
      <c r="G1798" t="str" cm="1">
        <f t="array" ref="G1798">_xlfn.LET(
    _xlpm.r, TRIM(B1798),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التسامح والتعايش</v>
      </c>
      <c r="H1798" t="str" cm="1">
        <f t="array" ref="H1798">_xlfn.LET(
     _xlpm.r, TRIM(C1798),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799" spans="1:8" x14ac:dyDescent="0.25">
      <c r="A1799">
        <v>2023</v>
      </c>
      <c r="B1799" t="s">
        <v>40</v>
      </c>
      <c r="C1799" t="s">
        <v>8</v>
      </c>
      <c r="E1799">
        <v>400000</v>
      </c>
      <c r="F1799" t="s">
        <v>104</v>
      </c>
      <c r="G1799" t="str" cm="1">
        <f t="array" ref="G1799">_xlfn.LET(
    _xlpm.r, TRIM(B1799),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وزارة التسامح والتعايش</v>
      </c>
      <c r="H1799" t="str" cm="1">
        <f t="array" ref="H1799">_xlfn.LET(
     _xlpm.r, TRIM(C1799),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800" spans="1:8" x14ac:dyDescent="0.25">
      <c r="A1800">
        <v>2023</v>
      </c>
      <c r="B1800" t="s">
        <v>41</v>
      </c>
      <c r="C1800" t="s">
        <v>5</v>
      </c>
      <c r="E1800">
        <v>523704000</v>
      </c>
      <c r="F1800" t="s">
        <v>105</v>
      </c>
      <c r="G1800" t="str" cm="1">
        <f t="array" ref="G1800">_xlfn.LET(
    _xlpm.r, TRIM(B1800),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800" t="str" cm="1">
        <f t="array" ref="H1800">_xlfn.LET(
     _xlpm.r, TRIM(C1800),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01" spans="1:8" x14ac:dyDescent="0.25">
      <c r="A1801">
        <v>2023</v>
      </c>
      <c r="B1801" t="s">
        <v>41</v>
      </c>
      <c r="C1801" t="s">
        <v>5</v>
      </c>
      <c r="E1801">
        <v>1046103972</v>
      </c>
      <c r="F1801" t="s">
        <v>105</v>
      </c>
      <c r="G1801" t="str" cm="1">
        <f t="array" ref="G1801">_xlfn.LET(
    _xlpm.r, TRIM(B1801),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801" t="str" cm="1">
        <f t="array" ref="H1801">_xlfn.LET(
     _xlpm.r, TRIM(C1801),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02" spans="1:8" x14ac:dyDescent="0.25">
      <c r="A1802">
        <v>2023</v>
      </c>
      <c r="B1802" t="s">
        <v>41</v>
      </c>
      <c r="C1802" t="s">
        <v>5</v>
      </c>
      <c r="E1802">
        <v>58542288</v>
      </c>
      <c r="F1802" t="s">
        <v>105</v>
      </c>
      <c r="G1802" t="str" cm="1">
        <f t="array" ref="G1802">_xlfn.LET(
    _xlpm.r, TRIM(B1802),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802" t="str" cm="1">
        <f t="array" ref="H1802">_xlfn.LET(
     _xlpm.r, TRIM(C1802),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03" spans="1:8" x14ac:dyDescent="0.25">
      <c r="A1803">
        <v>2023</v>
      </c>
      <c r="B1803" t="s">
        <v>41</v>
      </c>
      <c r="C1803" t="s">
        <v>5</v>
      </c>
      <c r="E1803">
        <v>137734780</v>
      </c>
      <c r="F1803" t="s">
        <v>105</v>
      </c>
      <c r="G1803" t="str" cm="1">
        <f t="array" ref="G1803">_xlfn.LET(
    _xlpm.r, TRIM(B1803),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803" t="str" cm="1">
        <f t="array" ref="H1803">_xlfn.LET(
     _xlpm.r, TRIM(C1803),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04" spans="1:8" x14ac:dyDescent="0.25">
      <c r="A1804">
        <v>2023</v>
      </c>
      <c r="B1804" t="s">
        <v>41</v>
      </c>
      <c r="C1804" t="s">
        <v>5</v>
      </c>
      <c r="E1804">
        <v>43841868</v>
      </c>
      <c r="F1804" t="s">
        <v>105</v>
      </c>
      <c r="G1804" t="str" cm="1">
        <f t="array" ref="G1804">_xlfn.LET(
    _xlpm.r, TRIM(B1804),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804" t="str" cm="1">
        <f t="array" ref="H1804">_xlfn.LET(
     _xlpm.r, TRIM(C1804),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05" spans="1:8" x14ac:dyDescent="0.25">
      <c r="A1805">
        <v>2023</v>
      </c>
      <c r="B1805" t="s">
        <v>41</v>
      </c>
      <c r="C1805" t="s">
        <v>5</v>
      </c>
      <c r="E1805">
        <v>71910960</v>
      </c>
      <c r="F1805" t="s">
        <v>105</v>
      </c>
      <c r="G1805" t="str" cm="1">
        <f t="array" ref="G1805">_xlfn.LET(
    _xlpm.r, TRIM(B1805),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805" t="str" cm="1">
        <f t="array" ref="H1805">_xlfn.LET(
     _xlpm.r, TRIM(C1805),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06" spans="1:8" x14ac:dyDescent="0.25">
      <c r="A1806">
        <v>2023</v>
      </c>
      <c r="B1806" t="s">
        <v>41</v>
      </c>
      <c r="C1806" t="s">
        <v>5</v>
      </c>
      <c r="E1806">
        <v>104524748</v>
      </c>
      <c r="F1806" t="s">
        <v>105</v>
      </c>
      <c r="G1806" t="str" cm="1">
        <f t="array" ref="G1806">_xlfn.LET(
    _xlpm.r, TRIM(B1806),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806" t="str" cm="1">
        <f t="array" ref="H1806">_xlfn.LET(
     _xlpm.r, TRIM(C1806),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07" spans="1:8" x14ac:dyDescent="0.25">
      <c r="A1807">
        <v>2023</v>
      </c>
      <c r="B1807" t="s">
        <v>41</v>
      </c>
      <c r="C1807" t="s">
        <v>5</v>
      </c>
      <c r="E1807">
        <v>42951908</v>
      </c>
      <c r="F1807" t="s">
        <v>105</v>
      </c>
      <c r="G1807" t="str" cm="1">
        <f t="array" ref="G1807">_xlfn.LET(
    _xlpm.r, TRIM(B1807),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807" t="str" cm="1">
        <f t="array" ref="H1807">_xlfn.LET(
     _xlpm.r, TRIM(C1807),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08" spans="1:8" x14ac:dyDescent="0.25">
      <c r="A1808">
        <v>2023</v>
      </c>
      <c r="B1808" t="s">
        <v>41</v>
      </c>
      <c r="C1808" t="s">
        <v>5</v>
      </c>
      <c r="E1808">
        <v>9270476</v>
      </c>
      <c r="F1808" t="s">
        <v>105</v>
      </c>
      <c r="G1808" t="str" cm="1">
        <f t="array" ref="G1808">_xlfn.LET(
    _xlpm.r, TRIM(B1808),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808" t="str" cm="1">
        <f t="array" ref="H1808">_xlfn.LET(
     _xlpm.r, TRIM(C1808),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09" spans="1:8" x14ac:dyDescent="0.25">
      <c r="A1809">
        <v>2023</v>
      </c>
      <c r="B1809" t="s">
        <v>41</v>
      </c>
      <c r="C1809" t="s">
        <v>6</v>
      </c>
      <c r="E1809">
        <v>439370000</v>
      </c>
      <c r="F1809" t="s">
        <v>105</v>
      </c>
      <c r="G1809" t="str" cm="1">
        <f t="array" ref="G1809">_xlfn.LET(
    _xlpm.r, TRIM(B1809),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809" t="str" cm="1">
        <f t="array" ref="H1809">_xlfn.LET(
     _xlpm.r, TRIM(C1809),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10" spans="1:8" x14ac:dyDescent="0.25">
      <c r="A1810">
        <v>2023</v>
      </c>
      <c r="B1810" t="s">
        <v>41</v>
      </c>
      <c r="C1810" t="s">
        <v>19</v>
      </c>
      <c r="E1810">
        <v>100000</v>
      </c>
      <c r="F1810" t="s">
        <v>105</v>
      </c>
      <c r="G1810" t="str" cm="1">
        <f t="array" ref="G1810">_xlfn.LET(
    _xlpm.r, TRIM(B1810),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810" t="str" cm="1">
        <f t="array" ref="H1810">_xlfn.LET(
     _xlpm.r, TRIM(C1810),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811" spans="1:8" x14ac:dyDescent="0.25">
      <c r="A1811">
        <v>2023</v>
      </c>
      <c r="B1811" t="s">
        <v>41</v>
      </c>
      <c r="C1811" t="s">
        <v>8</v>
      </c>
      <c r="E1811">
        <v>42488000</v>
      </c>
      <c r="F1811" t="s">
        <v>105</v>
      </c>
      <c r="G1811" t="str" cm="1">
        <f t="array" ref="G1811">_xlfn.LET(
    _xlpm.r, TRIM(B1811),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للهوية والجنسية</v>
      </c>
      <c r="H1811" t="str" cm="1">
        <f t="array" ref="H1811">_xlfn.LET(
     _xlpm.r, TRIM(C1811),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812" spans="1:8" x14ac:dyDescent="0.25">
      <c r="A1812">
        <v>2023</v>
      </c>
      <c r="B1812" t="s">
        <v>42</v>
      </c>
      <c r="C1812" t="s">
        <v>5</v>
      </c>
      <c r="E1812">
        <v>6502000</v>
      </c>
      <c r="F1812" t="s">
        <v>106</v>
      </c>
      <c r="G1812" t="str" cm="1">
        <f t="array" ref="G1812">_xlfn.LET(
    _xlpm.r, TRIM(B1812),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الأعلى للأمومة والطفولة</v>
      </c>
      <c r="H1812" t="str" cm="1">
        <f t="array" ref="H1812">_xlfn.LET(
     _xlpm.r, TRIM(C1812),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13" spans="1:8" x14ac:dyDescent="0.25">
      <c r="A1813">
        <v>2023</v>
      </c>
      <c r="B1813" t="s">
        <v>42</v>
      </c>
      <c r="C1813" t="s">
        <v>6</v>
      </c>
      <c r="E1813">
        <v>8448000</v>
      </c>
      <c r="F1813" t="s">
        <v>106</v>
      </c>
      <c r="G1813" t="str" cm="1">
        <f t="array" ref="G1813">_xlfn.LET(
    _xlpm.r, TRIM(B1813),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الأعلى للأمومة والطفولة</v>
      </c>
      <c r="H1813" t="str" cm="1">
        <f t="array" ref="H1813">_xlfn.LET(
     _xlpm.r, TRIM(C1813),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14" spans="1:8" x14ac:dyDescent="0.25">
      <c r="A1814">
        <v>2023</v>
      </c>
      <c r="B1814" t="s">
        <v>42</v>
      </c>
      <c r="C1814" t="s">
        <v>8</v>
      </c>
      <c r="E1814">
        <v>50000</v>
      </c>
      <c r="F1814" t="s">
        <v>106</v>
      </c>
      <c r="G1814" t="str" cm="1">
        <f t="array" ref="G1814">_xlfn.LET(
    _xlpm.r, TRIM(B1814),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الأعلى للأمومة والطفولة</v>
      </c>
      <c r="H1814" t="str" cm="1">
        <f t="array" ref="H1814">_xlfn.LET(
     _xlpm.r, TRIM(C1814),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815" spans="1:8" x14ac:dyDescent="0.25">
      <c r="A1815">
        <v>2023</v>
      </c>
      <c r="B1815" t="s">
        <v>43</v>
      </c>
      <c r="C1815" t="s">
        <v>5</v>
      </c>
      <c r="E1815">
        <v>34500000</v>
      </c>
      <c r="F1815" t="s">
        <v>107</v>
      </c>
      <c r="G1815" t="str" cm="1">
        <f t="array" ref="G1815">_xlfn.LET(
    _xlpm.r, TRIM(B1815),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أكاديمية الإمارات الدبلوماسية</v>
      </c>
      <c r="H1815" t="str" cm="1">
        <f t="array" ref="H1815">_xlfn.LET(
     _xlpm.r, TRIM(C1815),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16" spans="1:8" x14ac:dyDescent="0.25">
      <c r="A1816">
        <v>2023</v>
      </c>
      <c r="B1816" t="s">
        <v>43</v>
      </c>
      <c r="C1816" t="s">
        <v>6</v>
      </c>
      <c r="E1816">
        <v>15830000</v>
      </c>
      <c r="F1816" t="s">
        <v>107</v>
      </c>
      <c r="G1816" t="str" cm="1">
        <f t="array" ref="G1816">_xlfn.LET(
    _xlpm.r, TRIM(B1816),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أكاديمية الإمارات الدبلوماسية</v>
      </c>
      <c r="H1816" t="str" cm="1">
        <f t="array" ref="H1816">_xlfn.LET(
     _xlpm.r, TRIM(C1816),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17" spans="1:8" x14ac:dyDescent="0.25">
      <c r="A1817">
        <v>2023</v>
      </c>
      <c r="B1817" t="s">
        <v>43</v>
      </c>
      <c r="C1817" t="s">
        <v>8</v>
      </c>
      <c r="E1817">
        <v>1670000</v>
      </c>
      <c r="F1817" t="s">
        <v>107</v>
      </c>
      <c r="G1817" t="str" cm="1">
        <f t="array" ref="G1817">_xlfn.LET(
    _xlpm.r, TRIM(B1817),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أكاديمية الإمارات الدبلوماسية</v>
      </c>
      <c r="H1817" t="str" cm="1">
        <f t="array" ref="H1817">_xlfn.LET(
     _xlpm.r, TRIM(C1817),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818" spans="1:8" x14ac:dyDescent="0.25">
      <c r="A1818">
        <v>2023</v>
      </c>
      <c r="B1818" t="s">
        <v>44</v>
      </c>
      <c r="C1818" t="s">
        <v>5</v>
      </c>
      <c r="E1818">
        <v>68643000</v>
      </c>
      <c r="F1818" t="s">
        <v>108</v>
      </c>
      <c r="G1818" t="str" cm="1">
        <f t="array" ref="G1818">_xlfn.LET(
    _xlpm.r, TRIM(B1818),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الوطني للإرشاد</v>
      </c>
      <c r="H1818" t="str" cm="1">
        <f t="array" ref="H1818">_xlfn.LET(
     _xlpm.r, TRIM(C1818),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19" spans="1:8" x14ac:dyDescent="0.25">
      <c r="A1819">
        <v>2023</v>
      </c>
      <c r="B1819" t="s">
        <v>44</v>
      </c>
      <c r="C1819" t="s">
        <v>6</v>
      </c>
      <c r="E1819">
        <v>19630000</v>
      </c>
      <c r="F1819" t="s">
        <v>108</v>
      </c>
      <c r="G1819" t="str" cm="1">
        <f t="array" ref="G1819">_xlfn.LET(
    _xlpm.r, TRIM(B1819),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الوطني للإرشاد</v>
      </c>
      <c r="H1819" t="str" cm="1">
        <f t="array" ref="H1819">_xlfn.LET(
     _xlpm.r, TRIM(C1819),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20" spans="1:8" x14ac:dyDescent="0.25">
      <c r="A1820">
        <v>2023</v>
      </c>
      <c r="B1820" t="s">
        <v>44</v>
      </c>
      <c r="C1820" t="s">
        <v>19</v>
      </c>
      <c r="E1820">
        <v>70000</v>
      </c>
      <c r="F1820" t="s">
        <v>108</v>
      </c>
      <c r="G1820" t="str" cm="1">
        <f t="array" ref="G1820">_xlfn.LET(
    _xlpm.r, TRIM(B1820),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الوطني للإرشاد</v>
      </c>
      <c r="H1820" t="str" cm="1">
        <f t="array" ref="H1820">_xlfn.LET(
     _xlpm.r, TRIM(C1820),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821" spans="1:8" x14ac:dyDescent="0.25">
      <c r="A1821">
        <v>2023</v>
      </c>
      <c r="B1821" t="s">
        <v>44</v>
      </c>
      <c r="C1821" t="s">
        <v>8</v>
      </c>
      <c r="E1821">
        <v>600000</v>
      </c>
      <c r="F1821" t="s">
        <v>108</v>
      </c>
      <c r="G1821" t="str" cm="1">
        <f t="array" ref="G1821">_xlfn.LET(
    _xlpm.r, TRIM(B1821),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المركز الوطني للإرشاد</v>
      </c>
      <c r="H1821" t="str" cm="1">
        <f t="array" ref="H1821">_xlfn.LET(
     _xlpm.r, TRIM(C1821),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822" spans="1:8" x14ac:dyDescent="0.25">
      <c r="A1822">
        <v>2023</v>
      </c>
      <c r="B1822" t="s">
        <v>45</v>
      </c>
      <c r="C1822" t="s">
        <v>5</v>
      </c>
      <c r="E1822">
        <v>1394018</v>
      </c>
      <c r="F1822" t="s">
        <v>109</v>
      </c>
      <c r="G1822" t="str" cm="1">
        <f t="array" ref="G1822">_xlfn.LET(
    _xlpm.r, TRIM(B1822),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الإمارات للفضاء</v>
      </c>
      <c r="H1822" t="str" cm="1">
        <f t="array" ref="H1822">_xlfn.LET(
     _xlpm.r, TRIM(C1822),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23" spans="1:8" x14ac:dyDescent="0.25">
      <c r="A1823">
        <v>2023</v>
      </c>
      <c r="B1823" t="s">
        <v>45</v>
      </c>
      <c r="C1823" t="s">
        <v>5</v>
      </c>
      <c r="E1823">
        <v>54946982</v>
      </c>
      <c r="F1823" t="s">
        <v>109</v>
      </c>
      <c r="G1823" t="str" cm="1">
        <f t="array" ref="G1823">_xlfn.LET(
    _xlpm.r, TRIM(B1823),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الإمارات للفضاء</v>
      </c>
      <c r="H1823" t="str" cm="1">
        <f t="array" ref="H1823">_xlfn.LET(
     _xlpm.r, TRIM(C1823),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24" spans="1:8" x14ac:dyDescent="0.25">
      <c r="A1824">
        <v>2023</v>
      </c>
      <c r="B1824" t="s">
        <v>45</v>
      </c>
      <c r="C1824" t="s">
        <v>6</v>
      </c>
      <c r="E1824">
        <v>35100814</v>
      </c>
      <c r="F1824" t="s">
        <v>109</v>
      </c>
      <c r="G1824" t="str" cm="1">
        <f t="array" ref="G1824">_xlfn.LET(
    _xlpm.r, TRIM(B1824),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الإمارات للفضاء</v>
      </c>
      <c r="H1824" t="str" cm="1">
        <f t="array" ref="H1824">_xlfn.LET(
     _xlpm.r, TRIM(C1824),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25" spans="1:8" x14ac:dyDescent="0.25">
      <c r="A1825">
        <v>2023</v>
      </c>
      <c r="B1825" t="s">
        <v>45</v>
      </c>
      <c r="C1825" t="s">
        <v>6</v>
      </c>
      <c r="E1825">
        <v>5026186</v>
      </c>
      <c r="F1825" t="s">
        <v>109</v>
      </c>
      <c r="G1825" t="str" cm="1">
        <f t="array" ref="G1825">_xlfn.LET(
    _xlpm.r, TRIM(B1825),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الإمارات للفضاء</v>
      </c>
      <c r="H1825" t="str" cm="1">
        <f t="array" ref="H1825">_xlfn.LET(
     _xlpm.r, TRIM(C1825),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26" spans="1:8" x14ac:dyDescent="0.25">
      <c r="A1826">
        <v>2023</v>
      </c>
      <c r="B1826" t="s">
        <v>45</v>
      </c>
      <c r="C1826" t="s">
        <v>19</v>
      </c>
      <c r="E1826">
        <v>20000</v>
      </c>
      <c r="F1826" t="s">
        <v>109</v>
      </c>
      <c r="G1826" t="str" cm="1">
        <f t="array" ref="G1826">_xlfn.LET(
    _xlpm.r, TRIM(B1826),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الإمارات للفضاء</v>
      </c>
      <c r="H1826" t="str" cm="1">
        <f t="array" ref="H1826">_xlfn.LET(
     _xlpm.r, TRIM(C1826),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827" spans="1:8" x14ac:dyDescent="0.25">
      <c r="A1827">
        <v>2023</v>
      </c>
      <c r="B1827" t="s">
        <v>45</v>
      </c>
      <c r="C1827" t="s">
        <v>8</v>
      </c>
      <c r="E1827">
        <v>156108000</v>
      </c>
      <c r="F1827" t="s">
        <v>109</v>
      </c>
      <c r="G1827" t="str" cm="1">
        <f t="array" ref="G1827">_xlfn.LET(
    _xlpm.r, TRIM(B1827),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وكالة الإمارات للفضاء</v>
      </c>
      <c r="H1827" t="str" cm="1">
        <f t="array" ref="H1827">_xlfn.LET(
     _xlpm.r, TRIM(C1827),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828" spans="1:8" x14ac:dyDescent="0.25">
      <c r="A1828">
        <v>2023</v>
      </c>
      <c r="B1828" t="s">
        <v>46</v>
      </c>
      <c r="C1828" t="s">
        <v>5</v>
      </c>
      <c r="E1828">
        <v>803996</v>
      </c>
      <c r="F1828" t="s">
        <v>110</v>
      </c>
      <c r="G1828" t="str" cm="1">
        <f t="array" ref="G1828">_xlfn.LET(
    _xlpm.r, TRIM(B1828),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28" t="str" cm="1">
        <f t="array" ref="H1828">_xlfn.LET(
     _xlpm.r, TRIM(C1828),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29" spans="1:8" x14ac:dyDescent="0.25">
      <c r="A1829">
        <v>2023</v>
      </c>
      <c r="B1829" t="s">
        <v>46</v>
      </c>
      <c r="C1829" t="s">
        <v>5</v>
      </c>
      <c r="E1829">
        <v>141729545</v>
      </c>
      <c r="F1829" t="s">
        <v>110</v>
      </c>
      <c r="G1829" t="str" cm="1">
        <f t="array" ref="G1829">_xlfn.LET(
    _xlpm.r, TRIM(B1829),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29" t="str" cm="1">
        <f t="array" ref="H1829">_xlfn.LET(
     _xlpm.r, TRIM(C1829),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30" spans="1:8" x14ac:dyDescent="0.25">
      <c r="A1830">
        <v>2023</v>
      </c>
      <c r="B1830" t="s">
        <v>46</v>
      </c>
      <c r="C1830" t="s">
        <v>5</v>
      </c>
      <c r="E1830">
        <v>894116</v>
      </c>
      <c r="F1830" t="s">
        <v>110</v>
      </c>
      <c r="G1830" t="str" cm="1">
        <f t="array" ref="G1830">_xlfn.LET(
    _xlpm.r, TRIM(B1830),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30" t="str" cm="1">
        <f t="array" ref="H1830">_xlfn.LET(
     _xlpm.r, TRIM(C1830),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31" spans="1:8" x14ac:dyDescent="0.25">
      <c r="A1831">
        <v>2023</v>
      </c>
      <c r="B1831" t="s">
        <v>46</v>
      </c>
      <c r="C1831" t="s">
        <v>5</v>
      </c>
      <c r="E1831">
        <v>23697016</v>
      </c>
      <c r="F1831" t="s">
        <v>110</v>
      </c>
      <c r="G1831" t="str" cm="1">
        <f t="array" ref="G1831">_xlfn.LET(
    _xlpm.r, TRIM(B1831),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31" t="str" cm="1">
        <f t="array" ref="H1831">_xlfn.LET(
     _xlpm.r, TRIM(C1831),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32" spans="1:8" x14ac:dyDescent="0.25">
      <c r="A1832">
        <v>2023</v>
      </c>
      <c r="B1832" t="s">
        <v>46</v>
      </c>
      <c r="C1832" t="s">
        <v>5</v>
      </c>
      <c r="E1832">
        <v>25603852</v>
      </c>
      <c r="F1832" t="s">
        <v>110</v>
      </c>
      <c r="G1832" t="str" cm="1">
        <f t="array" ref="G1832">_xlfn.LET(
    _xlpm.r, TRIM(B1832),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32" t="str" cm="1">
        <f t="array" ref="H1832">_xlfn.LET(
     _xlpm.r, TRIM(C1832),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33" spans="1:8" x14ac:dyDescent="0.25">
      <c r="A1833">
        <v>2023</v>
      </c>
      <c r="B1833" t="s">
        <v>46</v>
      </c>
      <c r="C1833" t="s">
        <v>5</v>
      </c>
      <c r="E1833">
        <v>20526364</v>
      </c>
      <c r="F1833" t="s">
        <v>110</v>
      </c>
      <c r="G1833" t="str" cm="1">
        <f t="array" ref="G1833">_xlfn.LET(
    _xlpm.r, TRIM(B1833),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33" t="str" cm="1">
        <f t="array" ref="H1833">_xlfn.LET(
     _xlpm.r, TRIM(C1833),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34" spans="1:8" x14ac:dyDescent="0.25">
      <c r="A1834">
        <v>2023</v>
      </c>
      <c r="B1834" t="s">
        <v>46</v>
      </c>
      <c r="C1834" t="s">
        <v>5</v>
      </c>
      <c r="E1834">
        <v>50823907</v>
      </c>
      <c r="F1834" t="s">
        <v>110</v>
      </c>
      <c r="G1834" t="str" cm="1">
        <f t="array" ref="G1834">_xlfn.LET(
    _xlpm.r, TRIM(B1834),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34" t="str" cm="1">
        <f t="array" ref="H1834">_xlfn.LET(
     _xlpm.r, TRIM(C1834),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35" spans="1:8" x14ac:dyDescent="0.25">
      <c r="A1835">
        <v>2023</v>
      </c>
      <c r="B1835" t="s">
        <v>46</v>
      </c>
      <c r="C1835" t="s">
        <v>5</v>
      </c>
      <c r="E1835">
        <v>15512024</v>
      </c>
      <c r="F1835" t="s">
        <v>110</v>
      </c>
      <c r="G1835" t="str" cm="1">
        <f t="array" ref="G1835">_xlfn.LET(
    _xlpm.r, TRIM(B1835),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35" t="str" cm="1">
        <f t="array" ref="H1835">_xlfn.LET(
     _xlpm.r, TRIM(C1835),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36" spans="1:8" x14ac:dyDescent="0.25">
      <c r="A1836">
        <v>2023</v>
      </c>
      <c r="B1836" t="s">
        <v>46</v>
      </c>
      <c r="C1836" t="s">
        <v>5</v>
      </c>
      <c r="E1836">
        <v>74651524</v>
      </c>
      <c r="F1836" t="s">
        <v>110</v>
      </c>
      <c r="G1836" t="str" cm="1">
        <f t="array" ref="G1836">_xlfn.LET(
    _xlpm.r, TRIM(B1836),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36" t="str" cm="1">
        <f t="array" ref="H1836">_xlfn.LET(
     _xlpm.r, TRIM(C1836),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37" spans="1:8" x14ac:dyDescent="0.25">
      <c r="A1837">
        <v>2023</v>
      </c>
      <c r="B1837" t="s">
        <v>46</v>
      </c>
      <c r="C1837" t="s">
        <v>5</v>
      </c>
      <c r="E1837">
        <v>16466656</v>
      </c>
      <c r="F1837" t="s">
        <v>110</v>
      </c>
      <c r="G1837" t="str" cm="1">
        <f t="array" ref="G1837">_xlfn.LET(
    _xlpm.r, TRIM(B1837),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37" t="str" cm="1">
        <f t="array" ref="H1837">_xlfn.LET(
     _xlpm.r, TRIM(C1837),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38" spans="1:8" x14ac:dyDescent="0.25">
      <c r="A1838">
        <v>2023</v>
      </c>
      <c r="B1838" t="s">
        <v>46</v>
      </c>
      <c r="C1838" t="s">
        <v>6</v>
      </c>
      <c r="E1838">
        <v>32077700</v>
      </c>
      <c r="F1838" t="s">
        <v>110</v>
      </c>
      <c r="G1838" t="str" cm="1">
        <f t="array" ref="G1838">_xlfn.LET(
    _xlpm.r, TRIM(B1838),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38" t="str" cm="1">
        <f t="array" ref="H1838">_xlfn.LET(
     _xlpm.r, TRIM(C1838),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39" spans="1:8" x14ac:dyDescent="0.25">
      <c r="A1839">
        <v>2023</v>
      </c>
      <c r="B1839" t="s">
        <v>46</v>
      </c>
      <c r="C1839" t="s">
        <v>6</v>
      </c>
      <c r="E1839">
        <v>124000</v>
      </c>
      <c r="F1839" t="s">
        <v>110</v>
      </c>
      <c r="G1839" t="str" cm="1">
        <f t="array" ref="G1839">_xlfn.LET(
    _xlpm.r, TRIM(B1839),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39" t="str" cm="1">
        <f t="array" ref="H1839">_xlfn.LET(
     _xlpm.r, TRIM(C1839),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40" spans="1:8" x14ac:dyDescent="0.25">
      <c r="A1840">
        <v>2023</v>
      </c>
      <c r="B1840" t="s">
        <v>46</v>
      </c>
      <c r="C1840" t="s">
        <v>6</v>
      </c>
      <c r="E1840">
        <v>10545450</v>
      </c>
      <c r="F1840" t="s">
        <v>110</v>
      </c>
      <c r="G1840" t="str" cm="1">
        <f t="array" ref="G1840">_xlfn.LET(
    _xlpm.r, TRIM(B1840),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40" t="str" cm="1">
        <f t="array" ref="H1840">_xlfn.LET(
     _xlpm.r, TRIM(C1840),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41" spans="1:8" x14ac:dyDescent="0.25">
      <c r="A1841">
        <v>2023</v>
      </c>
      <c r="B1841" t="s">
        <v>46</v>
      </c>
      <c r="C1841" t="s">
        <v>6</v>
      </c>
      <c r="E1841">
        <v>15785450</v>
      </c>
      <c r="F1841" t="s">
        <v>110</v>
      </c>
      <c r="G1841" t="str" cm="1">
        <f t="array" ref="G1841">_xlfn.LET(
    _xlpm.r, TRIM(B1841),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41" t="str" cm="1">
        <f t="array" ref="H1841">_xlfn.LET(
     _xlpm.r, TRIM(C1841),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42" spans="1:8" x14ac:dyDescent="0.25">
      <c r="A1842">
        <v>2023</v>
      </c>
      <c r="B1842" t="s">
        <v>46</v>
      </c>
      <c r="C1842" t="s">
        <v>6</v>
      </c>
      <c r="E1842">
        <v>16906150</v>
      </c>
      <c r="F1842" t="s">
        <v>110</v>
      </c>
      <c r="G1842" t="str" cm="1">
        <f t="array" ref="G1842">_xlfn.LET(
    _xlpm.r, TRIM(B1842),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42" t="str" cm="1">
        <f t="array" ref="H1842">_xlfn.LET(
     _xlpm.r, TRIM(C1842),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43" spans="1:8" x14ac:dyDescent="0.25">
      <c r="A1843">
        <v>2023</v>
      </c>
      <c r="B1843" t="s">
        <v>46</v>
      </c>
      <c r="C1843" t="s">
        <v>6</v>
      </c>
      <c r="E1843">
        <v>43069850</v>
      </c>
      <c r="F1843" t="s">
        <v>110</v>
      </c>
      <c r="G1843" t="str" cm="1">
        <f t="array" ref="G1843">_xlfn.LET(
    _xlpm.r, TRIM(B1843),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43" t="str" cm="1">
        <f t="array" ref="H1843">_xlfn.LET(
     _xlpm.r, TRIM(C1843),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44" spans="1:8" x14ac:dyDescent="0.25">
      <c r="A1844">
        <v>2023</v>
      </c>
      <c r="B1844" t="s">
        <v>46</v>
      </c>
      <c r="C1844" t="s">
        <v>6</v>
      </c>
      <c r="E1844">
        <v>12024700</v>
      </c>
      <c r="F1844" t="s">
        <v>110</v>
      </c>
      <c r="G1844" t="str" cm="1">
        <f t="array" ref="G1844">_xlfn.LET(
    _xlpm.r, TRIM(B1844),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44" t="str" cm="1">
        <f t="array" ref="H1844">_xlfn.LET(
     _xlpm.r, TRIM(C1844),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45" spans="1:8" x14ac:dyDescent="0.25">
      <c r="A1845">
        <v>2023</v>
      </c>
      <c r="B1845" t="s">
        <v>46</v>
      </c>
      <c r="C1845" t="s">
        <v>6</v>
      </c>
      <c r="E1845">
        <v>916500</v>
      </c>
      <c r="F1845" t="s">
        <v>110</v>
      </c>
      <c r="G1845" t="str" cm="1">
        <f t="array" ref="G1845">_xlfn.LET(
    _xlpm.r, TRIM(B1845),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45" t="str" cm="1">
        <f t="array" ref="H1845">_xlfn.LET(
     _xlpm.r, TRIM(C1845),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46" spans="1:8" x14ac:dyDescent="0.25">
      <c r="A1846">
        <v>2023</v>
      </c>
      <c r="B1846" t="s">
        <v>46</v>
      </c>
      <c r="C1846" t="s">
        <v>6</v>
      </c>
      <c r="E1846">
        <v>342200</v>
      </c>
      <c r="F1846" t="s">
        <v>110</v>
      </c>
      <c r="G1846" t="str" cm="1">
        <f t="array" ref="G1846">_xlfn.LET(
    _xlpm.r, TRIM(B1846),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46" t="str" cm="1">
        <f t="array" ref="H1846">_xlfn.LET(
     _xlpm.r, TRIM(C1846),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47" spans="1:8" x14ac:dyDescent="0.25">
      <c r="A1847">
        <v>2023</v>
      </c>
      <c r="B1847" t="s">
        <v>46</v>
      </c>
      <c r="C1847" t="s">
        <v>19</v>
      </c>
      <c r="E1847">
        <v>75000</v>
      </c>
      <c r="F1847" t="s">
        <v>110</v>
      </c>
      <c r="G1847" t="str" cm="1">
        <f t="array" ref="G1847">_xlfn.LET(
    _xlpm.r, TRIM(B1847),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47" t="str" cm="1">
        <f t="array" ref="H1847">_xlfn.LET(
     _xlpm.r, TRIM(C1847),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848" spans="1:8" x14ac:dyDescent="0.25">
      <c r="A1848">
        <v>2023</v>
      </c>
      <c r="B1848" t="s">
        <v>46</v>
      </c>
      <c r="C1848" t="s">
        <v>8</v>
      </c>
      <c r="E1848">
        <v>1555000</v>
      </c>
      <c r="F1848" t="s">
        <v>110</v>
      </c>
      <c r="G1848" t="str" cm="1">
        <f t="array" ref="G1848">_xlfn.LET(
    _xlpm.r, TRIM(B1848),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العامة للشؤون الإسلامية والأوقاف</v>
      </c>
      <c r="H1848" t="str" cm="1">
        <f t="array" ref="H1848">_xlfn.LET(
     _xlpm.r, TRIM(C1848),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849" spans="1:8" x14ac:dyDescent="0.25">
      <c r="A1849">
        <v>2023</v>
      </c>
      <c r="B1849" t="s">
        <v>47</v>
      </c>
      <c r="C1849" t="s">
        <v>5</v>
      </c>
      <c r="E1849">
        <v>70788</v>
      </c>
      <c r="F1849" t="s">
        <v>111</v>
      </c>
      <c r="G1849" t="str" cm="1">
        <f t="array" ref="G1849">_xlfn.LET(
    _xlpm.r, TRIM(B1849),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1849" t="str" cm="1">
        <f t="array" ref="H1849">_xlfn.LET(
     _xlpm.r, TRIM(C1849),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50" spans="1:8" x14ac:dyDescent="0.25">
      <c r="A1850">
        <v>2023</v>
      </c>
      <c r="B1850" t="s">
        <v>47</v>
      </c>
      <c r="C1850" t="s">
        <v>5</v>
      </c>
      <c r="E1850">
        <v>5445408</v>
      </c>
      <c r="F1850" t="s">
        <v>111</v>
      </c>
      <c r="G1850" t="str" cm="1">
        <f t="array" ref="G1850">_xlfn.LET(
    _xlpm.r, TRIM(B1850),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1850" t="str" cm="1">
        <f t="array" ref="H1850">_xlfn.LET(
     _xlpm.r, TRIM(C1850),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51" spans="1:8" x14ac:dyDescent="0.25">
      <c r="A1851">
        <v>2023</v>
      </c>
      <c r="B1851" t="s">
        <v>47</v>
      </c>
      <c r="C1851" t="s">
        <v>5</v>
      </c>
      <c r="E1851">
        <v>51562804</v>
      </c>
      <c r="F1851" t="s">
        <v>111</v>
      </c>
      <c r="G1851" t="str" cm="1">
        <f t="array" ref="G1851">_xlfn.LET(
    _xlpm.r, TRIM(B1851),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1851" t="str" cm="1">
        <f t="array" ref="H1851">_xlfn.LET(
     _xlpm.r, TRIM(C1851),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52" spans="1:8" x14ac:dyDescent="0.25">
      <c r="A1852">
        <v>2023</v>
      </c>
      <c r="B1852" t="s">
        <v>47</v>
      </c>
      <c r="C1852" t="s">
        <v>6</v>
      </c>
      <c r="E1852">
        <v>15744000</v>
      </c>
      <c r="F1852" t="s">
        <v>111</v>
      </c>
      <c r="G1852" t="str" cm="1">
        <f t="array" ref="G1852">_xlfn.LET(
    _xlpm.r, TRIM(B1852),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1852" t="str" cm="1">
        <f t="array" ref="H1852">_xlfn.LET(
     _xlpm.r, TRIM(C1852),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53" spans="1:8" x14ac:dyDescent="0.25">
      <c r="A1853">
        <v>2023</v>
      </c>
      <c r="B1853" t="s">
        <v>47</v>
      </c>
      <c r="C1853" t="s">
        <v>19</v>
      </c>
      <c r="E1853">
        <v>6000</v>
      </c>
      <c r="F1853" t="s">
        <v>111</v>
      </c>
      <c r="G1853" t="str" cm="1">
        <f t="array" ref="G1853">_xlfn.LET(
    _xlpm.r, TRIM(B1853),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1853" t="str" cm="1">
        <f t="array" ref="H1853">_xlfn.LET(
     _xlpm.r, TRIM(C1853),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854" spans="1:8" x14ac:dyDescent="0.25">
      <c r="A1854">
        <v>2023</v>
      </c>
      <c r="B1854" t="s">
        <v>47</v>
      </c>
      <c r="C1854" t="s">
        <v>8</v>
      </c>
      <c r="E1854">
        <v>2025000</v>
      </c>
      <c r="F1854" t="s">
        <v>111</v>
      </c>
      <c r="G1854" t="str" cm="1">
        <f t="array" ref="G1854">_xlfn.LET(
    _xlpm.r, TRIM(B1854),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للموارد البشرية الحكومية</v>
      </c>
      <c r="H1854" t="str" cm="1">
        <f t="array" ref="H1854">_xlfn.LET(
     _xlpm.r, TRIM(C1854),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855" spans="1:8" x14ac:dyDescent="0.25">
      <c r="A1855">
        <v>2023</v>
      </c>
      <c r="B1855" t="s">
        <v>48</v>
      </c>
      <c r="C1855" t="s">
        <v>5</v>
      </c>
      <c r="E1855">
        <v>883575000</v>
      </c>
      <c r="F1855" t="s">
        <v>112</v>
      </c>
      <c r="G1855" t="str" cm="1">
        <f t="array" ref="G1855">_xlfn.LET(
    _xlpm.r, TRIM(B1855),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الإمارات العربية المتحدة</v>
      </c>
      <c r="H1855" t="str" cm="1">
        <f t="array" ref="H1855">_xlfn.LET(
     _xlpm.r, TRIM(C1855),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56" spans="1:8" x14ac:dyDescent="0.25">
      <c r="A1856">
        <v>2023</v>
      </c>
      <c r="B1856" t="s">
        <v>48</v>
      </c>
      <c r="C1856" t="s">
        <v>6</v>
      </c>
      <c r="E1856">
        <v>461118000</v>
      </c>
      <c r="F1856" t="s">
        <v>112</v>
      </c>
      <c r="G1856" t="str" cm="1">
        <f t="array" ref="G1856">_xlfn.LET(
    _xlpm.r, TRIM(B1856),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الإمارات العربية المتحدة</v>
      </c>
      <c r="H1856" t="str" cm="1">
        <f t="array" ref="H1856">_xlfn.LET(
     _xlpm.r, TRIM(C1856),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57" spans="1:8" x14ac:dyDescent="0.25">
      <c r="A1857">
        <v>2023</v>
      </c>
      <c r="B1857" t="s">
        <v>48</v>
      </c>
      <c r="C1857" t="s">
        <v>19</v>
      </c>
      <c r="E1857">
        <v>54000</v>
      </c>
      <c r="F1857" t="s">
        <v>112</v>
      </c>
      <c r="G1857" t="str" cm="1">
        <f t="array" ref="G1857">_xlfn.LET(
    _xlpm.r, TRIM(B1857),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الإمارات العربية المتحدة</v>
      </c>
      <c r="H1857" t="str" cm="1">
        <f t="array" ref="H1857">_xlfn.LET(
     _xlpm.r, TRIM(C1857),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858" spans="1:8" x14ac:dyDescent="0.25">
      <c r="A1858">
        <v>2023</v>
      </c>
      <c r="B1858" t="s">
        <v>48</v>
      </c>
      <c r="C1858" t="s">
        <v>8</v>
      </c>
      <c r="E1858">
        <v>48522000</v>
      </c>
      <c r="F1858" t="s">
        <v>112</v>
      </c>
      <c r="G1858" t="str" cm="1">
        <f t="array" ref="G1858">_xlfn.LET(
    _xlpm.r, TRIM(B1858),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الإمارات العربية المتحدة</v>
      </c>
      <c r="H1858" t="str" cm="1">
        <f t="array" ref="H1858">_xlfn.LET(
     _xlpm.r, TRIM(C1858),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859" spans="1:8" x14ac:dyDescent="0.25">
      <c r="A1859">
        <v>2023</v>
      </c>
      <c r="B1859" t="s">
        <v>49</v>
      </c>
      <c r="C1859" t="s">
        <v>5</v>
      </c>
      <c r="E1859">
        <v>12000000</v>
      </c>
      <c r="F1859" t="s">
        <v>113</v>
      </c>
      <c r="G1859" t="str" cm="1">
        <f t="array" ref="G1859">_xlfn.LET(
    _xlpm.r, TRIM(B1859),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859" t="str" cm="1">
        <f t="array" ref="H1859">_xlfn.LET(
     _xlpm.r, TRIM(C1859),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60" spans="1:8" x14ac:dyDescent="0.25">
      <c r="A1860">
        <v>2023</v>
      </c>
      <c r="B1860" t="s">
        <v>49</v>
      </c>
      <c r="C1860" t="s">
        <v>5</v>
      </c>
      <c r="E1860">
        <v>259230064</v>
      </c>
      <c r="F1860" t="s">
        <v>113</v>
      </c>
      <c r="G1860" t="str" cm="1">
        <f t="array" ref="G1860">_xlfn.LET(
    _xlpm.r, TRIM(B1860),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860" t="str" cm="1">
        <f t="array" ref="H1860">_xlfn.LET(
     _xlpm.r, TRIM(C1860),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61" spans="1:8" x14ac:dyDescent="0.25">
      <c r="A1861">
        <v>2023</v>
      </c>
      <c r="B1861" t="s">
        <v>49</v>
      </c>
      <c r="C1861" t="s">
        <v>5</v>
      </c>
      <c r="E1861">
        <v>116964684</v>
      </c>
      <c r="F1861" t="s">
        <v>113</v>
      </c>
      <c r="G1861" t="str" cm="1">
        <f t="array" ref="G1861">_xlfn.LET(
    _xlpm.r, TRIM(B1861),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861" t="str" cm="1">
        <f t="array" ref="H1861">_xlfn.LET(
     _xlpm.r, TRIM(C1861),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62" spans="1:8" x14ac:dyDescent="0.25">
      <c r="A1862">
        <v>2023</v>
      </c>
      <c r="B1862" t="s">
        <v>49</v>
      </c>
      <c r="C1862" t="s">
        <v>5</v>
      </c>
      <c r="E1862">
        <v>110453304</v>
      </c>
      <c r="F1862" t="s">
        <v>113</v>
      </c>
      <c r="G1862" t="str" cm="1">
        <f t="array" ref="G1862">_xlfn.LET(
    _xlpm.r, TRIM(B1862),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862" t="str" cm="1">
        <f t="array" ref="H1862">_xlfn.LET(
     _xlpm.r, TRIM(C1862),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63" spans="1:8" x14ac:dyDescent="0.25">
      <c r="A1863">
        <v>2023</v>
      </c>
      <c r="B1863" t="s">
        <v>49</v>
      </c>
      <c r="C1863" t="s">
        <v>5</v>
      </c>
      <c r="E1863">
        <v>66231528</v>
      </c>
      <c r="F1863" t="s">
        <v>113</v>
      </c>
      <c r="G1863" t="str" cm="1">
        <f t="array" ref="G1863">_xlfn.LET(
    _xlpm.r, TRIM(B1863),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863" t="str" cm="1">
        <f t="array" ref="H1863">_xlfn.LET(
     _xlpm.r, TRIM(C1863),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64" spans="1:8" x14ac:dyDescent="0.25">
      <c r="A1864">
        <v>2023</v>
      </c>
      <c r="B1864" t="s">
        <v>49</v>
      </c>
      <c r="C1864" t="s">
        <v>5</v>
      </c>
      <c r="E1864">
        <v>64161504</v>
      </c>
      <c r="F1864" t="s">
        <v>113</v>
      </c>
      <c r="G1864" t="str" cm="1">
        <f t="array" ref="G1864">_xlfn.LET(
    _xlpm.r, TRIM(B1864),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864" t="str" cm="1">
        <f t="array" ref="H1864">_xlfn.LET(
     _xlpm.r, TRIM(C1864),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65" spans="1:8" x14ac:dyDescent="0.25">
      <c r="A1865">
        <v>2023</v>
      </c>
      <c r="B1865" t="s">
        <v>49</v>
      </c>
      <c r="C1865" t="s">
        <v>5</v>
      </c>
      <c r="E1865">
        <v>54550188</v>
      </c>
      <c r="F1865" t="s">
        <v>113</v>
      </c>
      <c r="G1865" t="str" cm="1">
        <f t="array" ref="G1865">_xlfn.LET(
    _xlpm.r, TRIM(B1865),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865" t="str" cm="1">
        <f t="array" ref="H1865">_xlfn.LET(
     _xlpm.r, TRIM(C1865),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66" spans="1:8" x14ac:dyDescent="0.25">
      <c r="A1866">
        <v>2023</v>
      </c>
      <c r="B1866" t="s">
        <v>49</v>
      </c>
      <c r="C1866" t="s">
        <v>5</v>
      </c>
      <c r="E1866">
        <v>23008728</v>
      </c>
      <c r="F1866" t="s">
        <v>113</v>
      </c>
      <c r="G1866" t="str" cm="1">
        <f t="array" ref="G1866">_xlfn.LET(
    _xlpm.r, TRIM(B1866),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866" t="str" cm="1">
        <f t="array" ref="H1866">_xlfn.LET(
     _xlpm.r, TRIM(C1866),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67" spans="1:8" x14ac:dyDescent="0.25">
      <c r="A1867">
        <v>2023</v>
      </c>
      <c r="B1867" t="s">
        <v>49</v>
      </c>
      <c r="C1867" t="s">
        <v>6</v>
      </c>
      <c r="E1867">
        <v>187984000</v>
      </c>
      <c r="F1867" t="s">
        <v>113</v>
      </c>
      <c r="G1867" t="str" cm="1">
        <f t="array" ref="G1867">_xlfn.LET(
    _xlpm.r, TRIM(B1867),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867" t="str" cm="1">
        <f t="array" ref="H1867">_xlfn.LET(
     _xlpm.r, TRIM(C1867),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68" spans="1:8" x14ac:dyDescent="0.25">
      <c r="A1868">
        <v>2023</v>
      </c>
      <c r="B1868" t="s">
        <v>49</v>
      </c>
      <c r="C1868" t="s">
        <v>6</v>
      </c>
      <c r="E1868">
        <v>1101000</v>
      </c>
      <c r="F1868" t="s">
        <v>113</v>
      </c>
      <c r="G1868" t="str" cm="1">
        <f t="array" ref="G1868">_xlfn.LET(
    _xlpm.r, TRIM(B1868),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868" t="str" cm="1">
        <f t="array" ref="H1868">_xlfn.LET(
     _xlpm.r, TRIM(C1868),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69" spans="1:8" x14ac:dyDescent="0.25">
      <c r="A1869">
        <v>2023</v>
      </c>
      <c r="B1869" t="s">
        <v>49</v>
      </c>
      <c r="C1869" t="s">
        <v>8</v>
      </c>
      <c r="E1869">
        <v>59400000</v>
      </c>
      <c r="F1869" t="s">
        <v>113</v>
      </c>
      <c r="G1869" t="str" cm="1">
        <f t="array" ref="G1869">_xlfn.LET(
    _xlpm.r, TRIM(B1869),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كليات التقنية العليا</v>
      </c>
      <c r="H1869" t="str" cm="1">
        <f t="array" ref="H1869">_xlfn.LET(
     _xlpm.r, TRIM(C1869),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870" spans="1:8" x14ac:dyDescent="0.25">
      <c r="A1870">
        <v>2023</v>
      </c>
      <c r="B1870" t="s">
        <v>50</v>
      </c>
      <c r="C1870" t="s">
        <v>5</v>
      </c>
      <c r="E1870">
        <v>236467469</v>
      </c>
      <c r="F1870" t="s">
        <v>114</v>
      </c>
      <c r="G1870" t="str" cm="1">
        <f t="array" ref="G1870">_xlfn.LET(
    _xlpm.r, TRIM(B1870),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زايد</v>
      </c>
      <c r="H1870" t="str" cm="1">
        <f t="array" ref="H1870">_xlfn.LET(
     _xlpm.r, TRIM(C1870),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71" spans="1:8" x14ac:dyDescent="0.25">
      <c r="A1871">
        <v>2023</v>
      </c>
      <c r="B1871" t="s">
        <v>50</v>
      </c>
      <c r="C1871" t="s">
        <v>5</v>
      </c>
      <c r="E1871">
        <v>218532531</v>
      </c>
      <c r="F1871" t="s">
        <v>114</v>
      </c>
      <c r="G1871" t="str" cm="1">
        <f t="array" ref="G1871">_xlfn.LET(
    _xlpm.r, TRIM(B1871),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زايد</v>
      </c>
      <c r="H1871" t="str" cm="1">
        <f t="array" ref="H1871">_xlfn.LET(
     _xlpm.r, TRIM(C1871),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72" spans="1:8" x14ac:dyDescent="0.25">
      <c r="A1872">
        <v>2023</v>
      </c>
      <c r="B1872" t="s">
        <v>50</v>
      </c>
      <c r="C1872" t="s">
        <v>6</v>
      </c>
      <c r="E1872">
        <v>7050000</v>
      </c>
      <c r="F1872" t="s">
        <v>114</v>
      </c>
      <c r="G1872" t="str" cm="1">
        <f t="array" ref="G1872">_xlfn.LET(
    _xlpm.r, TRIM(B1872),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زايد</v>
      </c>
      <c r="H1872" t="str" cm="1">
        <f t="array" ref="H1872">_xlfn.LET(
     _xlpm.r, TRIM(C1872),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73" spans="1:8" x14ac:dyDescent="0.25">
      <c r="A1873">
        <v>2023</v>
      </c>
      <c r="B1873" t="s">
        <v>50</v>
      </c>
      <c r="C1873" t="s">
        <v>6</v>
      </c>
      <c r="E1873">
        <v>7050000</v>
      </c>
      <c r="F1873" t="s">
        <v>114</v>
      </c>
      <c r="G1873" t="str" cm="1">
        <f t="array" ref="G1873">_xlfn.LET(
    _xlpm.r, TRIM(B1873),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جامعة زايد</v>
      </c>
      <c r="H1873" t="str" cm="1">
        <f t="array" ref="H1873">_xlfn.LET(
     _xlpm.r, TRIM(C1873),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74" spans="1:8" x14ac:dyDescent="0.25">
      <c r="A1874">
        <v>2023</v>
      </c>
      <c r="B1874" t="s">
        <v>51</v>
      </c>
      <c r="C1874" t="s">
        <v>5</v>
      </c>
      <c r="E1874">
        <v>20888000</v>
      </c>
      <c r="F1874" t="s">
        <v>115</v>
      </c>
      <c r="G1874" t="str" cm="1">
        <f t="array" ref="G1874">_xlfn.LET(
    _xlpm.r, TRIM(B1874),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صندوق الزكاة</v>
      </c>
      <c r="H1874" t="str" cm="1">
        <f t="array" ref="H1874">_xlfn.LET(
     _xlpm.r, TRIM(C1874),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75" spans="1:8" x14ac:dyDescent="0.25">
      <c r="A1875">
        <v>2023</v>
      </c>
      <c r="B1875" t="s">
        <v>51</v>
      </c>
      <c r="C1875" t="s">
        <v>6</v>
      </c>
      <c r="E1875">
        <v>7160000</v>
      </c>
      <c r="F1875" t="s">
        <v>115</v>
      </c>
      <c r="G1875" t="str" cm="1">
        <f t="array" ref="G1875">_xlfn.LET(
    _xlpm.r, TRIM(B1875),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صندوق الزكاة</v>
      </c>
      <c r="H1875" t="str" cm="1">
        <f t="array" ref="H1875">_xlfn.LET(
     _xlpm.r, TRIM(C1875),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76" spans="1:8" x14ac:dyDescent="0.25">
      <c r="A1876">
        <v>2023</v>
      </c>
      <c r="B1876" t="s">
        <v>51</v>
      </c>
      <c r="C1876" t="s">
        <v>19</v>
      </c>
      <c r="E1876">
        <v>3000</v>
      </c>
      <c r="F1876" t="s">
        <v>115</v>
      </c>
      <c r="G1876" t="str" cm="1">
        <f t="array" ref="G1876">_xlfn.LET(
    _xlpm.r, TRIM(B1876),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صندوق الزكاة</v>
      </c>
      <c r="H1876" t="str" cm="1">
        <f t="array" ref="H1876">_xlfn.LET(
     _xlpm.r, TRIM(C1876),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877" spans="1:8" x14ac:dyDescent="0.25">
      <c r="A1877">
        <v>2023</v>
      </c>
      <c r="B1877" t="s">
        <v>51</v>
      </c>
      <c r="C1877" t="s">
        <v>8</v>
      </c>
      <c r="E1877">
        <v>343000</v>
      </c>
      <c r="F1877" t="s">
        <v>115</v>
      </c>
      <c r="G1877" t="str" cm="1">
        <f t="array" ref="G1877">_xlfn.LET(
    _xlpm.r, TRIM(B1877),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صندوق الزكاة</v>
      </c>
      <c r="H1877" t="str" cm="1">
        <f t="array" ref="H1877">_xlfn.LET(
     _xlpm.r, TRIM(C1877),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878" spans="1:8" x14ac:dyDescent="0.25">
      <c r="A1878">
        <v>2023</v>
      </c>
      <c r="B1878" t="s">
        <v>52</v>
      </c>
      <c r="C1878" t="s">
        <v>5</v>
      </c>
      <c r="E1878">
        <v>3500000</v>
      </c>
      <c r="F1878" t="s">
        <v>116</v>
      </c>
      <c r="G1878" t="str" cm="1">
        <f t="array" ref="G1878">_xlfn.LET(
    _xlpm.r, TRIM(B1878),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878" t="str" cm="1">
        <f t="array" ref="H1878">_xlfn.LET(
     _xlpm.r, TRIM(C1878),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79" spans="1:8" x14ac:dyDescent="0.25">
      <c r="A1879">
        <v>2023</v>
      </c>
      <c r="B1879" t="s">
        <v>52</v>
      </c>
      <c r="C1879" t="s">
        <v>5</v>
      </c>
      <c r="E1879">
        <v>78584749</v>
      </c>
      <c r="F1879" t="s">
        <v>116</v>
      </c>
      <c r="G1879" t="str" cm="1">
        <f t="array" ref="G1879">_xlfn.LET(
    _xlpm.r, TRIM(B1879),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879" t="str" cm="1">
        <f t="array" ref="H1879">_xlfn.LET(
     _xlpm.r, TRIM(C1879),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80" spans="1:8" x14ac:dyDescent="0.25">
      <c r="A1880">
        <v>2023</v>
      </c>
      <c r="B1880" t="s">
        <v>52</v>
      </c>
      <c r="C1880" t="s">
        <v>5</v>
      </c>
      <c r="E1880">
        <v>69915251</v>
      </c>
      <c r="F1880" t="s">
        <v>116</v>
      </c>
      <c r="G1880" t="str" cm="1">
        <f t="array" ref="G1880">_xlfn.LET(
    _xlpm.r, TRIM(B1880),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880" t="str" cm="1">
        <f t="array" ref="H1880">_xlfn.LET(
     _xlpm.r, TRIM(C1880),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81" spans="1:8" x14ac:dyDescent="0.25">
      <c r="A1881">
        <v>2023</v>
      </c>
      <c r="B1881" t="s">
        <v>52</v>
      </c>
      <c r="C1881" t="s">
        <v>6</v>
      </c>
      <c r="E1881">
        <v>11235000</v>
      </c>
      <c r="F1881" t="s">
        <v>116</v>
      </c>
      <c r="G1881" t="str" cm="1">
        <f t="array" ref="G1881">_xlfn.LET(
    _xlpm.r, TRIM(B1881),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881" t="str" cm="1">
        <f t="array" ref="H1881">_xlfn.LET(
     _xlpm.r, TRIM(C1881),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82" spans="1:8" x14ac:dyDescent="0.25">
      <c r="A1882">
        <v>2023</v>
      </c>
      <c r="B1882" t="s">
        <v>52</v>
      </c>
      <c r="C1882" t="s">
        <v>6</v>
      </c>
      <c r="E1882">
        <v>3705000</v>
      </c>
      <c r="F1882" t="s">
        <v>116</v>
      </c>
      <c r="G1882" t="str" cm="1">
        <f t="array" ref="G1882">_xlfn.LET(
    _xlpm.r, TRIM(B1882),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882" t="str" cm="1">
        <f t="array" ref="H1882">_xlfn.LET(
     _xlpm.r, TRIM(C1882),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83" spans="1:8" x14ac:dyDescent="0.25">
      <c r="A1883">
        <v>2023</v>
      </c>
      <c r="B1883" t="s">
        <v>52</v>
      </c>
      <c r="C1883" t="s">
        <v>30</v>
      </c>
      <c r="E1883">
        <v>260000</v>
      </c>
      <c r="F1883" t="s">
        <v>116</v>
      </c>
      <c r="G1883" t="str" cm="1">
        <f t="array" ref="G1883">_xlfn.LET(
    _xlpm.r, TRIM(B1883),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883" t="str" cm="1">
        <f t="array" ref="H1883">_xlfn.LET(
     _xlpm.r, TRIM(C1883),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المنح</v>
      </c>
    </row>
    <row r="1884" spans="1:8" x14ac:dyDescent="0.25">
      <c r="A1884">
        <v>2023</v>
      </c>
      <c r="B1884" t="s">
        <v>52</v>
      </c>
      <c r="C1884" t="s">
        <v>8</v>
      </c>
      <c r="E1884">
        <v>2800000</v>
      </c>
      <c r="F1884" t="s">
        <v>116</v>
      </c>
      <c r="G1884" t="str" cm="1">
        <f t="array" ref="G1884">_xlfn.LET(
    _xlpm.r, TRIM(B1884),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الأوراق المالية والسلع</v>
      </c>
      <c r="H1884" t="str" cm="1">
        <f t="array" ref="H1884">_xlfn.LET(
     _xlpm.r, TRIM(C1884),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885" spans="1:8" x14ac:dyDescent="0.25">
      <c r="A1885">
        <v>2023</v>
      </c>
      <c r="B1885" t="s">
        <v>56</v>
      </c>
      <c r="C1885" t="s">
        <v>5</v>
      </c>
      <c r="E1885">
        <v>248673000</v>
      </c>
      <c r="F1885" t="s">
        <v>120</v>
      </c>
      <c r="G1885" t="str" cm="1">
        <f t="array" ref="G1885">_xlfn.LET(
    _xlpm.r, TRIM(B1885),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تنظيم الاتصالات</v>
      </c>
      <c r="H1885" t="str" cm="1">
        <f t="array" ref="H1885">_xlfn.LET(
     _xlpm.r, TRIM(C1885),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86" spans="1:8" x14ac:dyDescent="0.25">
      <c r="A1886">
        <v>2023</v>
      </c>
      <c r="B1886" t="s">
        <v>56</v>
      </c>
      <c r="C1886" t="s">
        <v>6</v>
      </c>
      <c r="E1886">
        <v>583221000</v>
      </c>
      <c r="F1886" t="s">
        <v>120</v>
      </c>
      <c r="G1886" t="str" cm="1">
        <f t="array" ref="G1886">_xlfn.LET(
    _xlpm.r, TRIM(B1886),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تنظيم الاتصالات</v>
      </c>
      <c r="H1886" t="str" cm="1">
        <f t="array" ref="H1886">_xlfn.LET(
     _xlpm.r, TRIM(C1886),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87" spans="1:8" x14ac:dyDescent="0.25">
      <c r="A1887">
        <v>2023</v>
      </c>
      <c r="B1887" t="s">
        <v>56</v>
      </c>
      <c r="C1887" t="s">
        <v>30</v>
      </c>
      <c r="E1887">
        <v>398420000</v>
      </c>
      <c r="F1887" t="s">
        <v>120</v>
      </c>
      <c r="G1887" t="str" cm="1">
        <f t="array" ref="G1887">_xlfn.LET(
    _xlpm.r, TRIM(B1887),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تنظيم الاتصالات</v>
      </c>
      <c r="H1887" t="str" cm="1">
        <f t="array" ref="H1887">_xlfn.LET(
     _xlpm.r, TRIM(C1887),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المنح</v>
      </c>
    </row>
    <row r="1888" spans="1:8" x14ac:dyDescent="0.25">
      <c r="A1888">
        <v>2023</v>
      </c>
      <c r="B1888" t="s">
        <v>56</v>
      </c>
      <c r="C1888" t="s">
        <v>19</v>
      </c>
      <c r="E1888">
        <v>2147000</v>
      </c>
      <c r="F1888" t="s">
        <v>120</v>
      </c>
      <c r="G1888" t="str" cm="1">
        <f t="array" ref="G1888">_xlfn.LET(
    _xlpm.r, TRIM(B1888),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تنظيم الاتصالات</v>
      </c>
      <c r="H1888" t="str" cm="1">
        <f t="array" ref="H1888">_xlfn.LET(
     _xlpm.r, TRIM(C1888),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889" spans="1:8" x14ac:dyDescent="0.25">
      <c r="A1889">
        <v>2023</v>
      </c>
      <c r="B1889" t="s">
        <v>56</v>
      </c>
      <c r="C1889" t="s">
        <v>8</v>
      </c>
      <c r="E1889">
        <v>118092000</v>
      </c>
      <c r="F1889" t="s">
        <v>120</v>
      </c>
      <c r="G1889" t="str" cm="1">
        <f t="array" ref="G1889">_xlfn.LET(
    _xlpm.r, TRIM(B1889),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هيئة تنظيم الاتصالات</v>
      </c>
      <c r="H1889" t="str" cm="1">
        <f t="array" ref="H1889">_xlfn.LET(
     _xlpm.r, TRIM(C1889),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890" spans="1:8" x14ac:dyDescent="0.25">
      <c r="A1890">
        <v>2023</v>
      </c>
      <c r="B1890" t="s">
        <v>57</v>
      </c>
      <c r="C1890" t="s">
        <v>5</v>
      </c>
      <c r="E1890">
        <v>248630000</v>
      </c>
      <c r="F1890" t="s">
        <v>121</v>
      </c>
      <c r="G1890" t="str" cm="1">
        <f t="array" ref="G1890">_xlfn.LET(
    _xlpm.r, TRIM(B1890),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للرقابة النووية</v>
      </c>
      <c r="H1890" t="str" cm="1">
        <f t="array" ref="H1890">_xlfn.LET(
     _xlpm.r, TRIM(C1890),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91" spans="1:8" x14ac:dyDescent="0.25">
      <c r="A1891">
        <v>2023</v>
      </c>
      <c r="B1891" t="s">
        <v>57</v>
      </c>
      <c r="C1891" t="s">
        <v>6</v>
      </c>
      <c r="E1891">
        <v>63651000</v>
      </c>
      <c r="F1891" t="s">
        <v>121</v>
      </c>
      <c r="G1891" t="str" cm="1">
        <f t="array" ref="G1891">_xlfn.LET(
    _xlpm.r, TRIM(B1891),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للرقابة النووية</v>
      </c>
      <c r="H1891" t="str" cm="1">
        <f t="array" ref="H1891">_xlfn.LET(
     _xlpm.r, TRIM(C1891),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92" spans="1:8" x14ac:dyDescent="0.25">
      <c r="A1892">
        <v>2023</v>
      </c>
      <c r="B1892" t="s">
        <v>57</v>
      </c>
      <c r="C1892" t="s">
        <v>19</v>
      </c>
      <c r="E1892">
        <v>50000</v>
      </c>
      <c r="F1892" t="s">
        <v>121</v>
      </c>
      <c r="G1892" t="str" cm="1">
        <f t="array" ref="G1892">_xlfn.LET(
    _xlpm.r, TRIM(B1892),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للرقابة النووية</v>
      </c>
      <c r="H1892" t="str" cm="1">
        <f t="array" ref="H1892">_xlfn.LET(
     _xlpm.r, TRIM(C1892),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مصروفات أخرى</v>
      </c>
    </row>
    <row r="1893" spans="1:8" x14ac:dyDescent="0.25">
      <c r="A1893">
        <v>2023</v>
      </c>
      <c r="B1893" t="s">
        <v>57</v>
      </c>
      <c r="C1893" t="s">
        <v>8</v>
      </c>
      <c r="E1893">
        <v>2863000</v>
      </c>
      <c r="F1893" t="s">
        <v>121</v>
      </c>
      <c r="G1893" t="str" cm="1">
        <f t="array" ref="G1893">_xlfn.LET(
    _xlpm.r, TRIM(B1893),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الهيئة الاتحادية للرقابة النووية</v>
      </c>
      <c r="H1893" t="str" cm="1">
        <f t="array" ref="H1893">_xlfn.LET(
     _xlpm.r, TRIM(C1893),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row r="1894" spans="1:8" x14ac:dyDescent="0.25">
      <c r="A1894">
        <v>2023</v>
      </c>
      <c r="B1894" t="s">
        <v>53</v>
      </c>
      <c r="C1894" t="s">
        <v>5</v>
      </c>
      <c r="E1894">
        <v>0</v>
      </c>
      <c r="F1894" t="s">
        <v>117</v>
      </c>
      <c r="G1894" t="str" cm="1">
        <f t="array" ref="G1894">_xlfn.LET(
    _xlpm.r, TRIM(B1894),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الاتحادي للسكان</v>
      </c>
      <c r="H1894" t="str" cm="1">
        <f t="array" ref="H1894">_xlfn.LET(
     _xlpm.r, TRIM(C1894),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95" spans="1:8" x14ac:dyDescent="0.25">
      <c r="A1895">
        <v>2023</v>
      </c>
      <c r="B1895" t="s">
        <v>53</v>
      </c>
      <c r="C1895" t="s">
        <v>5</v>
      </c>
      <c r="E1895">
        <v>42500000</v>
      </c>
      <c r="F1895" t="s">
        <v>117</v>
      </c>
      <c r="G1895" t="str" cm="1">
        <f t="array" ref="G1895">_xlfn.LET(
    _xlpm.r, TRIM(B1895),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الاتحادي للسكان</v>
      </c>
      <c r="H1895" t="str" cm="1">
        <f t="array" ref="H1895">_xlfn.LET(
     _xlpm.r, TRIM(C1895),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تعويضات الموظفين</v>
      </c>
    </row>
    <row r="1896" spans="1:8" x14ac:dyDescent="0.25">
      <c r="A1896">
        <v>2023</v>
      </c>
      <c r="B1896" t="s">
        <v>53</v>
      </c>
      <c r="C1896" t="s">
        <v>6</v>
      </c>
      <c r="E1896">
        <v>22389000</v>
      </c>
      <c r="F1896" t="s">
        <v>117</v>
      </c>
      <c r="G1896" t="str" cm="1">
        <f t="array" ref="G1896">_xlfn.LET(
    _xlpm.r, TRIM(B1896),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الاتحادي للسكان</v>
      </c>
      <c r="H1896" t="str" cm="1">
        <f t="array" ref="H1896">_xlfn.LET(
     _xlpm.r, TRIM(C1896),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استخدام السلع والخدمات</v>
      </c>
    </row>
    <row r="1897" spans="1:8" x14ac:dyDescent="0.25">
      <c r="A1897">
        <v>2023</v>
      </c>
      <c r="B1897" t="s">
        <v>53</v>
      </c>
      <c r="C1897" t="s">
        <v>8</v>
      </c>
      <c r="E1897">
        <v>100000</v>
      </c>
      <c r="F1897" t="s">
        <v>117</v>
      </c>
      <c r="G1897" t="str" cm="1">
        <f t="array" ref="G1897">_xlfn.LET(
    _xlpm.r, TRIM(B1897),
    _xlfn.SWITCH(_xlpm.r,
        "Ministry of Energy &amp; Infrastructure","وزارة الطاقة والبنية التحتية",
        "Ministry of Culture and Youth","وزارة الثقافة والشباب",
        "Ministry of Foreign Affairs &amp; International Cooperation","وزارة الخارجية والتعاون الدولي",
        "Ministry of Interior","وزارة الداخلية",
        "Ministry of Defense","وزارة الدفاع",
        "Ministry of Education","وزارة التربية والتعليم",
        "Ministry of Health &amp; Prevention","وزارة الصحة ووقاية المجتمع",
        "Ministry of Industry &amp; Advanced Technology","وزارة الصناعة والتكنولوجيا المتقدمة",
        "Ministry of Finance","وزارة المالية",
        "Ministry of Economy","وزارة الاقتصاد",
        "Ministry of Human Resources &amp; Emiratization","وزارة الموارد البشرية والتوطين",
        "Ministry of Justice","وزارة العدل",
        "Ministry of Climate Change &amp; Environment","وزارة التغير المناخي والبيئة",
        "Ministry of Community Development","وزارة تنمية المجتمع",
        "Ministry of State for National Council Affairs","وزارة الدولة لشؤون المجلس الوطني",
        "Minister of State - Ahmed Al Sayeg","وزير الدولة - أحمد الصايغ",
        "Other Federal Revenues &amp; Expenditures","إيرادات ونفقات اتحادية أخرى",
        "Vice President’s Office for Political Affairs","مكتب نائب الرئيس للشؤون السياسية",
        "Emirates School Establishment","مؤسسة الإمارات للتعليم المدرسي",
        "Emirates Health Services Establishment","مؤسسة الإمارات للخدمات الصحية",
        "Emirates News Agency","وكالة أنباء الإمارات",
        "Federal National Council","المجلس الوطني الاتحادي",
        "Federal Geographic Information Center","المركز الاتحادي للمعلومات الجغرافية",
        "General Authority of Sports","الهيئة العامة للرياضة",
        "UAE Gender Balance Council","مجلس الإمارات للتوازن بين الجنسين",
        "Ministry of Tolerance and Coexistence","وزارة التسامح والتعايش",
        "Federal Authority for Identity and Citizenship","الهيئة الاتحادية للهوية والجنسية",
        "The Supreme Council For Motherhood And Childhood","المجلس الأعلى للأمومة والطفولة",
        "National Counseling Center","المركز الوطني للإرشاد",
        "UAE Space Agency","وكالة الإمارات للفضاء",
        "General Authority for Islamic Affairs and Endowments","الهيئة العامة للشؤون الإسلامية والأوقاف",
        "Federal Authority For Government Human Resources","الهيئة الاتحادية للموارد البشرية الحكومية",
        "National Capabilities Development","تطوير القدرات الوطنية",
        "Federal Tax Authority","الهيئة الاتحادية للضرائب",
        "Executive Office of the Anti-Money Laundering and Countering the Financing of Terrorism (AML/CFT)","المكتب التنفيذي لمواجهة غسل الأموال وتمويل الإرهاب",
        "United Arab Emirates University","جامعة الإمارات العربية المتحدة",
        "Higher Colleges of Technology","كليات التقنية العليا",
        "Zayed University","جامعة زايد",
        "Ministry of Justice (AML)","وزارة العدل (مكافحة غسل الأموال)",
        "Federal Customs Authority (AML)","الهيئة الاتحادية للجمارك (مكافحة غسل الأموال)",
        "Zakat Fund","صندوق الزكاة",
        "General Authority for Islamic Affairs and AWQAF – Domestic Support","الهيئة العامة للشؤون الإسلامية والأوقاف – الدعم المحلي",
        "Securities And Commodities Authority","هيئة الأوراق المالية والسلع",
        "Telecommunications Regulatory Authority","هيئة تنظيم الاتصالات",
        "Federal Authority for Nuclear Regulation","الهيئة الاتحادية للرقابة النووية",
        "Emirates Real Estate Corporation","مؤسسة الإمارات العقارية",
        "Emirates Diplomatic Academy","أكاديمية الإمارات الدبلوماسية",
        "Ministry of Economy (AML)","وزارة الاقتصاد (مكافحة غسل الأموال)",
        "MOHRE Sponsorship Project","مشروع رعاية وزارة الموارد البشرية والتوطين",
        "UAESA Sponsorship Projects","مشروعات رعاية وكالة الإمارات للفضاء",
        "Security Agency","جهاز الأمن",
        "State Audit Institution","ديوان المحاسبة",
        "Ministry of State (132) - Maitha Al Shamsi","وزارة الدولة (132) - ميثاء الشامسي",
        "Federal Demographic Council","المجلس الاتحادي للسكان",
        "Ministry Of State – Jaber Al Suwaidi","وزارة الدولة – جابر السويدي",
        "The Federal Judicial Control Office","المكتب الاتحادي للرقابة القضائية",
        ""        )   )</f>
        <v>المجلس الاتحادي للسكان</v>
      </c>
      <c r="H1897" t="str" cm="1">
        <f t="array" ref="H1897">_xlfn.LET(
     _xlpm.r, TRIM(C1897),
     _xlfn.SWITCH(_xlpm.r,
        "Other Federal Revenues","إيرادات اتحادية أخرى",
        "Social Contributions","مساهمات اجتماعية",
        "Taxes","الضرائب",
        "Contributions","المساهمات",
        "Compensations of Employees","تعويضات الموظفين",
        "Use of Goods and Services","استخدام السلع والخدمات",
        "Subsidies","الإعانات",
        "Budgeted Assets","الأصول المدرجة في الميزانية",
        "Other Expenses","مصروفات أخرى",
        "Interest","الفوائد",
        "Grants","المنح",
        "Social Benefits","المنافع الاجتماعية",
        "" )
)</f>
        <v>الأصول المدرجة في الميزانية</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C4F1C-9F1E-4E1C-A745-83470E31F8C5}">
  <dimension ref="A1:A57"/>
  <sheetViews>
    <sheetView workbookViewId="0">
      <selection activeCell="A57" sqref="A2:A57"/>
    </sheetView>
  </sheetViews>
  <sheetFormatPr defaultRowHeight="15" x14ac:dyDescent="0.25"/>
  <cols>
    <col min="1" max="1" width="81.140625" bestFit="1" customWidth="1"/>
  </cols>
  <sheetData>
    <row r="1" spans="1:1" x14ac:dyDescent="0.25">
      <c r="A1" t="s">
        <v>1</v>
      </c>
    </row>
    <row r="2" spans="1:1" x14ac:dyDescent="0.25">
      <c r="A2" t="s">
        <v>4</v>
      </c>
    </row>
    <row r="3" spans="1:1" x14ac:dyDescent="0.25">
      <c r="A3" t="s">
        <v>9</v>
      </c>
    </row>
    <row r="4" spans="1:1" x14ac:dyDescent="0.25">
      <c r="A4" t="s">
        <v>10</v>
      </c>
    </row>
    <row r="5" spans="1:1" x14ac:dyDescent="0.25">
      <c r="A5" t="s">
        <v>11</v>
      </c>
    </row>
    <row r="6" spans="1:1" x14ac:dyDescent="0.25">
      <c r="A6" t="s">
        <v>12</v>
      </c>
    </row>
    <row r="7" spans="1:1" x14ac:dyDescent="0.25">
      <c r="A7" t="s">
        <v>14</v>
      </c>
    </row>
    <row r="8" spans="1:1" x14ac:dyDescent="0.25">
      <c r="A8" t="s">
        <v>15</v>
      </c>
    </row>
    <row r="9" spans="1:1" x14ac:dyDescent="0.25">
      <c r="A9" t="s">
        <v>16</v>
      </c>
    </row>
    <row r="10" spans="1:1" x14ac:dyDescent="0.25">
      <c r="A10" t="s">
        <v>17</v>
      </c>
    </row>
    <row r="11" spans="1:1" x14ac:dyDescent="0.25">
      <c r="A11" t="s">
        <v>18</v>
      </c>
    </row>
    <row r="12" spans="1:1" x14ac:dyDescent="0.25">
      <c r="A12" t="s">
        <v>21</v>
      </c>
    </row>
    <row r="13" spans="1:1" x14ac:dyDescent="0.25">
      <c r="A13" t="s">
        <v>22</v>
      </c>
    </row>
    <row r="14" spans="1:1" x14ac:dyDescent="0.25">
      <c r="A14" t="s">
        <v>23</v>
      </c>
    </row>
    <row r="15" spans="1:1" x14ac:dyDescent="0.25">
      <c r="A15" t="s">
        <v>24</v>
      </c>
    </row>
    <row r="16" spans="1:1" x14ac:dyDescent="0.25">
      <c r="A16" t="s">
        <v>25</v>
      </c>
    </row>
    <row r="17" spans="1:1" x14ac:dyDescent="0.25">
      <c r="A17" t="s">
        <v>27</v>
      </c>
    </row>
    <row r="18" spans="1:1" x14ac:dyDescent="0.25">
      <c r="A18" t="s">
        <v>28</v>
      </c>
    </row>
    <row r="19" spans="1:1" x14ac:dyDescent="0.25">
      <c r="A19" t="s">
        <v>32</v>
      </c>
    </row>
    <row r="20" spans="1:1" x14ac:dyDescent="0.25">
      <c r="A20" t="s">
        <v>33</v>
      </c>
    </row>
    <row r="21" spans="1:1" x14ac:dyDescent="0.25">
      <c r="A21" t="s">
        <v>34</v>
      </c>
    </row>
    <row r="22" spans="1:1" x14ac:dyDescent="0.25">
      <c r="A22" t="s">
        <v>35</v>
      </c>
    </row>
    <row r="23" spans="1:1" x14ac:dyDescent="0.25">
      <c r="A23" t="s">
        <v>36</v>
      </c>
    </row>
    <row r="24" spans="1:1" x14ac:dyDescent="0.25">
      <c r="A24" t="s">
        <v>37</v>
      </c>
    </row>
    <row r="25" spans="1:1" x14ac:dyDescent="0.25">
      <c r="A25" t="s">
        <v>38</v>
      </c>
    </row>
    <row r="26" spans="1:1" x14ac:dyDescent="0.25">
      <c r="A26" t="s">
        <v>39</v>
      </c>
    </row>
    <row r="27" spans="1:1" x14ac:dyDescent="0.25">
      <c r="A27" t="s">
        <v>40</v>
      </c>
    </row>
    <row r="28" spans="1:1" x14ac:dyDescent="0.25">
      <c r="A28" t="s">
        <v>41</v>
      </c>
    </row>
    <row r="29" spans="1:1" x14ac:dyDescent="0.25">
      <c r="A29" t="s">
        <v>42</v>
      </c>
    </row>
    <row r="30" spans="1:1" x14ac:dyDescent="0.25">
      <c r="A30" t="s">
        <v>44</v>
      </c>
    </row>
    <row r="31" spans="1:1" x14ac:dyDescent="0.25">
      <c r="A31" t="s">
        <v>45</v>
      </c>
    </row>
    <row r="32" spans="1:1" x14ac:dyDescent="0.25">
      <c r="A32" t="s">
        <v>46</v>
      </c>
    </row>
    <row r="33" spans="1:1" x14ac:dyDescent="0.25">
      <c r="A33" t="s">
        <v>47</v>
      </c>
    </row>
    <row r="34" spans="1:1" x14ac:dyDescent="0.25">
      <c r="A34" t="s">
        <v>63</v>
      </c>
    </row>
    <row r="35" spans="1:1" x14ac:dyDescent="0.25">
      <c r="A35" t="s">
        <v>64</v>
      </c>
    </row>
    <row r="36" spans="1:1" x14ac:dyDescent="0.25">
      <c r="A36" t="s">
        <v>65</v>
      </c>
    </row>
    <row r="37" spans="1:1" x14ac:dyDescent="0.25">
      <c r="A37" t="s">
        <v>48</v>
      </c>
    </row>
    <row r="38" spans="1:1" x14ac:dyDescent="0.25">
      <c r="A38" t="s">
        <v>49</v>
      </c>
    </row>
    <row r="39" spans="1:1" x14ac:dyDescent="0.25">
      <c r="A39" t="s">
        <v>50</v>
      </c>
    </row>
    <row r="40" spans="1:1" x14ac:dyDescent="0.25">
      <c r="A40" t="s">
        <v>66</v>
      </c>
    </row>
    <row r="41" spans="1:1" x14ac:dyDescent="0.25">
      <c r="A41" t="s">
        <v>67</v>
      </c>
    </row>
    <row r="42" spans="1:1" x14ac:dyDescent="0.25">
      <c r="A42" t="s">
        <v>51</v>
      </c>
    </row>
    <row r="43" spans="1:1" x14ac:dyDescent="0.25">
      <c r="A43" t="s">
        <v>68</v>
      </c>
    </row>
    <row r="44" spans="1:1" x14ac:dyDescent="0.25">
      <c r="A44" t="s">
        <v>52</v>
      </c>
    </row>
    <row r="45" spans="1:1" x14ac:dyDescent="0.25">
      <c r="A45" t="s">
        <v>56</v>
      </c>
    </row>
    <row r="46" spans="1:1" x14ac:dyDescent="0.25">
      <c r="A46" t="s">
        <v>57</v>
      </c>
    </row>
    <row r="47" spans="1:1" x14ac:dyDescent="0.25">
      <c r="A47" t="s">
        <v>69</v>
      </c>
    </row>
    <row r="48" spans="1:1" x14ac:dyDescent="0.25">
      <c r="A48" t="s">
        <v>43</v>
      </c>
    </row>
    <row r="49" spans="1:1" x14ac:dyDescent="0.25">
      <c r="A49" t="s">
        <v>70</v>
      </c>
    </row>
    <row r="50" spans="1:1" x14ac:dyDescent="0.25">
      <c r="A50" t="s">
        <v>71</v>
      </c>
    </row>
    <row r="51" spans="1:1" x14ac:dyDescent="0.25">
      <c r="A51" t="s">
        <v>72</v>
      </c>
    </row>
    <row r="52" spans="1:1" x14ac:dyDescent="0.25">
      <c r="A52" t="s">
        <v>13</v>
      </c>
    </row>
    <row r="53" spans="1:1" x14ac:dyDescent="0.25">
      <c r="A53" t="s">
        <v>20</v>
      </c>
    </row>
    <row r="54" spans="1:1" x14ac:dyDescent="0.25">
      <c r="A54" t="s">
        <v>26</v>
      </c>
    </row>
    <row r="55" spans="1:1" x14ac:dyDescent="0.25">
      <c r="A55" t="s">
        <v>53</v>
      </c>
    </row>
    <row r="56" spans="1:1" x14ac:dyDescent="0.25">
      <c r="A56" t="s">
        <v>54</v>
      </c>
    </row>
    <row r="57" spans="1:1" x14ac:dyDescent="0.25">
      <c r="A57" t="s">
        <v>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61F836-E635-446A-ACDA-979890C6D0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TOTAL_REVENUE</vt:lpstr>
      <vt:lpstr>TOTAL_EXPENDITURE</vt:lpstr>
      <vt:lpstr>REVENUE_2023</vt:lpstr>
      <vt:lpstr>REVENUE_2022</vt:lpstr>
      <vt:lpstr>EXPENDITURE_2023</vt:lpstr>
      <vt:lpstr>EXPENDITURE_2022</vt:lpstr>
      <vt:lpstr>FINANCE_OVERVIEW</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Mishma Azfar</dc:creator>
  <cp:lastModifiedBy>Mishma Azfar</cp:lastModifiedBy>
  <dcterms:created xsi:type="dcterms:W3CDTF">2025-06-13T11:07:03Z</dcterms:created>
  <dcterms:modified xsi:type="dcterms:W3CDTF">2025-07-01T08:04:53Z</dcterms:modified>
</cp:coreProperties>
</file>